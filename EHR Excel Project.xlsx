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hidePivotFieldList="1"/>
  <mc:AlternateContent xmlns:mc="http://schemas.openxmlformats.org/markup-compatibility/2006">
    <mc:Choice Requires="x15">
      <x15ac:absPath xmlns:x15ac="http://schemas.microsoft.com/office/spreadsheetml/2010/11/ac" url="/Users/patriciamugisha/Downloads/Portfolio Projects by me/EHR Analysis Project/"/>
    </mc:Choice>
  </mc:AlternateContent>
  <xr:revisionPtr revIDLastSave="0" documentId="13_ncr:1_{3EAEFFA0-5374-5C44-BFC2-17AA7458F0B3}" xr6:coauthVersionLast="47" xr6:coauthVersionMax="47" xr10:uidLastSave="{00000000-0000-0000-0000-000000000000}"/>
  <bookViews>
    <workbookView xWindow="0" yWindow="0" windowWidth="28800" windowHeight="18000" xr2:uid="{00000000-000D-0000-FFFF-FFFF00000000}"/>
  </bookViews>
  <sheets>
    <sheet name="Clean_Dataset" sheetId="7" r:id="rId1"/>
    <sheet name="Pivot Tables" sheetId="8" r:id="rId2"/>
    <sheet name="Dashboard" sheetId="9" r:id="rId3"/>
    <sheet name="01_Encounters" sheetId="2" r:id="rId4"/>
    <sheet name="02_Lab_Results" sheetId="3" r:id="rId5"/>
    <sheet name="03_ICD11_Reference" sheetId="4" r:id="rId6"/>
    <sheet name="04_LOINC_Reference" sheetId="5" r:id="rId7"/>
    <sheet name="05_Data_Dictionary" sheetId="6" r:id="rId8"/>
  </sheets>
  <definedNames>
    <definedName name="_xlnm._FilterDatabase" localSheetId="3" hidden="1">'01_Encounters'!$A$1:$AG$1</definedName>
    <definedName name="_xlnm._FilterDatabase" localSheetId="4" hidden="1">'02_Lab_Results'!$A$1:$K$1</definedName>
    <definedName name="_xlnm._FilterDatabase" localSheetId="0" hidden="1">Clean_Dataset!$A$1:$AO$1</definedName>
    <definedName name="NativeTimeline_Encounter_Date">#N/A</definedName>
    <definedName name="Slicer_Age_Group">#N/A</definedName>
    <definedName name="Slicer_Alcohol_Use">#N/A</definedName>
    <definedName name="Slicer_Chronic_Condition">#N/A</definedName>
    <definedName name="Slicer_Sex">#N/A</definedName>
    <definedName name="Slicer_Smoking_Status">#N/A</definedName>
  </definedNames>
  <calcPr calcId="191029"/>
  <pivotCaches>
    <pivotCache cacheId="103"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9" i="7" l="1" a="1"/>
  <c r="AR9" i="7" s="1"/>
  <c r="AR13" i="7"/>
  <c r="AR11" i="7"/>
  <c r="AR7" i="7" a="1"/>
  <c r="AR7" i="7" s="1"/>
  <c r="AC2" i="7"/>
  <c r="AC3"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C76" i="7"/>
  <c r="AC77" i="7"/>
  <c r="AC78" i="7"/>
  <c r="AC79" i="7"/>
  <c r="AC80" i="7"/>
  <c r="AC81" i="7"/>
  <c r="AC82" i="7"/>
  <c r="AC83" i="7"/>
  <c r="AC84" i="7"/>
  <c r="AC85" i="7"/>
  <c r="AC86" i="7"/>
  <c r="AC87" i="7"/>
  <c r="AC88" i="7"/>
  <c r="AC89" i="7"/>
  <c r="AC90" i="7"/>
  <c r="AC91" i="7"/>
  <c r="AC92" i="7"/>
  <c r="AC93" i="7"/>
  <c r="AC94" i="7"/>
  <c r="AC95" i="7"/>
  <c r="AC96" i="7"/>
  <c r="AC97" i="7"/>
  <c r="AC98" i="7"/>
  <c r="AC99" i="7"/>
  <c r="AC100" i="7"/>
  <c r="AC101" i="7"/>
  <c r="AC102" i="7"/>
  <c r="AC103" i="7"/>
  <c r="AC104" i="7"/>
  <c r="AC105" i="7"/>
  <c r="AC106" i="7"/>
  <c r="AC107" i="7"/>
  <c r="AC108" i="7"/>
  <c r="AC109" i="7"/>
  <c r="AC110" i="7"/>
  <c r="AC111" i="7"/>
  <c r="AC112" i="7"/>
  <c r="AC113" i="7"/>
  <c r="AC114" i="7"/>
  <c r="AC115" i="7"/>
  <c r="AC116" i="7"/>
  <c r="AC117" i="7"/>
  <c r="AC118" i="7"/>
  <c r="AC119" i="7"/>
  <c r="AC120" i="7"/>
  <c r="AC121" i="7"/>
  <c r="AC122" i="7"/>
  <c r="AC123" i="7"/>
  <c r="AC124" i="7"/>
  <c r="AC125" i="7"/>
  <c r="AC126" i="7"/>
  <c r="AC127" i="7"/>
  <c r="AC128" i="7"/>
  <c r="AC129" i="7"/>
  <c r="AC130" i="7"/>
  <c r="AC131" i="7"/>
  <c r="AC132" i="7"/>
  <c r="AC133" i="7"/>
  <c r="AC134" i="7"/>
  <c r="AC135" i="7"/>
  <c r="AC136" i="7"/>
  <c r="AC137" i="7"/>
  <c r="AC138" i="7"/>
  <c r="AC139" i="7"/>
  <c r="AC140" i="7"/>
  <c r="AC141" i="7"/>
  <c r="AC142" i="7"/>
  <c r="AC143" i="7"/>
  <c r="AC144" i="7"/>
  <c r="AC145" i="7"/>
  <c r="AC146" i="7"/>
  <c r="AC147" i="7"/>
  <c r="AC148" i="7"/>
  <c r="AC149" i="7"/>
  <c r="AC150" i="7"/>
  <c r="AC151" i="7"/>
  <c r="AC152" i="7"/>
  <c r="AC153" i="7"/>
  <c r="AC154" i="7"/>
  <c r="AC155" i="7"/>
  <c r="AC156" i="7"/>
  <c r="AC157" i="7"/>
  <c r="AC158" i="7"/>
  <c r="AC159" i="7"/>
  <c r="AC160" i="7"/>
  <c r="AC161" i="7"/>
  <c r="AC162" i="7"/>
  <c r="AC163" i="7"/>
  <c r="AC164" i="7"/>
  <c r="AC165" i="7"/>
  <c r="AC166" i="7"/>
  <c r="AC167" i="7"/>
  <c r="AC168" i="7"/>
  <c r="AC169" i="7"/>
  <c r="AC170" i="7"/>
  <c r="AC171" i="7"/>
  <c r="AC172" i="7"/>
  <c r="AC173" i="7"/>
  <c r="AC174" i="7"/>
  <c r="AC175" i="7"/>
  <c r="AC176" i="7"/>
  <c r="AC177" i="7"/>
  <c r="AC178" i="7"/>
  <c r="AC179" i="7"/>
  <c r="AC180" i="7"/>
  <c r="AC181" i="7"/>
  <c r="AC182" i="7"/>
  <c r="AC183" i="7"/>
  <c r="AC184" i="7"/>
  <c r="AC185" i="7"/>
  <c r="AC186" i="7"/>
  <c r="AC187" i="7"/>
  <c r="AC188" i="7"/>
  <c r="AC189" i="7"/>
  <c r="AC190" i="7"/>
  <c r="AC191" i="7"/>
  <c r="AC192" i="7"/>
  <c r="AC193" i="7"/>
  <c r="AC194" i="7"/>
  <c r="AC195" i="7"/>
  <c r="AC196" i="7"/>
  <c r="AC197" i="7"/>
  <c r="AC198" i="7"/>
  <c r="AC199" i="7"/>
  <c r="AC200" i="7"/>
  <c r="AC201" i="7"/>
  <c r="AC202" i="7"/>
  <c r="AC203" i="7"/>
  <c r="AC204" i="7"/>
  <c r="AC205" i="7"/>
  <c r="AC206" i="7"/>
  <c r="AC207" i="7"/>
  <c r="AC208" i="7"/>
  <c r="AC209" i="7"/>
  <c r="AC210" i="7"/>
  <c r="AC211" i="7"/>
  <c r="AC212" i="7"/>
  <c r="AC213" i="7"/>
  <c r="AC214" i="7"/>
  <c r="AC215" i="7"/>
  <c r="AC216" i="7"/>
  <c r="AC217" i="7"/>
  <c r="AC218" i="7"/>
  <c r="AC219" i="7"/>
  <c r="AC220" i="7"/>
  <c r="AC221" i="7"/>
  <c r="AC222" i="7"/>
  <c r="AC223" i="7"/>
  <c r="AC224" i="7"/>
  <c r="AC225" i="7"/>
  <c r="AC226" i="7"/>
  <c r="AC227" i="7"/>
  <c r="AC228" i="7"/>
  <c r="AC229" i="7"/>
  <c r="AC230" i="7"/>
  <c r="AC231" i="7"/>
  <c r="AC232" i="7"/>
  <c r="AC233" i="7"/>
  <c r="AC234" i="7"/>
  <c r="AC235" i="7"/>
  <c r="AC236" i="7"/>
  <c r="AC237" i="7"/>
  <c r="AC238" i="7"/>
  <c r="AC239" i="7"/>
  <c r="AC240" i="7"/>
  <c r="AC241" i="7"/>
  <c r="AC242" i="7"/>
  <c r="AC243" i="7"/>
  <c r="AC244" i="7"/>
  <c r="AC245" i="7"/>
  <c r="AC246" i="7"/>
  <c r="AC247" i="7"/>
  <c r="AC248" i="7"/>
  <c r="AC249" i="7"/>
  <c r="AC250" i="7"/>
  <c r="AC251" i="7"/>
  <c r="AC252" i="7"/>
  <c r="AC253" i="7"/>
  <c r="AC254" i="7"/>
  <c r="AC255" i="7"/>
  <c r="AC256" i="7"/>
  <c r="AC257" i="7"/>
  <c r="AC258" i="7"/>
  <c r="AC259" i="7"/>
  <c r="AC260" i="7"/>
  <c r="AC261" i="7"/>
  <c r="AC262" i="7"/>
  <c r="AC263" i="7"/>
  <c r="AC264" i="7"/>
  <c r="AC265" i="7"/>
  <c r="AC266" i="7"/>
  <c r="AC267" i="7"/>
  <c r="AC268" i="7"/>
  <c r="AC269" i="7"/>
  <c r="AC270" i="7"/>
  <c r="AC271" i="7"/>
  <c r="AC272" i="7"/>
  <c r="AC273" i="7"/>
  <c r="AC274" i="7"/>
  <c r="AC275" i="7"/>
  <c r="AC276" i="7"/>
  <c r="AC277" i="7"/>
  <c r="AC278" i="7"/>
  <c r="AC279" i="7"/>
  <c r="AC280" i="7"/>
  <c r="AC281" i="7"/>
  <c r="AC282" i="7"/>
  <c r="AC283" i="7"/>
  <c r="AC284" i="7"/>
  <c r="AC285" i="7"/>
  <c r="AC286" i="7"/>
  <c r="AC287" i="7"/>
  <c r="AC288" i="7"/>
  <c r="AC289" i="7"/>
  <c r="AC290" i="7"/>
  <c r="AC291" i="7"/>
  <c r="AC292" i="7"/>
  <c r="AC293" i="7"/>
  <c r="AC294" i="7"/>
  <c r="AC295" i="7"/>
  <c r="AC296" i="7"/>
  <c r="AC297" i="7"/>
  <c r="AC298" i="7"/>
  <c r="AC299" i="7"/>
  <c r="AC300" i="7"/>
  <c r="AC301" i="7"/>
  <c r="AC302" i="7"/>
  <c r="AC303" i="7"/>
  <c r="AC304" i="7"/>
  <c r="AC305" i="7"/>
  <c r="AC306" i="7"/>
  <c r="AC307" i="7"/>
  <c r="AC308" i="7"/>
  <c r="AC309" i="7"/>
  <c r="AC310" i="7"/>
  <c r="AC311" i="7"/>
  <c r="AC312" i="7"/>
  <c r="AC313" i="7"/>
  <c r="AC314" i="7"/>
  <c r="AC315" i="7"/>
  <c r="AC316" i="7"/>
  <c r="AC317" i="7"/>
  <c r="AC318" i="7"/>
  <c r="AC319" i="7"/>
  <c r="AC320" i="7"/>
  <c r="AC321" i="7"/>
  <c r="AC322" i="7"/>
  <c r="AC323" i="7"/>
  <c r="AC324" i="7"/>
  <c r="AC325" i="7"/>
  <c r="AC326" i="7"/>
  <c r="AC327" i="7"/>
  <c r="AC328" i="7"/>
  <c r="AC329" i="7"/>
  <c r="AC330" i="7"/>
  <c r="AC331" i="7"/>
  <c r="AC332" i="7"/>
  <c r="AC333" i="7"/>
  <c r="AC334" i="7"/>
  <c r="AC335" i="7"/>
  <c r="AC336" i="7"/>
  <c r="AC337" i="7"/>
  <c r="AC338" i="7"/>
  <c r="AC339" i="7"/>
  <c r="AC340" i="7"/>
  <c r="AC341" i="7"/>
  <c r="AC342" i="7"/>
  <c r="AC343" i="7"/>
  <c r="AC344" i="7"/>
  <c r="AC345" i="7"/>
  <c r="AC346" i="7"/>
  <c r="AC347" i="7"/>
  <c r="AC348" i="7"/>
  <c r="AC349" i="7"/>
  <c r="AC350" i="7"/>
  <c r="AC351" i="7"/>
  <c r="AC352" i="7"/>
  <c r="AC353" i="7"/>
  <c r="AC354" i="7"/>
  <c r="AC355" i="7"/>
  <c r="AC356" i="7"/>
  <c r="AC357" i="7"/>
  <c r="AC358" i="7"/>
  <c r="AC359" i="7"/>
  <c r="AC360" i="7"/>
  <c r="AC361" i="7"/>
  <c r="AC362" i="7"/>
  <c r="AC363" i="7"/>
  <c r="AC364" i="7"/>
  <c r="AC365" i="7"/>
  <c r="AC366" i="7"/>
  <c r="AC367" i="7"/>
  <c r="AC368" i="7"/>
  <c r="AC369" i="7"/>
  <c r="AC370" i="7"/>
  <c r="AC371" i="7"/>
  <c r="AC372" i="7"/>
  <c r="AC373" i="7"/>
  <c r="AC374" i="7"/>
  <c r="AC375" i="7"/>
  <c r="AC376" i="7"/>
  <c r="AC377" i="7"/>
  <c r="AC378" i="7"/>
  <c r="AC379" i="7"/>
  <c r="AC380" i="7"/>
  <c r="AC381" i="7"/>
  <c r="AC382" i="7"/>
  <c r="AC383" i="7"/>
  <c r="AC384" i="7"/>
  <c r="AC385" i="7"/>
  <c r="AC386" i="7"/>
  <c r="AC387" i="7"/>
  <c r="AC388" i="7"/>
  <c r="AC389" i="7"/>
  <c r="AC390" i="7"/>
  <c r="AC391" i="7"/>
  <c r="AC392" i="7"/>
  <c r="AC393" i="7"/>
  <c r="AC394" i="7"/>
  <c r="AC395" i="7"/>
  <c r="AC396" i="7"/>
  <c r="AC397" i="7"/>
  <c r="AC398" i="7"/>
  <c r="AC399" i="7"/>
  <c r="AI2" i="7"/>
  <c r="AI3"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D2" i="7"/>
  <c r="AD3" i="7"/>
  <c r="AD4" i="7"/>
  <c r="AD5" i="7"/>
  <c r="AD6" i="7"/>
  <c r="AD7" i="7"/>
  <c r="AD8" i="7"/>
  <c r="AD9" i="7"/>
  <c r="AD10" i="7"/>
  <c r="AD11" i="7"/>
  <c r="AD12" i="7"/>
  <c r="AD13" i="7"/>
  <c r="AD14" i="7"/>
  <c r="AD15" i="7"/>
  <c r="AD16" i="7"/>
  <c r="AD17" i="7"/>
  <c r="AD18" i="7"/>
  <c r="AD19" i="7"/>
  <c r="AD20" i="7"/>
  <c r="AD21" i="7"/>
  <c r="AD22" i="7"/>
  <c r="AD23" i="7"/>
  <c r="AD24" i="7"/>
  <c r="AD25" i="7"/>
  <c r="AD26" i="7"/>
  <c r="AD27" i="7"/>
  <c r="AD28" i="7"/>
  <c r="AD29" i="7"/>
  <c r="AD30" i="7"/>
  <c r="AD31" i="7"/>
  <c r="AD32" i="7"/>
  <c r="AD33" i="7"/>
  <c r="AD34" i="7"/>
  <c r="AD35" i="7"/>
  <c r="AD36" i="7"/>
  <c r="AD37" i="7"/>
  <c r="AD38" i="7"/>
  <c r="AD39" i="7"/>
  <c r="AD40" i="7"/>
  <c r="AD41" i="7"/>
  <c r="AD42" i="7"/>
  <c r="AD43" i="7"/>
  <c r="AD44" i="7"/>
  <c r="AD45" i="7"/>
  <c r="AD46" i="7"/>
  <c r="AD47" i="7"/>
  <c r="AD48" i="7"/>
  <c r="AD49" i="7"/>
  <c r="AD50" i="7"/>
  <c r="AD51" i="7"/>
  <c r="AD52" i="7"/>
  <c r="AD53" i="7"/>
  <c r="AD54" i="7"/>
  <c r="AD55" i="7"/>
  <c r="AD56" i="7"/>
  <c r="AD57" i="7"/>
  <c r="AD58" i="7"/>
  <c r="AD59" i="7"/>
  <c r="AD60" i="7"/>
  <c r="AD61" i="7"/>
  <c r="AD62" i="7"/>
  <c r="AD63" i="7"/>
  <c r="AD64" i="7"/>
  <c r="AD65" i="7"/>
  <c r="AD66" i="7"/>
  <c r="AD67" i="7"/>
  <c r="AD68" i="7"/>
  <c r="AD69" i="7"/>
  <c r="AD70" i="7"/>
  <c r="AD71" i="7"/>
  <c r="AD72" i="7"/>
  <c r="AD73" i="7"/>
  <c r="AD74" i="7"/>
  <c r="AD75" i="7"/>
  <c r="AD76" i="7"/>
  <c r="AD77" i="7"/>
  <c r="AD78" i="7"/>
  <c r="AD79" i="7"/>
  <c r="AD80" i="7"/>
  <c r="AD81" i="7"/>
  <c r="AD82" i="7"/>
  <c r="AD83" i="7"/>
  <c r="AD84" i="7"/>
  <c r="AD85" i="7"/>
  <c r="AD86" i="7"/>
  <c r="AD87" i="7"/>
  <c r="AD88" i="7"/>
  <c r="AD89" i="7"/>
  <c r="AD90" i="7"/>
  <c r="AD91" i="7"/>
  <c r="AD92" i="7"/>
  <c r="AD93" i="7"/>
  <c r="AD94" i="7"/>
  <c r="AD95" i="7"/>
  <c r="AD96" i="7"/>
  <c r="AD97" i="7"/>
  <c r="AD98" i="7"/>
  <c r="AD99" i="7"/>
  <c r="AD100" i="7"/>
  <c r="AD101" i="7"/>
  <c r="AD102" i="7"/>
  <c r="AD103" i="7"/>
  <c r="AD104" i="7"/>
  <c r="AD105" i="7"/>
  <c r="AD106" i="7"/>
  <c r="AD107" i="7"/>
  <c r="AD108" i="7"/>
  <c r="AD109" i="7"/>
  <c r="AD110" i="7"/>
  <c r="AD111" i="7"/>
  <c r="AD112" i="7"/>
  <c r="AD113" i="7"/>
  <c r="AD114" i="7"/>
  <c r="AD115" i="7"/>
  <c r="AD116" i="7"/>
  <c r="AD117" i="7"/>
  <c r="AD118" i="7"/>
  <c r="AD119" i="7"/>
  <c r="AD120" i="7"/>
  <c r="AD121" i="7"/>
  <c r="AD122" i="7"/>
  <c r="AD123" i="7"/>
  <c r="AD124" i="7"/>
  <c r="AD125" i="7"/>
  <c r="AD126" i="7"/>
  <c r="AD127" i="7"/>
  <c r="AD128" i="7"/>
  <c r="AD129" i="7"/>
  <c r="AD130" i="7"/>
  <c r="AD131" i="7"/>
  <c r="AD132" i="7"/>
  <c r="AD133" i="7"/>
  <c r="AD134" i="7"/>
  <c r="AD135" i="7"/>
  <c r="AD136" i="7"/>
  <c r="AD137" i="7"/>
  <c r="AD138" i="7"/>
  <c r="AD139" i="7"/>
  <c r="AD140" i="7"/>
  <c r="AD141" i="7"/>
  <c r="AD142" i="7"/>
  <c r="AD143" i="7"/>
  <c r="AD144" i="7"/>
  <c r="AD145" i="7"/>
  <c r="AD146" i="7"/>
  <c r="AD147" i="7"/>
  <c r="AD148" i="7"/>
  <c r="AD149" i="7"/>
  <c r="AD150" i="7"/>
  <c r="AD151" i="7"/>
  <c r="AD152" i="7"/>
  <c r="AD153" i="7"/>
  <c r="AD154" i="7"/>
  <c r="AD155" i="7"/>
  <c r="AD156" i="7"/>
  <c r="AD157" i="7"/>
  <c r="AD158" i="7"/>
  <c r="AD159" i="7"/>
  <c r="AD160" i="7"/>
  <c r="AD161" i="7"/>
  <c r="AD162" i="7"/>
  <c r="AD163" i="7"/>
  <c r="AD164" i="7"/>
  <c r="AD165" i="7"/>
  <c r="AD166" i="7"/>
  <c r="AD167" i="7"/>
  <c r="AD168" i="7"/>
  <c r="AD169" i="7"/>
  <c r="AD170" i="7"/>
  <c r="AD171" i="7"/>
  <c r="AD172" i="7"/>
  <c r="AD173" i="7"/>
  <c r="AD174" i="7"/>
  <c r="AD175" i="7"/>
  <c r="AD176" i="7"/>
  <c r="AD177" i="7"/>
  <c r="AD178" i="7"/>
  <c r="AD179" i="7"/>
  <c r="AD180" i="7"/>
  <c r="AD181" i="7"/>
  <c r="AD182" i="7"/>
  <c r="AD183" i="7"/>
  <c r="AD184" i="7"/>
  <c r="AD185" i="7"/>
  <c r="AD186" i="7"/>
  <c r="AD187" i="7"/>
  <c r="AD188" i="7"/>
  <c r="AD189" i="7"/>
  <c r="AD190" i="7"/>
  <c r="AD191" i="7"/>
  <c r="AD192" i="7"/>
  <c r="AD193" i="7"/>
  <c r="AD194" i="7"/>
  <c r="AD195" i="7"/>
  <c r="AD196" i="7"/>
  <c r="AD197" i="7"/>
  <c r="AD198" i="7"/>
  <c r="AD199" i="7"/>
  <c r="AD200" i="7"/>
  <c r="AD201" i="7"/>
  <c r="AD202" i="7"/>
  <c r="AD203" i="7"/>
  <c r="AD204" i="7"/>
  <c r="AD205" i="7"/>
  <c r="AD206" i="7"/>
  <c r="AD207" i="7"/>
  <c r="AD208" i="7"/>
  <c r="AD209" i="7"/>
  <c r="AD210" i="7"/>
  <c r="AD211" i="7"/>
  <c r="AD212" i="7"/>
  <c r="AD213" i="7"/>
  <c r="AD214" i="7"/>
  <c r="AD215" i="7"/>
  <c r="AD216" i="7"/>
  <c r="AD217" i="7"/>
  <c r="AD218" i="7"/>
  <c r="AD219" i="7"/>
  <c r="AD220" i="7"/>
  <c r="AD221" i="7"/>
  <c r="AD222" i="7"/>
  <c r="AD223" i="7"/>
  <c r="AD224" i="7"/>
  <c r="AD225" i="7"/>
  <c r="AD226" i="7"/>
  <c r="AD227" i="7"/>
  <c r="AD228" i="7"/>
  <c r="AD229" i="7"/>
  <c r="AD230" i="7"/>
  <c r="AD231" i="7"/>
  <c r="AD232" i="7"/>
  <c r="AD233" i="7"/>
  <c r="AD234" i="7"/>
  <c r="AD235" i="7"/>
  <c r="AD236" i="7"/>
  <c r="AD237" i="7"/>
  <c r="AD238" i="7"/>
  <c r="AD239" i="7"/>
  <c r="AD240" i="7"/>
  <c r="AD241" i="7"/>
  <c r="AD242" i="7"/>
  <c r="AD243" i="7"/>
  <c r="AD244" i="7"/>
  <c r="AD245" i="7"/>
  <c r="AD246" i="7"/>
  <c r="AD247" i="7"/>
  <c r="AD248" i="7"/>
  <c r="AD249" i="7"/>
  <c r="AD250" i="7"/>
  <c r="AD251" i="7"/>
  <c r="AD252" i="7"/>
  <c r="AD253" i="7"/>
  <c r="AD254" i="7"/>
  <c r="AD255" i="7"/>
  <c r="AD256" i="7"/>
  <c r="AD257" i="7"/>
  <c r="AD258" i="7"/>
  <c r="AD259" i="7"/>
  <c r="AD260" i="7"/>
  <c r="AD261" i="7"/>
  <c r="AD262" i="7"/>
  <c r="AD263" i="7"/>
  <c r="AD264" i="7"/>
  <c r="AD265" i="7"/>
  <c r="AD266" i="7"/>
  <c r="AD267" i="7"/>
  <c r="AD268" i="7"/>
  <c r="AD269" i="7"/>
  <c r="AD270" i="7"/>
  <c r="AD271" i="7"/>
  <c r="AD272" i="7"/>
  <c r="AD273" i="7"/>
  <c r="AD274" i="7"/>
  <c r="AD275" i="7"/>
  <c r="AD276" i="7"/>
  <c r="AD277" i="7"/>
  <c r="AD278" i="7"/>
  <c r="AD279" i="7"/>
  <c r="AD280" i="7"/>
  <c r="AD281" i="7"/>
  <c r="AD282" i="7"/>
  <c r="AD283" i="7"/>
  <c r="AD284" i="7"/>
  <c r="AD285" i="7"/>
  <c r="AD286" i="7"/>
  <c r="AD287" i="7"/>
  <c r="AD288" i="7"/>
  <c r="AD289" i="7"/>
  <c r="AD290" i="7"/>
  <c r="AD291" i="7"/>
  <c r="AD292" i="7"/>
  <c r="AD293" i="7"/>
  <c r="AD294" i="7"/>
  <c r="AD295" i="7"/>
  <c r="AD296" i="7"/>
  <c r="AD297" i="7"/>
  <c r="AD298" i="7"/>
  <c r="AD299" i="7"/>
  <c r="AD300" i="7"/>
  <c r="AD301" i="7"/>
  <c r="AD302" i="7"/>
  <c r="AD303" i="7"/>
  <c r="AD304" i="7"/>
  <c r="AD305" i="7"/>
  <c r="AD306" i="7"/>
  <c r="AD307" i="7"/>
  <c r="AD308" i="7"/>
  <c r="AD309" i="7"/>
  <c r="AD310" i="7"/>
  <c r="AD311" i="7"/>
  <c r="AD312" i="7"/>
  <c r="AD313" i="7"/>
  <c r="AD314" i="7"/>
  <c r="AD315" i="7"/>
  <c r="AD316" i="7"/>
  <c r="AD317" i="7"/>
  <c r="AD318" i="7"/>
  <c r="AD319" i="7"/>
  <c r="AD320" i="7"/>
  <c r="AD321" i="7"/>
  <c r="AD322" i="7"/>
  <c r="AD323" i="7"/>
  <c r="AD324" i="7"/>
  <c r="AD325" i="7"/>
  <c r="AD326" i="7"/>
  <c r="AD327" i="7"/>
  <c r="AD328" i="7"/>
  <c r="AD329" i="7"/>
  <c r="AD330" i="7"/>
  <c r="AD331" i="7"/>
  <c r="AD332" i="7"/>
  <c r="AD333" i="7"/>
  <c r="AD334" i="7"/>
  <c r="AD335" i="7"/>
  <c r="AD336" i="7"/>
  <c r="AD337" i="7"/>
  <c r="AD338" i="7"/>
  <c r="AD339" i="7"/>
  <c r="AD340" i="7"/>
  <c r="AD341" i="7"/>
  <c r="AD342" i="7"/>
  <c r="AD343" i="7"/>
  <c r="AD344" i="7"/>
  <c r="AD345" i="7"/>
  <c r="AD346" i="7"/>
  <c r="AD347" i="7"/>
  <c r="AD348" i="7"/>
  <c r="AD349" i="7"/>
  <c r="AD350" i="7"/>
  <c r="AD351" i="7"/>
  <c r="AD352" i="7"/>
  <c r="AD353" i="7"/>
  <c r="AD354" i="7"/>
  <c r="AD355" i="7"/>
  <c r="AD356" i="7"/>
  <c r="AD357" i="7"/>
  <c r="AD358" i="7"/>
  <c r="AD359" i="7"/>
  <c r="AD360" i="7"/>
  <c r="AD361" i="7"/>
  <c r="AD362" i="7"/>
  <c r="AD363" i="7"/>
  <c r="AD364" i="7"/>
  <c r="AD365" i="7"/>
  <c r="AD366" i="7"/>
  <c r="AD367" i="7"/>
  <c r="AD368" i="7"/>
  <c r="AD369" i="7"/>
  <c r="AD370" i="7"/>
  <c r="AD371" i="7"/>
  <c r="AD372" i="7"/>
  <c r="AD373" i="7"/>
  <c r="AD374" i="7"/>
  <c r="AD375" i="7"/>
  <c r="AD376" i="7"/>
  <c r="AD377" i="7"/>
  <c r="AD378" i="7"/>
  <c r="AD379" i="7"/>
  <c r="AD380" i="7"/>
  <c r="AD381" i="7"/>
  <c r="AD382" i="7"/>
  <c r="AD383" i="7"/>
  <c r="AD384" i="7"/>
  <c r="AD385" i="7"/>
  <c r="AD386" i="7"/>
  <c r="AD387" i="7"/>
  <c r="AD388" i="7"/>
  <c r="AD389" i="7"/>
  <c r="AD390" i="7"/>
  <c r="AD391" i="7"/>
  <c r="AD392" i="7"/>
  <c r="AD393" i="7"/>
  <c r="AD394" i="7"/>
  <c r="AD395" i="7"/>
  <c r="AD396" i="7"/>
  <c r="AD397" i="7"/>
  <c r="AD398" i="7"/>
  <c r="AD399"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J2" i="7" a="1"/>
  <c r="J2" i="7" s="1"/>
  <c r="J3" i="7" a="1"/>
  <c r="J3" i="7" s="1"/>
  <c r="J4" i="7" a="1"/>
  <c r="J4" i="7" s="1"/>
  <c r="J5" i="7" a="1"/>
  <c r="J5" i="7" s="1"/>
  <c r="J6" i="7" a="1"/>
  <c r="J6" i="7" s="1"/>
  <c r="J7" i="7" a="1"/>
  <c r="J7" i="7" s="1"/>
  <c r="J8" i="7" a="1"/>
  <c r="J8" i="7" s="1"/>
  <c r="J9" i="7" a="1"/>
  <c r="J9" i="7" s="1"/>
  <c r="J10" i="7" a="1"/>
  <c r="J10" i="7" s="1"/>
  <c r="J11" i="7" a="1"/>
  <c r="J11" i="7" s="1"/>
  <c r="J12" i="7" a="1"/>
  <c r="J12" i="7" s="1"/>
  <c r="J13" i="7" a="1"/>
  <c r="J13" i="7" s="1"/>
  <c r="J14" i="7" a="1"/>
  <c r="J14" i="7" s="1"/>
  <c r="J15" i="7" a="1"/>
  <c r="J15" i="7" s="1"/>
  <c r="J16" i="7" a="1"/>
  <c r="J16" i="7" s="1"/>
  <c r="J17" i="7" a="1"/>
  <c r="J17" i="7" s="1"/>
  <c r="J18" i="7" a="1"/>
  <c r="J18" i="7" s="1"/>
  <c r="J19" i="7" a="1"/>
  <c r="J19" i="7" s="1"/>
  <c r="J20" i="7" a="1"/>
  <c r="J20" i="7" s="1"/>
  <c r="J21" i="7" a="1"/>
  <c r="J21" i="7" s="1"/>
  <c r="J22" i="7" a="1"/>
  <c r="J22" i="7" s="1"/>
  <c r="J23" i="7" a="1"/>
  <c r="J23" i="7" s="1"/>
  <c r="J24" i="7" a="1"/>
  <c r="J24" i="7" s="1"/>
  <c r="J25" i="7" a="1"/>
  <c r="J25" i="7" s="1"/>
  <c r="J26" i="7" a="1"/>
  <c r="J26" i="7" s="1"/>
  <c r="J27" i="7" a="1"/>
  <c r="J27" i="7" s="1"/>
  <c r="J28" i="7" a="1"/>
  <c r="J28" i="7" s="1"/>
  <c r="J29" i="7" a="1"/>
  <c r="J29" i="7" s="1"/>
  <c r="J30" i="7" a="1"/>
  <c r="J30" i="7" s="1"/>
  <c r="J31" i="7" a="1"/>
  <c r="J31" i="7" s="1"/>
  <c r="J32" i="7" a="1"/>
  <c r="J32" i="7" s="1"/>
  <c r="J33" i="7" a="1"/>
  <c r="J33" i="7" s="1"/>
  <c r="J34" i="7" a="1"/>
  <c r="J34" i="7" s="1"/>
  <c r="J35" i="7" a="1"/>
  <c r="J35" i="7" s="1"/>
  <c r="J36" i="7" a="1"/>
  <c r="J36" i="7" s="1"/>
  <c r="J37" i="7" a="1"/>
  <c r="J37" i="7" s="1"/>
  <c r="J38" i="7" a="1"/>
  <c r="J38" i="7" s="1"/>
  <c r="J39" i="7" a="1"/>
  <c r="J39" i="7" s="1"/>
  <c r="J40" i="7" a="1"/>
  <c r="J40" i="7" s="1"/>
  <c r="J41" i="7" a="1"/>
  <c r="J41"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J55" i="7" a="1"/>
  <c r="J55" i="7" s="1"/>
  <c r="J56" i="7" a="1"/>
  <c r="J56" i="7" s="1"/>
  <c r="J57" i="7" a="1"/>
  <c r="J57" i="7" s="1"/>
  <c r="J58" i="7" a="1"/>
  <c r="J58" i="7" s="1"/>
  <c r="J59" i="7" a="1"/>
  <c r="J59" i="7" s="1"/>
  <c r="J60" i="7" a="1"/>
  <c r="J60" i="7" s="1"/>
  <c r="J61" i="7" a="1"/>
  <c r="J61" i="7" s="1"/>
  <c r="J62" i="7" a="1"/>
  <c r="J62" i="7" s="1"/>
  <c r="J63" i="7" a="1"/>
  <c r="J63" i="7" s="1"/>
  <c r="J64" i="7" a="1"/>
  <c r="J64" i="7" s="1"/>
  <c r="J65" i="7" a="1"/>
  <c r="J65" i="7" s="1"/>
  <c r="J66" i="7" a="1"/>
  <c r="J66" i="7" s="1"/>
  <c r="J67" i="7" a="1"/>
  <c r="J67" i="7" s="1"/>
  <c r="J68" i="7" a="1"/>
  <c r="J68" i="7" s="1"/>
  <c r="J69" i="7" a="1"/>
  <c r="J69" i="7" s="1"/>
  <c r="J70" i="7" a="1"/>
  <c r="J70" i="7" s="1"/>
  <c r="J71" i="7" a="1"/>
  <c r="J71" i="7" s="1"/>
  <c r="J72" i="7" a="1"/>
  <c r="J72" i="7" s="1"/>
  <c r="J73" i="7" a="1"/>
  <c r="J73" i="7" s="1"/>
  <c r="J74" i="7" a="1"/>
  <c r="J74" i="7" s="1"/>
  <c r="J75" i="7" a="1"/>
  <c r="J75" i="7" s="1"/>
  <c r="J77" i="7" a="1"/>
  <c r="J77" i="7" s="1"/>
  <c r="J79" i="7" a="1"/>
  <c r="J79" i="7" s="1"/>
  <c r="J80" i="7" a="1"/>
  <c r="J80" i="7" s="1"/>
  <c r="J81" i="7" a="1"/>
  <c r="J81" i="7" s="1"/>
  <c r="J82" i="7" a="1"/>
  <c r="J82" i="7" s="1"/>
  <c r="J83" i="7" a="1"/>
  <c r="J83" i="7" s="1"/>
  <c r="J84" i="7" a="1"/>
  <c r="J84" i="7" s="1"/>
  <c r="J85" i="7" a="1"/>
  <c r="J85" i="7" s="1"/>
  <c r="J86" i="7" a="1"/>
  <c r="J86" i="7" s="1"/>
  <c r="J87" i="7" a="1"/>
  <c r="J87" i="7" s="1"/>
  <c r="J88" i="7" a="1"/>
  <c r="J88" i="7" s="1"/>
  <c r="J89" i="7" a="1"/>
  <c r="J89" i="7" s="1"/>
  <c r="J90" i="7" a="1"/>
  <c r="J90" i="7" s="1"/>
  <c r="J91" i="7" a="1"/>
  <c r="J91" i="7" s="1"/>
  <c r="J92" i="7" a="1"/>
  <c r="J92" i="7" s="1"/>
  <c r="J95" i="7" a="1"/>
  <c r="J95" i="7" s="1"/>
  <c r="J96" i="7" a="1"/>
  <c r="J96" i="7" s="1"/>
  <c r="J97" i="7" a="1"/>
  <c r="J97" i="7" s="1"/>
  <c r="J98" i="7" a="1"/>
  <c r="J98" i="7" s="1"/>
  <c r="J99" i="7" a="1"/>
  <c r="J99" i="7" s="1"/>
  <c r="J100" i="7" a="1"/>
  <c r="J100" i="7" s="1"/>
  <c r="J101" i="7" a="1"/>
  <c r="J101" i="7" s="1"/>
  <c r="J102" i="7" a="1"/>
  <c r="J102" i="7" s="1"/>
  <c r="J103" i="7" a="1"/>
  <c r="J103" i="7" s="1"/>
  <c r="J104" i="7" a="1"/>
  <c r="J104" i="7" s="1"/>
  <c r="J105" i="7" a="1"/>
  <c r="J105" i="7" s="1"/>
  <c r="J106" i="7" a="1"/>
  <c r="J106" i="7" s="1"/>
  <c r="J107" i="7" a="1"/>
  <c r="J107" i="7" s="1"/>
  <c r="J108" i="7" a="1"/>
  <c r="J108" i="7" s="1"/>
  <c r="J109" i="7" a="1"/>
  <c r="J109" i="7" s="1"/>
  <c r="J110" i="7" a="1"/>
  <c r="J110" i="7" s="1"/>
  <c r="J111" i="7" a="1"/>
  <c r="J111" i="7" s="1"/>
  <c r="J112" i="7" a="1"/>
  <c r="J112" i="7" s="1"/>
  <c r="J113" i="7" a="1"/>
  <c r="J113" i="7" s="1"/>
  <c r="J114" i="7" a="1"/>
  <c r="J114" i="7" s="1"/>
  <c r="J115" i="7" a="1"/>
  <c r="J115" i="7" s="1"/>
  <c r="J116" i="7" a="1"/>
  <c r="J116" i="7" s="1"/>
  <c r="J117" i="7" a="1"/>
  <c r="J117" i="7" s="1"/>
  <c r="J118" i="7" a="1"/>
  <c r="J118" i="7" s="1"/>
  <c r="J121" i="7" a="1"/>
  <c r="J121" i="7" s="1"/>
  <c r="J122" i="7" a="1"/>
  <c r="J122" i="7" s="1"/>
  <c r="J123" i="7" a="1"/>
  <c r="J123" i="7" s="1"/>
  <c r="J124" i="7" a="1"/>
  <c r="J124" i="7" s="1"/>
  <c r="J125" i="7" a="1"/>
  <c r="J125" i="7" s="1"/>
  <c r="J126" i="7" a="1"/>
  <c r="J126" i="7" s="1"/>
  <c r="J127" i="7" a="1"/>
  <c r="J127" i="7" s="1"/>
  <c r="J128" i="7" a="1"/>
  <c r="J128" i="7" s="1"/>
  <c r="J129" i="7" a="1"/>
  <c r="J129" i="7" s="1"/>
  <c r="J130" i="7" a="1"/>
  <c r="J130" i="7" s="1"/>
  <c r="J131" i="7" a="1"/>
  <c r="J131" i="7" s="1"/>
  <c r="J132" i="7" a="1"/>
  <c r="J132" i="7" s="1"/>
  <c r="J133" i="7" a="1"/>
  <c r="J133" i="7" s="1"/>
  <c r="J134" i="7" a="1"/>
  <c r="J134" i="7" s="1"/>
  <c r="J135" i="7" a="1"/>
  <c r="J135" i="7" s="1"/>
  <c r="J136" i="7" a="1"/>
  <c r="J136" i="7" s="1"/>
  <c r="J137" i="7" a="1"/>
  <c r="J137" i="7" s="1"/>
  <c r="J138" i="7" a="1"/>
  <c r="J138" i="7" s="1"/>
  <c r="J139" i="7" a="1"/>
  <c r="J139" i="7" s="1"/>
  <c r="J140" i="7" a="1"/>
  <c r="J140" i="7" s="1"/>
  <c r="J141" i="7" a="1"/>
  <c r="J141" i="7" s="1"/>
  <c r="J142" i="7" a="1"/>
  <c r="J142" i="7" s="1"/>
  <c r="J143" i="7" a="1"/>
  <c r="J143" i="7" s="1"/>
  <c r="J144" i="7" a="1"/>
  <c r="J144" i="7" s="1"/>
  <c r="J145" i="7" a="1"/>
  <c r="J145" i="7" s="1"/>
  <c r="J146" i="7" a="1"/>
  <c r="J146" i="7" s="1"/>
  <c r="J147" i="7" a="1"/>
  <c r="J147" i="7" s="1"/>
  <c r="J148" i="7" a="1"/>
  <c r="J148" i="7" s="1"/>
  <c r="J149" i="7" a="1"/>
  <c r="J149" i="7" s="1"/>
  <c r="J150" i="7" a="1"/>
  <c r="J150" i="7" s="1"/>
  <c r="J151" i="7" a="1"/>
  <c r="J151" i="7" s="1"/>
  <c r="J152" i="7" a="1"/>
  <c r="J152" i="7" s="1"/>
  <c r="J153" i="7" a="1"/>
  <c r="J153" i="7" s="1"/>
  <c r="J154" i="7" a="1"/>
  <c r="J154" i="7" s="1"/>
  <c r="J155" i="7" a="1"/>
  <c r="J155" i="7" s="1"/>
  <c r="J156" i="7" a="1"/>
  <c r="J156" i="7" s="1"/>
  <c r="J157" i="7" a="1"/>
  <c r="J157" i="7" s="1"/>
  <c r="J158" i="7" a="1"/>
  <c r="J158" i="7" s="1"/>
  <c r="J159" i="7" a="1"/>
  <c r="J159" i="7" s="1"/>
  <c r="J160" i="7" a="1"/>
  <c r="J160" i="7" s="1"/>
  <c r="J162" i="7" a="1"/>
  <c r="J162" i="7" s="1"/>
  <c r="J163" i="7" a="1"/>
  <c r="J163" i="7" s="1"/>
  <c r="J164" i="7" a="1"/>
  <c r="J164" i="7" s="1"/>
  <c r="J165" i="7" a="1"/>
  <c r="J165" i="7" s="1"/>
  <c r="J166" i="7" a="1"/>
  <c r="J166" i="7" s="1"/>
  <c r="J170" i="7" a="1"/>
  <c r="J170" i="7" s="1"/>
  <c r="J171" i="7" a="1"/>
  <c r="J171" i="7" s="1"/>
  <c r="J172" i="7" a="1"/>
  <c r="J172" i="7" s="1"/>
  <c r="J173" i="7" a="1"/>
  <c r="J173" i="7" s="1"/>
  <c r="J174" i="7" a="1"/>
  <c r="J174" i="7" s="1"/>
  <c r="J175" i="7" a="1"/>
  <c r="J175" i="7" s="1"/>
  <c r="J176" i="7" a="1"/>
  <c r="J176" i="7" s="1"/>
  <c r="J177" i="7" a="1"/>
  <c r="J177" i="7" s="1"/>
  <c r="J178" i="7" a="1"/>
  <c r="J178" i="7" s="1"/>
  <c r="J179" i="7" a="1"/>
  <c r="J179" i="7" s="1"/>
  <c r="J180" i="7" a="1"/>
  <c r="J180" i="7" s="1"/>
  <c r="J181" i="7" a="1"/>
  <c r="J181" i="7" s="1"/>
  <c r="J182" i="7" a="1"/>
  <c r="J182" i="7" s="1"/>
  <c r="J183" i="7" a="1"/>
  <c r="J183" i="7" s="1"/>
  <c r="J184" i="7" a="1"/>
  <c r="J184" i="7" s="1"/>
  <c r="J185" i="7" a="1"/>
  <c r="J185" i="7" s="1"/>
  <c r="J186" i="7" a="1"/>
  <c r="J186" i="7" s="1"/>
  <c r="J187" i="7" a="1"/>
  <c r="J187" i="7" s="1"/>
  <c r="J188" i="7" a="1"/>
  <c r="J188" i="7" s="1"/>
  <c r="J189" i="7" a="1"/>
  <c r="J189" i="7" s="1"/>
  <c r="J190" i="7" a="1"/>
  <c r="J190" i="7" s="1"/>
  <c r="J191" i="7" a="1"/>
  <c r="J191" i="7" s="1"/>
  <c r="J192" i="7" a="1"/>
  <c r="J192" i="7" s="1"/>
  <c r="J193" i="7" a="1"/>
  <c r="J193" i="7" s="1"/>
  <c r="J194" i="7" a="1"/>
  <c r="J194" i="7" s="1"/>
  <c r="J195" i="7" a="1"/>
  <c r="J195" i="7" s="1"/>
  <c r="J196" i="7" a="1"/>
  <c r="J196" i="7" s="1"/>
  <c r="J197" i="7" a="1"/>
  <c r="J197" i="7" s="1"/>
  <c r="J198" i="7" a="1"/>
  <c r="J198" i="7" s="1"/>
  <c r="J199" i="7" a="1"/>
  <c r="J199" i="7" s="1"/>
  <c r="J200" i="7" a="1"/>
  <c r="J200" i="7" s="1"/>
  <c r="J201" i="7" a="1"/>
  <c r="J201" i="7" s="1"/>
  <c r="J202" i="7" a="1"/>
  <c r="J202" i="7" s="1"/>
  <c r="J203" i="7" a="1"/>
  <c r="J203" i="7" s="1"/>
  <c r="J204" i="7" a="1"/>
  <c r="J204" i="7" s="1"/>
  <c r="J205" i="7" a="1"/>
  <c r="J205" i="7" s="1"/>
  <c r="J206" i="7" a="1"/>
  <c r="J206" i="7" s="1"/>
  <c r="J207" i="7" a="1"/>
  <c r="J207" i="7" s="1"/>
  <c r="J208" i="7" a="1"/>
  <c r="J208" i="7" s="1"/>
  <c r="J209" i="7" a="1"/>
  <c r="J209" i="7" s="1"/>
  <c r="J210" i="7" a="1"/>
  <c r="J210" i="7" s="1"/>
  <c r="J211" i="7" a="1"/>
  <c r="J211" i="7" s="1"/>
  <c r="J212" i="7" a="1"/>
  <c r="J212" i="7" s="1"/>
  <c r="J213" i="7" a="1"/>
  <c r="J213" i="7" s="1"/>
  <c r="J214" i="7" a="1"/>
  <c r="J214" i="7" s="1"/>
  <c r="J215" i="7" a="1"/>
  <c r="J215" i="7" s="1"/>
  <c r="J216" i="7" a="1"/>
  <c r="J216" i="7" s="1"/>
  <c r="J217" i="7" a="1"/>
  <c r="J217" i="7" s="1"/>
  <c r="J218" i="7" a="1"/>
  <c r="J218" i="7" s="1"/>
  <c r="J219" i="7" a="1"/>
  <c r="J219" i="7" s="1"/>
  <c r="J220" i="7" a="1"/>
  <c r="J220" i="7" s="1"/>
  <c r="J221" i="7" a="1"/>
  <c r="J221" i="7" s="1"/>
  <c r="J222" i="7" a="1"/>
  <c r="J222" i="7" s="1"/>
  <c r="J223" i="7" a="1"/>
  <c r="J223" i="7" s="1"/>
  <c r="J224" i="7" a="1"/>
  <c r="J224" i="7" s="1"/>
  <c r="J225" i="7" a="1"/>
  <c r="J225" i="7" s="1"/>
  <c r="J226" i="7" a="1"/>
  <c r="J226" i="7" s="1"/>
  <c r="J227" i="7" a="1"/>
  <c r="J227" i="7" s="1"/>
  <c r="J228" i="7" a="1"/>
  <c r="J228" i="7" s="1"/>
  <c r="J229" i="7" a="1"/>
  <c r="J229" i="7" s="1"/>
  <c r="J230" i="7" a="1"/>
  <c r="J230" i="7" s="1"/>
  <c r="J231" i="7" a="1"/>
  <c r="J231" i="7" s="1"/>
  <c r="J232" i="7" a="1"/>
  <c r="J232" i="7" s="1"/>
  <c r="J233" i="7" a="1"/>
  <c r="J233" i="7" s="1"/>
  <c r="J234" i="7" a="1"/>
  <c r="J234" i="7" s="1"/>
  <c r="J235" i="7" a="1"/>
  <c r="J235" i="7" s="1"/>
  <c r="J236" i="7" a="1"/>
  <c r="J236" i="7" s="1"/>
  <c r="J237" i="7" a="1"/>
  <c r="J237" i="7" s="1"/>
  <c r="J238" i="7" a="1"/>
  <c r="J238" i="7" s="1"/>
  <c r="J239" i="7" a="1"/>
  <c r="J239" i="7" s="1"/>
  <c r="J240" i="7" a="1"/>
  <c r="J240" i="7" s="1"/>
  <c r="J241" i="7" a="1"/>
  <c r="J241" i="7" s="1"/>
  <c r="J242" i="7" a="1"/>
  <c r="J242" i="7" s="1"/>
  <c r="J243" i="7" a="1"/>
  <c r="J243" i="7" s="1"/>
  <c r="J244" i="7" a="1"/>
  <c r="J244" i="7" s="1"/>
  <c r="J245" i="7" a="1"/>
  <c r="J245" i="7" s="1"/>
  <c r="J246" i="7" a="1"/>
  <c r="J246" i="7" s="1"/>
  <c r="J247" i="7" a="1"/>
  <c r="J247" i="7" s="1"/>
  <c r="J248" i="7" a="1"/>
  <c r="J248" i="7" s="1"/>
  <c r="J249" i="7" a="1"/>
  <c r="J249" i="7" s="1"/>
  <c r="J250" i="7" a="1"/>
  <c r="J250" i="7" s="1"/>
  <c r="J251" i="7" a="1"/>
  <c r="J251" i="7" s="1"/>
  <c r="J252" i="7" a="1"/>
  <c r="J252" i="7" s="1"/>
  <c r="J253" i="7" a="1"/>
  <c r="J253" i="7" s="1"/>
  <c r="J254" i="7" a="1"/>
  <c r="J254" i="7" s="1"/>
  <c r="J255" i="7" a="1"/>
  <c r="J255" i="7" s="1"/>
  <c r="J256" i="7" a="1"/>
  <c r="J256" i="7" s="1"/>
  <c r="J257" i="7" a="1"/>
  <c r="J257" i="7" s="1"/>
  <c r="J258" i="7" a="1"/>
  <c r="J258" i="7" s="1"/>
  <c r="J259" i="7" a="1"/>
  <c r="J259" i="7" s="1"/>
  <c r="J260" i="7" a="1"/>
  <c r="J260" i="7" s="1"/>
  <c r="J261" i="7" a="1"/>
  <c r="J261" i="7" s="1"/>
  <c r="J262" i="7" a="1"/>
  <c r="J262" i="7" s="1"/>
  <c r="J263" i="7" a="1"/>
  <c r="J263" i="7" s="1"/>
  <c r="J264" i="7" a="1"/>
  <c r="J264" i="7" s="1"/>
  <c r="J265" i="7" a="1"/>
  <c r="J265" i="7" s="1"/>
  <c r="J267" i="7" a="1"/>
  <c r="J267" i="7" s="1"/>
  <c r="J268" i="7" a="1"/>
  <c r="J268" i="7" s="1"/>
  <c r="J269" i="7" a="1"/>
  <c r="J269" i="7" s="1"/>
  <c r="J270" i="7" a="1"/>
  <c r="J270" i="7" s="1"/>
  <c r="J271" i="7" a="1"/>
  <c r="J271" i="7" s="1"/>
  <c r="J272" i="7" a="1"/>
  <c r="J272" i="7" s="1"/>
  <c r="J273" i="7" a="1"/>
  <c r="J273" i="7" s="1"/>
  <c r="J274" i="7" a="1"/>
  <c r="J274" i="7" s="1"/>
  <c r="J275" i="7" a="1"/>
  <c r="J275" i="7" s="1"/>
  <c r="J276" i="7" a="1"/>
  <c r="J276" i="7" s="1"/>
  <c r="J277" i="7" a="1"/>
  <c r="J277" i="7" s="1"/>
  <c r="J278" i="7" a="1"/>
  <c r="J278" i="7" s="1"/>
  <c r="J279" i="7" a="1"/>
  <c r="J279" i="7" s="1"/>
  <c r="J280" i="7" a="1"/>
  <c r="J280" i="7" s="1"/>
  <c r="J281" i="7" a="1"/>
  <c r="J281" i="7" s="1"/>
  <c r="J282" i="7" a="1"/>
  <c r="J282" i="7" s="1"/>
  <c r="J283" i="7" a="1"/>
  <c r="J283" i="7" s="1"/>
  <c r="J284" i="7" a="1"/>
  <c r="J284" i="7" s="1"/>
  <c r="J285" i="7" a="1"/>
  <c r="J285" i="7" s="1"/>
  <c r="J286" i="7" a="1"/>
  <c r="J286" i="7" s="1"/>
  <c r="J287" i="7" a="1"/>
  <c r="J287" i="7" s="1"/>
  <c r="J288" i="7" a="1"/>
  <c r="J288" i="7" s="1"/>
  <c r="J289" i="7" a="1"/>
  <c r="J289" i="7" s="1"/>
  <c r="J290" i="7" a="1"/>
  <c r="J290" i="7" s="1"/>
  <c r="J291" i="7" a="1"/>
  <c r="J291" i="7" s="1"/>
  <c r="J292" i="7" a="1"/>
  <c r="J292" i="7" s="1"/>
  <c r="J293" i="7" a="1"/>
  <c r="J293" i="7" s="1"/>
  <c r="J294" i="7" a="1"/>
  <c r="J294" i="7" s="1"/>
  <c r="J295" i="7" a="1"/>
  <c r="J295" i="7" s="1"/>
  <c r="J296" i="7" a="1"/>
  <c r="J296" i="7" s="1"/>
  <c r="J297" i="7" a="1"/>
  <c r="J297" i="7" s="1"/>
  <c r="J299" i="7" a="1"/>
  <c r="J299" i="7" s="1"/>
  <c r="J300" i="7" a="1"/>
  <c r="J300" i="7" s="1"/>
  <c r="J301" i="7" a="1"/>
  <c r="J301" i="7" s="1"/>
  <c r="J302" i="7" a="1"/>
  <c r="J302" i="7" s="1"/>
  <c r="J303" i="7" a="1"/>
  <c r="J303" i="7" s="1"/>
  <c r="J304" i="7" a="1"/>
  <c r="J304" i="7" s="1"/>
  <c r="J305" i="7" a="1"/>
  <c r="J305" i="7" s="1"/>
  <c r="J306" i="7" a="1"/>
  <c r="J306" i="7" s="1"/>
  <c r="J307" i="7" a="1"/>
  <c r="J307" i="7" s="1"/>
  <c r="J308" i="7" a="1"/>
  <c r="J308" i="7" s="1"/>
  <c r="J309" i="7" a="1"/>
  <c r="J309" i="7" s="1"/>
  <c r="J310" i="7" a="1"/>
  <c r="J310" i="7" s="1"/>
  <c r="J311" i="7" a="1"/>
  <c r="J311" i="7" s="1"/>
  <c r="J312" i="7" a="1"/>
  <c r="J312" i="7" s="1"/>
  <c r="J313" i="7" a="1"/>
  <c r="J313" i="7" s="1"/>
  <c r="J314" i="7" a="1"/>
  <c r="J314" i="7" s="1"/>
  <c r="J315" i="7" a="1"/>
  <c r="J315" i="7" s="1"/>
  <c r="J316" i="7" a="1"/>
  <c r="J316" i="7" s="1"/>
  <c r="J317" i="7" a="1"/>
  <c r="J317" i="7" s="1"/>
  <c r="J318" i="7" a="1"/>
  <c r="J318" i="7" s="1"/>
  <c r="J319" i="7" a="1"/>
  <c r="J319" i="7" s="1"/>
  <c r="J320" i="7" a="1"/>
  <c r="J320" i="7" s="1"/>
  <c r="J321" i="7" a="1"/>
  <c r="J321" i="7" s="1"/>
  <c r="J322" i="7" a="1"/>
  <c r="J322" i="7" s="1"/>
  <c r="J323" i="7" a="1"/>
  <c r="J323" i="7" s="1"/>
  <c r="J324" i="7" a="1"/>
  <c r="J324" i="7" s="1"/>
  <c r="J325" i="7" a="1"/>
  <c r="J325" i="7" s="1"/>
  <c r="J326" i="7" a="1"/>
  <c r="J326" i="7" s="1"/>
  <c r="J327" i="7" a="1"/>
  <c r="J327" i="7" s="1"/>
  <c r="J328" i="7" a="1"/>
  <c r="J328" i="7" s="1"/>
  <c r="J329" i="7" a="1"/>
  <c r="J329" i="7" s="1"/>
  <c r="J330" i="7" a="1"/>
  <c r="J330" i="7" s="1"/>
  <c r="J331" i="7" a="1"/>
  <c r="J331" i="7" s="1"/>
  <c r="J332" i="7" a="1"/>
  <c r="J332" i="7" s="1"/>
  <c r="J333" i="7" a="1"/>
  <c r="J333" i="7" s="1"/>
  <c r="J334" i="7" a="1"/>
  <c r="J334" i="7" s="1"/>
  <c r="J335" i="7" a="1"/>
  <c r="J335" i="7" s="1"/>
  <c r="J336" i="7" a="1"/>
  <c r="J336" i="7" s="1"/>
  <c r="J337" i="7" a="1"/>
  <c r="J337" i="7" s="1"/>
  <c r="J338" i="7" a="1"/>
  <c r="J338" i="7" s="1"/>
  <c r="J339" i="7" a="1"/>
  <c r="J339" i="7" s="1"/>
  <c r="J340" i="7" a="1"/>
  <c r="J340" i="7" s="1"/>
  <c r="J341" i="7" a="1"/>
  <c r="J341" i="7" s="1"/>
  <c r="J342" i="7" a="1"/>
  <c r="J342" i="7" s="1"/>
  <c r="J343" i="7" a="1"/>
  <c r="J343" i="7" s="1"/>
  <c r="J344" i="7" a="1"/>
  <c r="J344" i="7" s="1"/>
  <c r="J345" i="7" a="1"/>
  <c r="J345" i="7" s="1"/>
  <c r="J346" i="7" a="1"/>
  <c r="J346" i="7" s="1"/>
  <c r="J347" i="7" a="1"/>
  <c r="J347" i="7" s="1"/>
  <c r="J348" i="7" a="1"/>
  <c r="J348" i="7" s="1"/>
  <c r="J349" i="7" a="1"/>
  <c r="J349" i="7" s="1"/>
  <c r="J350" i="7" a="1"/>
  <c r="J350" i="7" s="1"/>
  <c r="J351" i="7" a="1"/>
  <c r="J351" i="7" s="1"/>
  <c r="J352" i="7" a="1"/>
  <c r="J352" i="7" s="1"/>
  <c r="J353" i="7" a="1"/>
  <c r="J353" i="7" s="1"/>
  <c r="J354" i="7" a="1"/>
  <c r="J354" i="7" s="1"/>
  <c r="J355" i="7" a="1"/>
  <c r="J355" i="7" s="1"/>
  <c r="J356" i="7" a="1"/>
  <c r="J356" i="7" s="1"/>
  <c r="J357" i="7" a="1"/>
  <c r="J357" i="7" s="1"/>
  <c r="J358" i="7" a="1"/>
  <c r="J358" i="7" s="1"/>
  <c r="J359" i="7" a="1"/>
  <c r="J359" i="7" s="1"/>
  <c r="J360" i="7" a="1"/>
  <c r="J360" i="7" s="1"/>
  <c r="J361" i="7" a="1"/>
  <c r="J361" i="7" s="1"/>
  <c r="J362" i="7" a="1"/>
  <c r="J362" i="7" s="1"/>
  <c r="J363" i="7" a="1"/>
  <c r="J363" i="7" s="1"/>
  <c r="J364" i="7" a="1"/>
  <c r="J364" i="7" s="1"/>
  <c r="J366" i="7" a="1"/>
  <c r="J366" i="7" s="1"/>
  <c r="J367" i="7" a="1"/>
  <c r="J367" i="7" s="1"/>
  <c r="J368" i="7" a="1"/>
  <c r="J368" i="7" s="1"/>
  <c r="J369" i="7" a="1"/>
  <c r="J369" i="7" s="1"/>
  <c r="J370" i="7" a="1"/>
  <c r="J370" i="7" s="1"/>
  <c r="J371" i="7" a="1"/>
  <c r="J371" i="7" s="1"/>
  <c r="J372" i="7" a="1"/>
  <c r="J372" i="7" s="1"/>
  <c r="J373" i="7" a="1"/>
  <c r="J373" i="7" s="1"/>
  <c r="J374" i="7" a="1"/>
  <c r="J374" i="7" s="1"/>
  <c r="J375" i="7" a="1"/>
  <c r="J375" i="7" s="1"/>
  <c r="J376" i="7" a="1"/>
  <c r="J376" i="7" s="1"/>
  <c r="J377" i="7" a="1"/>
  <c r="J377" i="7" s="1"/>
  <c r="J378" i="7" a="1"/>
  <c r="J378" i="7" s="1"/>
  <c r="J379" i="7" a="1"/>
  <c r="J379" i="7" s="1"/>
  <c r="J380" i="7" a="1"/>
  <c r="J380" i="7" s="1"/>
  <c r="J381" i="7" a="1"/>
  <c r="J381" i="7" s="1"/>
  <c r="J382" i="7" a="1"/>
  <c r="J382" i="7" s="1"/>
  <c r="J383" i="7" a="1"/>
  <c r="J383" i="7" s="1"/>
  <c r="J384" i="7" a="1"/>
  <c r="J384" i="7" s="1"/>
  <c r="J385" i="7" a="1"/>
  <c r="J385" i="7" s="1"/>
  <c r="J386" i="7" a="1"/>
  <c r="J386" i="7" s="1"/>
  <c r="J387" i="7" a="1"/>
  <c r="J387" i="7" s="1"/>
  <c r="J388" i="7" a="1"/>
  <c r="J388" i="7" s="1"/>
  <c r="J389" i="7" a="1"/>
  <c r="J389" i="7" s="1"/>
  <c r="J390" i="7" a="1"/>
  <c r="J390" i="7" s="1"/>
  <c r="J391" i="7" a="1"/>
  <c r="J391" i="7" s="1"/>
  <c r="J392" i="7" a="1"/>
  <c r="J392" i="7" s="1"/>
  <c r="J393" i="7" a="1"/>
  <c r="J393" i="7" s="1"/>
  <c r="J394" i="7" a="1"/>
  <c r="J394" i="7" s="1"/>
  <c r="J395" i="7" a="1"/>
  <c r="J395" i="7" s="1"/>
  <c r="J396" i="7" a="1"/>
  <c r="J396" i="7" s="1"/>
  <c r="J397" i="7" a="1"/>
  <c r="J397" i="7" s="1"/>
  <c r="J398" i="7" a="1"/>
  <c r="J398" i="7" s="1"/>
  <c r="J399" i="7" a="1"/>
  <c r="J399" i="7" s="1"/>
  <c r="C388" i="7"/>
  <c r="C366" i="7"/>
  <c r="C337" i="7"/>
  <c r="C300" i="7"/>
  <c r="C172" i="7"/>
  <c r="C164" i="7"/>
  <c r="C162" i="7"/>
  <c r="C92" i="7"/>
  <c r="C91" i="7"/>
  <c r="C53" i="7"/>
  <c r="C52" i="7"/>
  <c r="C51" i="7"/>
  <c r="I365" i="7"/>
  <c r="J365" i="7" s="1" a="1"/>
  <c r="J365" i="7" s="1"/>
  <c r="I298" i="7"/>
  <c r="J298" i="7" s="1" a="1"/>
  <c r="J298" i="7" s="1"/>
  <c r="I266" i="7"/>
  <c r="J266" i="7" s="1" a="1"/>
  <c r="J266" i="7" s="1"/>
  <c r="I169" i="7"/>
  <c r="J169" i="7" s="1" a="1"/>
  <c r="J169" i="7" s="1"/>
  <c r="I168" i="7"/>
  <c r="J168" i="7" s="1" a="1"/>
  <c r="J168" i="7" s="1"/>
  <c r="I167" i="7"/>
  <c r="J167" i="7" s="1" a="1"/>
  <c r="J167" i="7" s="1"/>
  <c r="I161" i="7"/>
  <c r="J161" i="7" s="1" a="1"/>
  <c r="J161" i="7" s="1"/>
  <c r="I120" i="7"/>
  <c r="J120" i="7" s="1" a="1"/>
  <c r="J120" i="7" s="1"/>
  <c r="I119" i="7"/>
  <c r="J119" i="7" s="1" a="1"/>
  <c r="J119" i="7" s="1"/>
  <c r="I94" i="7"/>
  <c r="J94" i="7" s="1" a="1"/>
  <c r="J94" i="7" s="1"/>
  <c r="I93" i="7"/>
  <c r="J93" i="7" s="1" a="1"/>
  <c r="J93" i="7" s="1"/>
  <c r="I78" i="7"/>
  <c r="J78" i="7" s="1" a="1"/>
  <c r="J78" i="7" s="1"/>
  <c r="I76" i="7"/>
  <c r="J76" i="7" s="1" a="1"/>
  <c r="J76" i="7" s="1"/>
  <c r="Z325" i="7" l="1" a="1"/>
  <c r="Z325" i="7" s="1"/>
  <c r="Z3" i="7" a="1"/>
  <c r="Z3" i="7" s="1"/>
  <c r="Z11" i="7" a="1"/>
  <c r="Z11" i="7" s="1"/>
  <c r="Z15" i="7" a="1"/>
  <c r="Z15" i="7" s="1"/>
  <c r="Z19" i="7" a="1"/>
  <c r="Z19" i="7" s="1"/>
  <c r="Z24" i="7" a="1"/>
  <c r="Z24" i="7" s="1"/>
  <c r="Z29" i="7" a="1"/>
  <c r="Z29" i="7" s="1"/>
  <c r="Z35" i="7" a="1"/>
  <c r="Z35" i="7" s="1"/>
  <c r="Z42" i="7" a="1"/>
  <c r="Z42" i="7" s="1"/>
  <c r="Z46" i="7" a="1"/>
  <c r="Z46" i="7" s="1"/>
  <c r="Z53" i="7" a="1"/>
  <c r="Z53" i="7" s="1"/>
  <c r="Z59" i="7" a="1"/>
  <c r="Z59" i="7" s="1"/>
  <c r="Z66" i="7" a="1"/>
  <c r="Z66" i="7" s="1"/>
  <c r="Z71" i="7" a="1"/>
  <c r="Z71" i="7" s="1"/>
  <c r="Z78" i="7" a="1"/>
  <c r="Z78" i="7" s="1"/>
  <c r="Z85" i="7" a="1"/>
  <c r="Z85" i="7" s="1"/>
  <c r="Z93" i="7" a="1"/>
  <c r="Z93" i="7" s="1"/>
  <c r="Z100" i="7" a="1"/>
  <c r="Z100" i="7" s="1"/>
  <c r="Z108" i="7" a="1"/>
  <c r="Z108" i="7" s="1"/>
  <c r="Z115" i="7" a="1"/>
  <c r="Z115" i="7" s="1"/>
  <c r="Z121" i="7" a="1"/>
  <c r="Z121" i="7" s="1"/>
  <c r="Z128" i="7" a="1"/>
  <c r="Z128" i="7" s="1"/>
  <c r="Z135" i="7" a="1"/>
  <c r="Z135" i="7" s="1"/>
  <c r="Z142" i="7" a="1"/>
  <c r="Z142" i="7" s="1"/>
  <c r="Z148" i="7" a="1"/>
  <c r="Z148" i="7" s="1"/>
  <c r="Z155" i="7" a="1"/>
  <c r="Z155" i="7" s="1"/>
  <c r="Z160" i="7" a="1"/>
  <c r="Z160" i="7" s="1"/>
  <c r="Z167" i="7" a="1"/>
  <c r="Z167" i="7" s="1"/>
  <c r="Z173" i="7" a="1"/>
  <c r="Z173" i="7" s="1"/>
  <c r="Z180" i="7" a="1"/>
  <c r="Z180" i="7" s="1"/>
  <c r="Z190" i="7" a="1"/>
  <c r="Z190" i="7" s="1"/>
  <c r="Z198" i="7" a="1"/>
  <c r="Z198" i="7" s="1"/>
  <c r="Z204" i="7" a="1"/>
  <c r="Z204" i="7" s="1"/>
  <c r="Z211" i="7" a="1"/>
  <c r="Z211" i="7" s="1"/>
  <c r="Z219" i="7" a="1"/>
  <c r="Z219" i="7" s="1"/>
  <c r="Z226" i="7" a="1"/>
  <c r="Z226" i="7" s="1"/>
  <c r="Z234" i="7" a="1"/>
  <c r="Z234" i="7" s="1"/>
  <c r="Z242" i="7" a="1"/>
  <c r="Z242" i="7" s="1"/>
  <c r="Z249" i="7" a="1"/>
  <c r="Z249" i="7" s="1"/>
  <c r="Z257" i="7" a="1"/>
  <c r="Z257" i="7" s="1"/>
  <c r="Z263" i="7" a="1"/>
  <c r="Z263" i="7" s="1"/>
  <c r="Z271" i="7" a="1"/>
  <c r="Z271" i="7" s="1"/>
  <c r="Z279" i="7" a="1"/>
  <c r="Z279" i="7" s="1"/>
  <c r="Z286" i="7" a="1"/>
  <c r="Z286" i="7" s="1"/>
  <c r="Z291" i="7" a="1"/>
  <c r="Z291" i="7" s="1"/>
  <c r="Z297" i="7" a="1"/>
  <c r="Z297" i="7" s="1"/>
  <c r="Z305" i="7" a="1"/>
  <c r="Z305" i="7" s="1"/>
  <c r="Z313" i="7" a="1"/>
  <c r="Z313" i="7" s="1"/>
  <c r="Z320" i="7" a="1"/>
  <c r="Z320" i="7" s="1"/>
  <c r="Z328" i="7" a="1"/>
  <c r="Z328" i="7" s="1"/>
  <c r="Z335" i="7" a="1"/>
  <c r="Z335" i="7" s="1"/>
  <c r="Z341" i="7" a="1"/>
  <c r="Z341" i="7" s="1"/>
  <c r="Z349" i="7" a="1"/>
  <c r="Z349" i="7" s="1"/>
  <c r="Z359" i="7" a="1"/>
  <c r="Z359" i="7" s="1"/>
  <c r="Z367" i="7" a="1"/>
  <c r="Z367" i="7" s="1"/>
  <c r="Z375" i="7" a="1"/>
  <c r="Z375" i="7" s="1"/>
  <c r="Z380" i="7" a="1"/>
  <c r="Z380" i="7" s="1"/>
  <c r="Z386" i="7" a="1"/>
  <c r="Z386" i="7" s="1"/>
  <c r="Z394" i="7" a="1"/>
  <c r="Z394" i="7" s="1"/>
  <c r="Z9" i="7" a="1"/>
  <c r="Z9" i="7" s="1"/>
  <c r="Z13" i="7" a="1"/>
  <c r="Z13" i="7" s="1"/>
  <c r="Z17" i="7" a="1"/>
  <c r="Z17" i="7" s="1"/>
  <c r="Z23" i="7" a="1"/>
  <c r="Z23" i="7" s="1"/>
  <c r="Z28" i="7" a="1"/>
  <c r="Z28" i="7" s="1"/>
  <c r="Z34" i="7" a="1"/>
  <c r="Z34" i="7" s="1"/>
  <c r="Z41" i="7" a="1"/>
  <c r="Z41" i="7" s="1"/>
  <c r="Z45" i="7" a="1"/>
  <c r="Z45" i="7" s="1"/>
  <c r="Z52" i="7" a="1"/>
  <c r="Z52" i="7" s="1"/>
  <c r="Z58" i="7" a="1"/>
  <c r="Z58" i="7" s="1"/>
  <c r="Z65" i="7" a="1"/>
  <c r="Z65" i="7" s="1"/>
  <c r="Z74" i="7" a="1"/>
  <c r="Z74" i="7" s="1"/>
  <c r="Z77" i="7" a="1"/>
  <c r="Z77" i="7" s="1"/>
  <c r="Z84" i="7" a="1"/>
  <c r="Z84" i="7" s="1"/>
  <c r="Z91" i="7" a="1"/>
  <c r="Z91" i="7" s="1"/>
  <c r="Z99" i="7" a="1"/>
  <c r="Z99" i="7" s="1"/>
  <c r="Z106" i="7" a="1"/>
  <c r="Z106" i="7" s="1"/>
  <c r="Z114" i="7" a="1"/>
  <c r="Z114" i="7" s="1"/>
  <c r="Z120" i="7" a="1"/>
  <c r="Z120" i="7" s="1"/>
  <c r="Z127" i="7" a="1"/>
  <c r="Z127" i="7" s="1"/>
  <c r="Z134" i="7" a="1"/>
  <c r="Z134" i="7" s="1"/>
  <c r="Z140" i="7" a="1"/>
  <c r="Z140" i="7" s="1"/>
  <c r="Z147" i="7" a="1"/>
  <c r="Z147" i="7" s="1"/>
  <c r="Z154" i="7" a="1"/>
  <c r="Z154" i="7" s="1"/>
  <c r="Z159" i="7" a="1"/>
  <c r="Z159" i="7" s="1"/>
  <c r="Z166" i="7" a="1"/>
  <c r="Z166" i="7" s="1"/>
  <c r="Z172" i="7" a="1"/>
  <c r="Z172" i="7" s="1"/>
  <c r="Z181" i="7" a="1"/>
  <c r="Z181" i="7" s="1"/>
  <c r="Z188" i="7" a="1"/>
  <c r="Z188" i="7" s="1"/>
  <c r="Z194" i="7" a="1"/>
  <c r="Z194" i="7" s="1"/>
  <c r="Z201" i="7" a="1"/>
  <c r="Z201" i="7" s="1"/>
  <c r="Z209" i="7" a="1"/>
  <c r="Z209" i="7" s="1"/>
  <c r="Z216" i="7" a="1"/>
  <c r="Z216" i="7" s="1"/>
  <c r="Z224" i="7" a="1"/>
  <c r="Z224" i="7" s="1"/>
  <c r="Z232" i="7" a="1"/>
  <c r="Z232" i="7" s="1"/>
  <c r="Z240" i="7" a="1"/>
  <c r="Z240" i="7" s="1"/>
  <c r="Z247" i="7" a="1"/>
  <c r="Z247" i="7" s="1"/>
  <c r="Z253" i="7" a="1"/>
  <c r="Z253" i="7" s="1"/>
  <c r="Z261" i="7" a="1"/>
  <c r="Z261" i="7" s="1"/>
  <c r="Z269" i="7" a="1"/>
  <c r="Z269" i="7" s="1"/>
  <c r="Z277" i="7" a="1"/>
  <c r="Z277" i="7" s="1"/>
  <c r="Z285" i="7" a="1"/>
  <c r="Z285" i="7" s="1"/>
  <c r="Z293" i="7" a="1"/>
  <c r="Z293" i="7" s="1"/>
  <c r="Z301" i="7" a="1"/>
  <c r="Z301" i="7" s="1"/>
  <c r="Z307" i="7" a="1"/>
  <c r="Z307" i="7" s="1"/>
  <c r="Z315" i="7" a="1"/>
  <c r="Z315" i="7" s="1"/>
  <c r="Z323" i="7" a="1"/>
  <c r="Z323" i="7" s="1"/>
  <c r="Z330" i="7" a="1"/>
  <c r="Z330" i="7" s="1"/>
  <c r="Z338" i="7" a="1"/>
  <c r="Z338" i="7" s="1"/>
  <c r="Z345" i="7" a="1"/>
  <c r="Z345" i="7" s="1"/>
  <c r="Z351" i="7" a="1"/>
  <c r="Z351" i="7" s="1"/>
  <c r="Z358" i="7" a="1"/>
  <c r="Z358" i="7" s="1"/>
  <c r="Z366" i="7" a="1"/>
  <c r="Z366" i="7" s="1"/>
  <c r="Z373" i="7" a="1"/>
  <c r="Z373" i="7" s="1"/>
  <c r="Z381" i="7" a="1"/>
  <c r="Z381" i="7" s="1"/>
  <c r="Z387" i="7" a="1"/>
  <c r="Z387" i="7" s="1"/>
  <c r="Z395" i="7" a="1"/>
  <c r="Z395" i="7" s="1"/>
  <c r="Z8" i="7" a="1"/>
  <c r="Z8" i="7" s="1"/>
  <c r="Z14" i="7" a="1"/>
  <c r="Z14" i="7" s="1"/>
  <c r="Z18" i="7" a="1"/>
  <c r="Z18" i="7" s="1"/>
  <c r="Z25" i="7" a="1"/>
  <c r="Z25" i="7" s="1"/>
  <c r="Z30" i="7" a="1"/>
  <c r="Z30" i="7" s="1"/>
  <c r="Z36" i="7" a="1"/>
  <c r="Z36" i="7" s="1"/>
  <c r="Z43" i="7" a="1"/>
  <c r="Z43" i="7" s="1"/>
  <c r="Z47" i="7" a="1"/>
  <c r="Z47" i="7" s="1"/>
  <c r="Z54" i="7" a="1"/>
  <c r="Z54" i="7" s="1"/>
  <c r="Z60" i="7" a="1"/>
  <c r="Z60" i="7" s="1"/>
  <c r="Z67" i="7" a="1"/>
  <c r="Z67" i="7" s="1"/>
  <c r="Z73" i="7" a="1"/>
  <c r="Z73" i="7" s="1"/>
  <c r="Z87" i="7" a="1"/>
  <c r="Z87" i="7" s="1"/>
  <c r="Z96" i="7" a="1"/>
  <c r="Z96" i="7" s="1"/>
  <c r="Z105" i="7" a="1"/>
  <c r="Z105" i="7" s="1"/>
  <c r="Z113" i="7" a="1"/>
  <c r="Z113" i="7" s="1"/>
  <c r="Z129" i="7" a="1"/>
  <c r="Z129" i="7" s="1"/>
  <c r="Z137" i="7" a="1"/>
  <c r="Z137" i="7" s="1"/>
  <c r="Z144" i="7" a="1"/>
  <c r="Z144" i="7" s="1"/>
  <c r="Z151" i="7" a="1"/>
  <c r="Z151" i="7" s="1"/>
  <c r="Z158" i="7" a="1"/>
  <c r="Z158" i="7" s="1"/>
  <c r="Z165" i="7" a="1"/>
  <c r="Z165" i="7" s="1"/>
  <c r="Z174" i="7" a="1"/>
  <c r="Z174" i="7" s="1"/>
  <c r="Z183" i="7" a="1"/>
  <c r="Z183" i="7" s="1"/>
  <c r="Z191" i="7" a="1"/>
  <c r="Z191" i="7" s="1"/>
  <c r="Z200" i="7" a="1"/>
  <c r="Z200" i="7" s="1"/>
  <c r="Z208" i="7" a="1"/>
  <c r="Z208" i="7" s="1"/>
  <c r="Z217" i="7" a="1"/>
  <c r="Z217" i="7" s="1"/>
  <c r="Z227" i="7" a="1"/>
  <c r="Z227" i="7" s="1"/>
  <c r="Z235" i="7" a="1"/>
  <c r="Z235" i="7" s="1"/>
  <c r="Z243" i="7" a="1"/>
  <c r="Z243" i="7" s="1"/>
  <c r="Z252" i="7" a="1"/>
  <c r="Z252" i="7" s="1"/>
  <c r="Z260" i="7" a="1"/>
  <c r="Z260" i="7" s="1"/>
  <c r="Z268" i="7" a="1"/>
  <c r="Z268" i="7" s="1"/>
  <c r="Z278" i="7" a="1"/>
  <c r="Z278" i="7" s="1"/>
  <c r="Z287" i="7" a="1"/>
  <c r="Z287" i="7" s="1"/>
  <c r="Z296" i="7" a="1"/>
  <c r="Z296" i="7" s="1"/>
  <c r="Z304" i="7" a="1"/>
  <c r="Z304" i="7" s="1"/>
  <c r="Z312" i="7" a="1"/>
  <c r="Z312" i="7" s="1"/>
  <c r="Z321" i="7" a="1"/>
  <c r="Z321" i="7" s="1"/>
  <c r="Z331" i="7" a="1"/>
  <c r="Z331" i="7" s="1"/>
  <c r="Z339" i="7" a="1"/>
  <c r="Z339" i="7" s="1"/>
  <c r="Z347" i="7" a="1"/>
  <c r="Z347" i="7" s="1"/>
  <c r="Z356" i="7" a="1"/>
  <c r="Z356" i="7" s="1"/>
  <c r="Z364" i="7" a="1"/>
  <c r="Z364" i="7" s="1"/>
  <c r="Z374" i="7" a="1"/>
  <c r="Z374" i="7" s="1"/>
  <c r="Z384" i="7" a="1"/>
  <c r="Z384" i="7" s="1"/>
  <c r="Z392" i="7" a="1"/>
  <c r="Z392" i="7" s="1"/>
  <c r="Z10" i="7" a="1"/>
  <c r="Z10" i="7" s="1"/>
  <c r="Z12" i="7" a="1"/>
  <c r="Z12" i="7" s="1"/>
  <c r="Z16" i="7" a="1"/>
  <c r="Z16" i="7" s="1"/>
  <c r="Z22" i="7" a="1"/>
  <c r="Z22" i="7" s="1"/>
  <c r="Z27" i="7" a="1"/>
  <c r="Z27" i="7" s="1"/>
  <c r="Z33" i="7" a="1"/>
  <c r="Z33" i="7" s="1"/>
  <c r="Z40" i="7" a="1"/>
  <c r="Z40" i="7" s="1"/>
  <c r="Z44" i="7" a="1"/>
  <c r="Z44" i="7" s="1"/>
  <c r="Z51" i="7" a="1"/>
  <c r="Z51" i="7" s="1"/>
  <c r="Z57" i="7" a="1"/>
  <c r="Z57" i="7" s="1"/>
  <c r="Z64" i="7" a="1"/>
  <c r="Z64" i="7" s="1"/>
  <c r="Z72" i="7" a="1"/>
  <c r="Z72" i="7" s="1"/>
  <c r="Z80" i="7" a="1"/>
  <c r="Z80" i="7" s="1"/>
  <c r="Z88" i="7" a="1"/>
  <c r="Z88" i="7" s="1"/>
  <c r="Z97" i="7" a="1"/>
  <c r="Z97" i="7" s="1"/>
  <c r="Z104" i="7" a="1"/>
  <c r="Z104" i="7" s="1"/>
  <c r="Z112" i="7" a="1"/>
  <c r="Z112" i="7" s="1"/>
  <c r="Z122" i="7" a="1"/>
  <c r="Z122" i="7" s="1"/>
  <c r="Z178" i="7" a="1"/>
  <c r="Z178" i="7" s="1"/>
  <c r="Z187" i="7" a="1"/>
  <c r="Z187" i="7" s="1"/>
  <c r="Z196" i="7" a="1"/>
  <c r="Z196" i="7" s="1"/>
  <c r="Z205" i="7" a="1"/>
  <c r="Z205" i="7" s="1"/>
  <c r="Z213" i="7" a="1"/>
  <c r="Z213" i="7" s="1"/>
  <c r="Z221" i="7" a="1"/>
  <c r="Z221" i="7" s="1"/>
  <c r="Z229" i="7" a="1"/>
  <c r="Z229" i="7" s="1"/>
  <c r="Z237" i="7" a="1"/>
  <c r="Z237" i="7" s="1"/>
  <c r="Z245" i="7" a="1"/>
  <c r="Z245" i="7" s="1"/>
  <c r="Z255" i="7" a="1"/>
  <c r="Z255" i="7" s="1"/>
  <c r="Z264" i="7" a="1"/>
  <c r="Z264" i="7" s="1"/>
  <c r="Z272" i="7" a="1"/>
  <c r="Z272" i="7" s="1"/>
  <c r="Z280" i="7" a="1"/>
  <c r="Z280" i="7" s="1"/>
  <c r="Z289" i="7" a="1"/>
  <c r="Z289" i="7" s="1"/>
  <c r="Z299" i="7" a="1"/>
  <c r="Z299" i="7" s="1"/>
  <c r="Z308" i="7" a="1"/>
  <c r="Z308" i="7" s="1"/>
  <c r="Z317" i="7" a="1"/>
  <c r="Z317" i="7" s="1"/>
  <c r="Z2" i="7" a="1"/>
  <c r="Z2" i="7" s="1"/>
  <c r="Z333" i="7" a="1"/>
  <c r="Z333" i="7" s="1"/>
  <c r="Z343" i="7" a="1"/>
  <c r="Z343" i="7" s="1"/>
  <c r="Z352" i="7" a="1"/>
  <c r="Z352" i="7" s="1"/>
  <c r="Z361" i="7" a="1"/>
  <c r="Z361" i="7" s="1"/>
  <c r="Z369" i="7" a="1"/>
  <c r="Z369" i="7" s="1"/>
  <c r="Z377" i="7" a="1"/>
  <c r="Z377" i="7" s="1"/>
  <c r="Z388" i="7" a="1"/>
  <c r="Z388" i="7" s="1"/>
  <c r="Z397" i="7" a="1"/>
  <c r="Z397" i="7" s="1"/>
  <c r="Z6" i="7" a="1"/>
  <c r="Z6" i="7" s="1"/>
  <c r="Z79" i="7" a="1"/>
  <c r="Z79" i="7" s="1"/>
  <c r="Z86" i="7" a="1"/>
  <c r="Z86" i="7" s="1"/>
  <c r="Z94" i="7" a="1"/>
  <c r="Z94" i="7" s="1"/>
  <c r="Z101" i="7" a="1"/>
  <c r="Z101" i="7" s="1"/>
  <c r="Z109" i="7" a="1"/>
  <c r="Z109" i="7" s="1"/>
  <c r="Z116" i="7" a="1"/>
  <c r="Z116" i="7" s="1"/>
  <c r="Z123" i="7" a="1"/>
  <c r="Z123" i="7" s="1"/>
  <c r="Z130" i="7" a="1"/>
  <c r="Z130" i="7" s="1"/>
  <c r="Z136" i="7" a="1"/>
  <c r="Z136" i="7" s="1"/>
  <c r="Z143" i="7" a="1"/>
  <c r="Z143" i="7" s="1"/>
  <c r="Z149" i="7" a="1"/>
  <c r="Z149" i="7" s="1"/>
  <c r="Z156" i="7" a="1"/>
  <c r="Z156" i="7" s="1"/>
  <c r="Z162" i="7" a="1"/>
  <c r="Z162" i="7" s="1"/>
  <c r="Z168" i="7" a="1"/>
  <c r="Z168" i="7" s="1"/>
  <c r="Z175" i="7" a="1"/>
  <c r="Z175" i="7" s="1"/>
  <c r="Z182" i="7" a="1"/>
  <c r="Z182" i="7" s="1"/>
  <c r="Z189" i="7" a="1"/>
  <c r="Z189" i="7" s="1"/>
  <c r="Z195" i="7" a="1"/>
  <c r="Z195" i="7" s="1"/>
  <c r="Z202" i="7" a="1"/>
  <c r="Z202" i="7" s="1"/>
  <c r="Z210" i="7" a="1"/>
  <c r="Z210" i="7" s="1"/>
  <c r="Z218" i="7" a="1"/>
  <c r="Z218" i="7" s="1"/>
  <c r="Z225" i="7" a="1"/>
  <c r="Z225" i="7" s="1"/>
  <c r="Z233" i="7" a="1"/>
  <c r="Z233" i="7" s="1"/>
  <c r="Z241" i="7" a="1"/>
  <c r="Z241" i="7" s="1"/>
  <c r="Z248" i="7" a="1"/>
  <c r="Z248" i="7" s="1"/>
  <c r="Z254" i="7" a="1"/>
  <c r="Z254" i="7" s="1"/>
  <c r="Z262" i="7" a="1"/>
  <c r="Z262" i="7" s="1"/>
  <c r="Z270" i="7" a="1"/>
  <c r="Z270" i="7" s="1"/>
  <c r="Z276" i="7" a="1"/>
  <c r="Z276" i="7" s="1"/>
  <c r="Z284" i="7" a="1"/>
  <c r="Z284" i="7" s="1"/>
  <c r="Z292" i="7" a="1"/>
  <c r="Z292" i="7" s="1"/>
  <c r="Z298" i="7" a="1"/>
  <c r="Z298" i="7" s="1"/>
  <c r="Z306" i="7" a="1"/>
  <c r="Z306" i="7" s="1"/>
  <c r="Z314" i="7" a="1"/>
  <c r="Z314" i="7" s="1"/>
  <c r="Z322" i="7" a="1"/>
  <c r="Z322" i="7" s="1"/>
  <c r="Z329" i="7" a="1"/>
  <c r="Z329" i="7" s="1"/>
  <c r="Z336" i="7" a="1"/>
  <c r="Z336" i="7" s="1"/>
  <c r="Z342" i="7" a="1"/>
  <c r="Z342" i="7" s="1"/>
  <c r="Z350" i="7" a="1"/>
  <c r="Z350" i="7" s="1"/>
  <c r="Z357" i="7" a="1"/>
  <c r="Z357" i="7" s="1"/>
  <c r="Z365" i="7" a="1"/>
  <c r="Z365" i="7" s="1"/>
  <c r="Z372" i="7" a="1"/>
  <c r="Z372" i="7" s="1"/>
  <c r="Z379" i="7" a="1"/>
  <c r="Z379" i="7" s="1"/>
  <c r="Z385" i="7" a="1"/>
  <c r="Z385" i="7" s="1"/>
  <c r="Z393" i="7" a="1"/>
  <c r="Z393" i="7" s="1"/>
  <c r="Z7" i="7" a="1"/>
  <c r="Z7" i="7" s="1"/>
  <c r="Z21" i="7" a="1"/>
  <c r="Z21" i="7" s="1"/>
  <c r="Z31" i="7" a="1"/>
  <c r="Z31" i="7" s="1"/>
  <c r="Z39" i="7" a="1"/>
  <c r="Z39" i="7" s="1"/>
  <c r="Z48" i="7" a="1"/>
  <c r="Z48" i="7" s="1"/>
  <c r="Z55" i="7" a="1"/>
  <c r="Z55" i="7" s="1"/>
  <c r="Z62" i="7" a="1"/>
  <c r="Z62" i="7" s="1"/>
  <c r="Z69" i="7" a="1"/>
  <c r="Z69" i="7" s="1"/>
  <c r="Z76" i="7" a="1"/>
  <c r="Z76" i="7" s="1"/>
  <c r="Z83" i="7" a="1"/>
  <c r="Z83" i="7" s="1"/>
  <c r="Z92" i="7" a="1"/>
  <c r="Z92" i="7" s="1"/>
  <c r="Z102" i="7" a="1"/>
  <c r="Z102" i="7" s="1"/>
  <c r="Z110" i="7" a="1"/>
  <c r="Z110" i="7" s="1"/>
  <c r="Z118" i="7" a="1"/>
  <c r="Z118" i="7" s="1"/>
  <c r="Z126" i="7" a="1"/>
  <c r="Z126" i="7" s="1"/>
  <c r="Z133" i="7" a="1"/>
  <c r="Z133" i="7" s="1"/>
  <c r="Z150" i="7" a="1"/>
  <c r="Z150" i="7" s="1"/>
  <c r="Z161" i="7" a="1"/>
  <c r="Z161" i="7" s="1"/>
  <c r="Z169" i="7" a="1"/>
  <c r="Z169" i="7" s="1"/>
  <c r="Z176" i="7" a="1"/>
  <c r="Z176" i="7" s="1"/>
  <c r="Z184" i="7" a="1"/>
  <c r="Z184" i="7" s="1"/>
  <c r="Z193" i="7" a="1"/>
  <c r="Z193" i="7" s="1"/>
  <c r="Z203" i="7" a="1"/>
  <c r="Z203" i="7" s="1"/>
  <c r="Z212" i="7" a="1"/>
  <c r="Z212" i="7" s="1"/>
  <c r="Z220" i="7" a="1"/>
  <c r="Z220" i="7" s="1"/>
  <c r="Z230" i="7" a="1"/>
  <c r="Z230" i="7" s="1"/>
  <c r="Z238" i="7" a="1"/>
  <c r="Z238" i="7" s="1"/>
  <c r="Z250" i="7" a="1"/>
  <c r="Z250" i="7" s="1"/>
  <c r="Z258" i="7" a="1"/>
  <c r="Z258" i="7" s="1"/>
  <c r="Z267" i="7" a="1"/>
  <c r="Z267" i="7" s="1"/>
  <c r="Z275" i="7" a="1"/>
  <c r="Z275" i="7" s="1"/>
  <c r="Z283" i="7" a="1"/>
  <c r="Z283" i="7" s="1"/>
  <c r="Z294" i="7" a="1"/>
  <c r="Z294" i="7" s="1"/>
  <c r="Z303" i="7" a="1"/>
  <c r="Z303" i="7" s="1"/>
  <c r="Z311" i="7" a="1"/>
  <c r="Z311" i="7" s="1"/>
  <c r="Z319" i="7" a="1"/>
  <c r="Z319" i="7" s="1"/>
  <c r="Z327" i="7" a="1"/>
  <c r="Z327" i="7" s="1"/>
  <c r="Z337" i="7" a="1"/>
  <c r="Z337" i="7" s="1"/>
  <c r="Z346" i="7" a="1"/>
  <c r="Z346" i="7" s="1"/>
  <c r="Z354" i="7" a="1"/>
  <c r="Z354" i="7" s="1"/>
  <c r="Z363" i="7" a="1"/>
  <c r="Z363" i="7" s="1"/>
  <c r="Z371" i="7" a="1"/>
  <c r="Z371" i="7" s="1"/>
  <c r="Z383" i="7" a="1"/>
  <c r="Z383" i="7" s="1"/>
  <c r="Z391" i="7" a="1"/>
  <c r="Z391" i="7" s="1"/>
  <c r="Z399" i="7" a="1"/>
  <c r="Z399" i="7" s="1"/>
  <c r="Z5" i="7" a="1"/>
  <c r="Z5" i="7" s="1"/>
  <c r="Z20" i="7" a="1"/>
  <c r="Z20" i="7" s="1"/>
  <c r="Z26" i="7" a="1"/>
  <c r="Z26" i="7" s="1"/>
  <c r="Z32" i="7" a="1"/>
  <c r="Z32" i="7" s="1"/>
  <c r="Z38" i="7" a="1"/>
  <c r="Z38" i="7" s="1"/>
  <c r="Z49" i="7" a="1"/>
  <c r="Z49" i="7" s="1"/>
  <c r="Z56" i="7" a="1"/>
  <c r="Z56" i="7" s="1"/>
  <c r="Z63" i="7" a="1"/>
  <c r="Z63" i="7" s="1"/>
  <c r="Z70" i="7" a="1"/>
  <c r="Z70" i="7" s="1"/>
  <c r="Z82" i="7" a="1"/>
  <c r="Z82" i="7" s="1"/>
  <c r="Z89" i="7" a="1"/>
  <c r="Z89" i="7" s="1"/>
  <c r="Z95" i="7" a="1"/>
  <c r="Z95" i="7" s="1"/>
  <c r="Z103" i="7" a="1"/>
  <c r="Z103" i="7" s="1"/>
  <c r="Z111" i="7" a="1"/>
  <c r="Z111" i="7" s="1"/>
  <c r="Z119" i="7" a="1"/>
  <c r="Z119" i="7" s="1"/>
  <c r="Z125" i="7" a="1"/>
  <c r="Z125" i="7" s="1"/>
  <c r="Z132" i="7" a="1"/>
  <c r="Z132" i="7" s="1"/>
  <c r="Z139" i="7" a="1"/>
  <c r="Z139" i="7" s="1"/>
  <c r="Z145" i="7" a="1"/>
  <c r="Z145" i="7" s="1"/>
  <c r="Z152" i="7" a="1"/>
  <c r="Z152" i="7" s="1"/>
  <c r="Z157" i="7" a="1"/>
  <c r="Z157" i="7" s="1"/>
  <c r="Z164" i="7" a="1"/>
  <c r="Z164" i="7" s="1"/>
  <c r="Z171" i="7" a="1"/>
  <c r="Z171" i="7" s="1"/>
  <c r="Z179" i="7" a="1"/>
  <c r="Z179" i="7" s="1"/>
  <c r="Z185" i="7" a="1"/>
  <c r="Z185" i="7" s="1"/>
  <c r="Z192" i="7" a="1"/>
  <c r="Z192" i="7" s="1"/>
  <c r="Z199" i="7" a="1"/>
  <c r="Z199" i="7" s="1"/>
  <c r="Z207" i="7" a="1"/>
  <c r="Z207" i="7" s="1"/>
  <c r="Z215" i="7" a="1"/>
  <c r="Z215" i="7" s="1"/>
  <c r="Z223" i="7" a="1"/>
  <c r="Z223" i="7" s="1"/>
  <c r="Z228" i="7" a="1"/>
  <c r="Z228" i="7" s="1"/>
  <c r="Z236" i="7" a="1"/>
  <c r="Z236" i="7" s="1"/>
  <c r="Z244" i="7" a="1"/>
  <c r="Z244" i="7" s="1"/>
  <c r="Z251" i="7" a="1"/>
  <c r="Z251" i="7" s="1"/>
  <c r="Z259" i="7" a="1"/>
  <c r="Z259" i="7" s="1"/>
  <c r="Z266" i="7" a="1"/>
  <c r="Z266" i="7" s="1"/>
  <c r="Z274" i="7" a="1"/>
  <c r="Z274" i="7" s="1"/>
  <c r="Z282" i="7" a="1"/>
  <c r="Z282" i="7" s="1"/>
  <c r="Z288" i="7" a="1"/>
  <c r="Z288" i="7" s="1"/>
  <c r="Z295" i="7" a="1"/>
  <c r="Z295" i="7" s="1"/>
  <c r="Z302" i="7" a="1"/>
  <c r="Z302" i="7" s="1"/>
  <c r="Z310" i="7" a="1"/>
  <c r="Z310" i="7" s="1"/>
  <c r="Z316" i="7" a="1"/>
  <c r="Z316" i="7" s="1"/>
  <c r="Z324" i="7" a="1"/>
  <c r="Z324" i="7" s="1"/>
  <c r="Z332" i="7" a="1"/>
  <c r="Z332" i="7" s="1"/>
  <c r="Z340" i="7" a="1"/>
  <c r="Z340" i="7" s="1"/>
  <c r="Z348" i="7" a="1"/>
  <c r="Z348" i="7" s="1"/>
  <c r="Z355" i="7" a="1"/>
  <c r="Z355" i="7" s="1"/>
  <c r="Z360" i="7" a="1"/>
  <c r="Z360" i="7" s="1"/>
  <c r="Z368" i="7" a="1"/>
  <c r="Z368" i="7" s="1"/>
  <c r="Z376" i="7" a="1"/>
  <c r="Z376" i="7" s="1"/>
  <c r="Z382" i="7" a="1"/>
  <c r="Z382" i="7" s="1"/>
  <c r="Z390" i="7" a="1"/>
  <c r="Z390" i="7" s="1"/>
  <c r="Z396" i="7" a="1"/>
  <c r="Z396" i="7" s="1"/>
  <c r="Z4" i="7" a="1"/>
  <c r="Z4" i="7" s="1"/>
  <c r="Z37" i="7" a="1"/>
  <c r="Z37" i="7" s="1"/>
  <c r="Z50" i="7" a="1"/>
  <c r="Z50" i="7" s="1"/>
  <c r="Z61" i="7" a="1"/>
  <c r="Z61" i="7" s="1"/>
  <c r="Z68" i="7" a="1"/>
  <c r="Z68" i="7" s="1"/>
  <c r="Z75" i="7" a="1"/>
  <c r="Z75" i="7" s="1"/>
  <c r="Z81" i="7" a="1"/>
  <c r="Z81" i="7" s="1"/>
  <c r="Z90" i="7" a="1"/>
  <c r="Z90" i="7" s="1"/>
  <c r="Z98" i="7" a="1"/>
  <c r="Z98" i="7" s="1"/>
  <c r="Z107" i="7" a="1"/>
  <c r="Z107" i="7" s="1"/>
  <c r="Z117" i="7" a="1"/>
  <c r="Z117" i="7" s="1"/>
  <c r="Z124" i="7" a="1"/>
  <c r="Z124" i="7" s="1"/>
  <c r="Z131" i="7" a="1"/>
  <c r="Z131" i="7" s="1"/>
  <c r="Z138" i="7" a="1"/>
  <c r="Z138" i="7" s="1"/>
  <c r="Z146" i="7" a="1"/>
  <c r="Z146" i="7" s="1"/>
  <c r="Z153" i="7" a="1"/>
  <c r="Z153" i="7" s="1"/>
  <c r="Z163" i="7" a="1"/>
  <c r="Z163" i="7" s="1"/>
  <c r="Z170" i="7" a="1"/>
  <c r="Z170" i="7" s="1"/>
  <c r="Z177" i="7" a="1"/>
  <c r="Z177" i="7" s="1"/>
  <c r="Z186" i="7" a="1"/>
  <c r="Z186" i="7" s="1"/>
  <c r="Z197" i="7" a="1"/>
  <c r="Z197" i="7" s="1"/>
  <c r="Z206" i="7" a="1"/>
  <c r="Z206" i="7" s="1"/>
  <c r="Z214" i="7" a="1"/>
  <c r="Z214" i="7" s="1"/>
  <c r="Z222" i="7" a="1"/>
  <c r="Z222" i="7" s="1"/>
  <c r="Z231" i="7" a="1"/>
  <c r="Z231" i="7" s="1"/>
  <c r="Z239" i="7" a="1"/>
  <c r="Z239" i="7" s="1"/>
  <c r="Z246" i="7" a="1"/>
  <c r="Z246" i="7" s="1"/>
  <c r="Z256" i="7" a="1"/>
  <c r="Z256" i="7" s="1"/>
  <c r="Z265" i="7" a="1"/>
  <c r="Z265" i="7" s="1"/>
  <c r="Z273" i="7" a="1"/>
  <c r="Z273" i="7" s="1"/>
  <c r="Z281" i="7" a="1"/>
  <c r="Z281" i="7" s="1"/>
  <c r="Z290" i="7" a="1"/>
  <c r="Z290" i="7" s="1"/>
  <c r="Z300" i="7" a="1"/>
  <c r="Z300" i="7" s="1"/>
  <c r="Z309" i="7" a="1"/>
  <c r="Z309" i="7" s="1"/>
  <c r="Z318" i="7" a="1"/>
  <c r="Z318" i="7" s="1"/>
  <c r="Z326" i="7" a="1"/>
  <c r="Z326" i="7" s="1"/>
  <c r="Z334" i="7" a="1"/>
  <c r="Z334" i="7" s="1"/>
  <c r="Z344" i="7" a="1"/>
  <c r="Z344" i="7" s="1"/>
  <c r="Z353" i="7" a="1"/>
  <c r="Z353" i="7" s="1"/>
  <c r="Z362" i="7" a="1"/>
  <c r="Z362" i="7" s="1"/>
  <c r="Z370" i="7" a="1"/>
  <c r="Z370" i="7" s="1"/>
  <c r="Z378" i="7" a="1"/>
  <c r="Z378" i="7" s="1"/>
  <c r="Z389" i="7" a="1"/>
  <c r="Z389" i="7" s="1"/>
  <c r="Z398" i="7" a="1"/>
  <c r="Z398" i="7" s="1"/>
  <c r="W2"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X2" i="7"/>
  <c r="Y2" i="7"/>
  <c r="X3" i="7"/>
  <c r="Y3" i="7"/>
  <c r="X4" i="7"/>
  <c r="Y4" i="7"/>
  <c r="X5" i="7"/>
  <c r="Y5" i="7"/>
  <c r="X6" i="7"/>
  <c r="Y6" i="7"/>
  <c r="X7" i="7"/>
  <c r="Y7" i="7"/>
  <c r="X8" i="7"/>
  <c r="Y8" i="7"/>
  <c r="X9" i="7"/>
  <c r="Y9" i="7"/>
  <c r="X10" i="7"/>
  <c r="Y10" i="7"/>
  <c r="X11" i="7"/>
  <c r="Y11" i="7"/>
  <c r="X12" i="7"/>
  <c r="Y12" i="7"/>
  <c r="X13" i="7"/>
  <c r="Y13" i="7"/>
  <c r="X14" i="7"/>
  <c r="Y14" i="7"/>
  <c r="X15" i="7"/>
  <c r="Y15" i="7"/>
  <c r="X16" i="7"/>
  <c r="Y16" i="7"/>
  <c r="X17" i="7"/>
  <c r="Y17" i="7"/>
  <c r="X18" i="7"/>
  <c r="Y18" i="7"/>
  <c r="X19" i="7"/>
  <c r="Y19" i="7"/>
  <c r="X20" i="7"/>
  <c r="Y20" i="7"/>
  <c r="X21" i="7"/>
  <c r="Y21" i="7"/>
  <c r="X22" i="7"/>
  <c r="Y22" i="7"/>
  <c r="X23" i="7"/>
  <c r="Y23" i="7"/>
  <c r="X24" i="7"/>
  <c r="Y24" i="7"/>
  <c r="X25" i="7"/>
  <c r="Y25" i="7"/>
  <c r="X26" i="7"/>
  <c r="Y26" i="7"/>
  <c r="X27" i="7"/>
  <c r="Y27" i="7"/>
  <c r="X28" i="7"/>
  <c r="Y28" i="7"/>
  <c r="X29" i="7"/>
  <c r="Y29" i="7"/>
  <c r="X30" i="7"/>
  <c r="Y30" i="7"/>
  <c r="X31" i="7"/>
  <c r="Y31" i="7"/>
  <c r="X32" i="7"/>
  <c r="Y32" i="7"/>
  <c r="X33" i="7"/>
  <c r="Y33" i="7"/>
  <c r="X34" i="7"/>
  <c r="Y34" i="7"/>
  <c r="X35" i="7"/>
  <c r="Y35" i="7"/>
  <c r="X36" i="7"/>
  <c r="Y36" i="7"/>
  <c r="X37" i="7"/>
  <c r="Y37" i="7"/>
  <c r="X38" i="7"/>
  <c r="Y38" i="7"/>
  <c r="X39" i="7"/>
  <c r="Y39" i="7"/>
  <c r="X40" i="7"/>
  <c r="Y40" i="7"/>
  <c r="X41" i="7"/>
  <c r="Y41" i="7"/>
  <c r="X42" i="7"/>
  <c r="Y42" i="7"/>
  <c r="X43" i="7"/>
  <c r="Y43" i="7"/>
  <c r="X44" i="7"/>
  <c r="Y44" i="7"/>
  <c r="X45" i="7"/>
  <c r="Y45" i="7"/>
  <c r="X46" i="7"/>
  <c r="Y46" i="7"/>
  <c r="X47" i="7"/>
  <c r="Y47" i="7"/>
  <c r="X48" i="7"/>
  <c r="Y48" i="7"/>
  <c r="X49" i="7"/>
  <c r="Y49" i="7"/>
  <c r="X50" i="7"/>
  <c r="Y50" i="7"/>
  <c r="X51" i="7"/>
  <c r="Y51" i="7"/>
  <c r="X52" i="7"/>
  <c r="Y52" i="7"/>
  <c r="X53" i="7"/>
  <c r="Y53" i="7"/>
  <c r="X54" i="7"/>
  <c r="Y54" i="7"/>
  <c r="X55" i="7"/>
  <c r="Y55" i="7"/>
  <c r="X56" i="7"/>
  <c r="Y56" i="7"/>
  <c r="X57" i="7"/>
  <c r="Y57" i="7"/>
  <c r="X58" i="7"/>
  <c r="Y58" i="7"/>
  <c r="X59" i="7"/>
  <c r="Y59" i="7"/>
  <c r="X60" i="7"/>
  <c r="Y60" i="7"/>
  <c r="X61" i="7"/>
  <c r="Y61" i="7"/>
  <c r="X62" i="7"/>
  <c r="Y62" i="7"/>
  <c r="X63" i="7"/>
  <c r="Y63" i="7"/>
  <c r="X64" i="7"/>
  <c r="Y64" i="7"/>
  <c r="X65" i="7"/>
  <c r="Y65" i="7"/>
  <c r="X66" i="7"/>
  <c r="Y66" i="7"/>
  <c r="X67" i="7"/>
  <c r="Y67" i="7"/>
  <c r="X68" i="7"/>
  <c r="Y68" i="7"/>
  <c r="X69" i="7"/>
  <c r="Y69" i="7"/>
  <c r="X70" i="7"/>
  <c r="Y70" i="7"/>
  <c r="X71" i="7"/>
  <c r="Y71" i="7"/>
  <c r="X72" i="7"/>
  <c r="Y72" i="7"/>
  <c r="X73" i="7"/>
  <c r="Y73" i="7"/>
  <c r="X74" i="7"/>
  <c r="Y74" i="7"/>
  <c r="X75" i="7"/>
  <c r="Y75" i="7"/>
  <c r="X76" i="7"/>
  <c r="Y76" i="7"/>
  <c r="X77" i="7"/>
  <c r="Y77" i="7"/>
  <c r="X78" i="7"/>
  <c r="Y78" i="7"/>
  <c r="X79" i="7"/>
  <c r="Y79" i="7"/>
  <c r="X80" i="7"/>
  <c r="Y80" i="7"/>
  <c r="X81" i="7"/>
  <c r="Y81" i="7"/>
  <c r="X82" i="7"/>
  <c r="Y82" i="7"/>
  <c r="X83" i="7"/>
  <c r="Y83" i="7"/>
  <c r="X84" i="7"/>
  <c r="Y84" i="7"/>
  <c r="X85" i="7"/>
  <c r="Y85" i="7"/>
  <c r="X86" i="7"/>
  <c r="Y86" i="7"/>
  <c r="X87" i="7"/>
  <c r="Y87" i="7"/>
  <c r="X88" i="7"/>
  <c r="Y88" i="7"/>
  <c r="X89" i="7"/>
  <c r="Y89" i="7"/>
  <c r="X90" i="7"/>
  <c r="Y90" i="7"/>
  <c r="X91" i="7"/>
  <c r="Y91" i="7"/>
  <c r="X92" i="7"/>
  <c r="Y92" i="7"/>
  <c r="X93" i="7"/>
  <c r="Y93" i="7"/>
  <c r="X94" i="7"/>
  <c r="Y94" i="7"/>
  <c r="X95" i="7"/>
  <c r="Y95" i="7"/>
  <c r="X96" i="7"/>
  <c r="Y96" i="7"/>
  <c r="X97" i="7"/>
  <c r="Y97" i="7"/>
  <c r="X98" i="7"/>
  <c r="Y98" i="7"/>
  <c r="X99" i="7"/>
  <c r="Y99" i="7"/>
  <c r="X100" i="7"/>
  <c r="Y100" i="7"/>
  <c r="X101" i="7"/>
  <c r="Y101" i="7"/>
  <c r="X102" i="7"/>
  <c r="Y102" i="7"/>
  <c r="X103" i="7"/>
  <c r="Y103" i="7"/>
  <c r="X104" i="7"/>
  <c r="Y104" i="7"/>
  <c r="X105" i="7"/>
  <c r="Y105" i="7"/>
  <c r="X106" i="7"/>
  <c r="Y106" i="7"/>
  <c r="X107" i="7"/>
  <c r="Y107" i="7"/>
  <c r="X108" i="7"/>
  <c r="Y108" i="7"/>
  <c r="X109" i="7"/>
  <c r="Y109" i="7"/>
  <c r="X110" i="7"/>
  <c r="Y110" i="7"/>
  <c r="X111" i="7"/>
  <c r="Y111" i="7"/>
  <c r="X112" i="7"/>
  <c r="Y112" i="7"/>
  <c r="X113" i="7"/>
  <c r="Y113" i="7"/>
  <c r="X114" i="7"/>
  <c r="Y114" i="7"/>
  <c r="X115" i="7"/>
  <c r="Y115" i="7"/>
  <c r="X116" i="7"/>
  <c r="Y116" i="7"/>
  <c r="X117" i="7"/>
  <c r="Y117" i="7"/>
  <c r="X118" i="7"/>
  <c r="Y118" i="7"/>
  <c r="X119" i="7"/>
  <c r="Y119" i="7"/>
  <c r="X120" i="7"/>
  <c r="Y120" i="7"/>
  <c r="X121" i="7"/>
  <c r="Y121" i="7"/>
  <c r="X122" i="7"/>
  <c r="Y122" i="7"/>
  <c r="X123" i="7"/>
  <c r="Y123" i="7"/>
  <c r="X124" i="7"/>
  <c r="Y124" i="7"/>
  <c r="X125" i="7"/>
  <c r="Y125" i="7"/>
  <c r="X126" i="7"/>
  <c r="Y126" i="7"/>
  <c r="X127" i="7"/>
  <c r="Y127" i="7"/>
  <c r="X128" i="7"/>
  <c r="Y128" i="7"/>
  <c r="X129" i="7"/>
  <c r="Y129" i="7"/>
  <c r="X130" i="7"/>
  <c r="Y130" i="7"/>
  <c r="X131" i="7"/>
  <c r="Y131" i="7"/>
  <c r="X132" i="7"/>
  <c r="Y132" i="7"/>
  <c r="X133" i="7"/>
  <c r="Y133" i="7"/>
  <c r="X134" i="7"/>
  <c r="Y134" i="7"/>
  <c r="X135" i="7"/>
  <c r="Y135" i="7"/>
  <c r="X136" i="7"/>
  <c r="Y136" i="7"/>
  <c r="X137" i="7"/>
  <c r="Y137" i="7"/>
  <c r="X138" i="7"/>
  <c r="Y138" i="7"/>
  <c r="X139" i="7"/>
  <c r="Y139" i="7"/>
  <c r="X140" i="7"/>
  <c r="Y140" i="7"/>
  <c r="X141" i="7"/>
  <c r="Y141" i="7"/>
  <c r="Z141" i="7" s="1" a="1"/>
  <c r="Z141" i="7" s="1"/>
  <c r="X142" i="7"/>
  <c r="Y142" i="7"/>
  <c r="X143" i="7"/>
  <c r="Y143" i="7"/>
  <c r="X144" i="7"/>
  <c r="Y144" i="7"/>
  <c r="X145" i="7"/>
  <c r="Y145" i="7"/>
  <c r="X146" i="7"/>
  <c r="Y146" i="7"/>
  <c r="X147" i="7"/>
  <c r="Y147" i="7"/>
  <c r="X148" i="7"/>
  <c r="Y148" i="7"/>
  <c r="X149" i="7"/>
  <c r="Y149" i="7"/>
  <c r="X150" i="7"/>
  <c r="Y150" i="7"/>
  <c r="X151" i="7"/>
  <c r="Y151" i="7"/>
  <c r="X152" i="7"/>
  <c r="Y152" i="7"/>
  <c r="X153" i="7"/>
  <c r="Y153" i="7"/>
  <c r="X154" i="7"/>
  <c r="Y154" i="7"/>
  <c r="X155" i="7"/>
  <c r="Y155" i="7"/>
  <c r="X156" i="7"/>
  <c r="Y156" i="7"/>
  <c r="X157" i="7"/>
  <c r="Y157" i="7"/>
  <c r="X158" i="7"/>
  <c r="Y158" i="7"/>
  <c r="X159" i="7"/>
  <c r="Y159" i="7"/>
  <c r="X160" i="7"/>
  <c r="Y160" i="7"/>
  <c r="X161" i="7"/>
  <c r="Y161" i="7"/>
  <c r="X162" i="7"/>
  <c r="Y162" i="7"/>
  <c r="X163" i="7"/>
  <c r="Y163" i="7"/>
  <c r="X164" i="7"/>
  <c r="Y164" i="7"/>
  <c r="X165" i="7"/>
  <c r="Y165" i="7"/>
  <c r="X166" i="7"/>
  <c r="Y166" i="7"/>
  <c r="X167" i="7"/>
  <c r="Y167" i="7"/>
  <c r="X168" i="7"/>
  <c r="Y168" i="7"/>
  <c r="X169" i="7"/>
  <c r="Y169" i="7"/>
  <c r="X170" i="7"/>
  <c r="Y170" i="7"/>
  <c r="X171" i="7"/>
  <c r="Y171" i="7"/>
  <c r="X172" i="7"/>
  <c r="Y172" i="7"/>
  <c r="X173" i="7"/>
  <c r="Y173" i="7"/>
  <c r="X174" i="7"/>
  <c r="Y174" i="7"/>
  <c r="X175" i="7"/>
  <c r="Y175" i="7"/>
  <c r="X176" i="7"/>
  <c r="Y176" i="7"/>
  <c r="X177" i="7"/>
  <c r="Y177" i="7"/>
  <c r="X178" i="7"/>
  <c r="Y178" i="7"/>
  <c r="X179" i="7"/>
  <c r="Y179" i="7"/>
  <c r="X180" i="7"/>
  <c r="Y180" i="7"/>
  <c r="X181" i="7"/>
  <c r="Y181" i="7"/>
  <c r="X182" i="7"/>
  <c r="Y182" i="7"/>
  <c r="X183" i="7"/>
  <c r="Y183" i="7"/>
  <c r="X184" i="7"/>
  <c r="Y184" i="7"/>
  <c r="X185" i="7"/>
  <c r="Y185" i="7"/>
  <c r="X186" i="7"/>
  <c r="Y186" i="7"/>
  <c r="X187" i="7"/>
  <c r="Y187" i="7"/>
  <c r="X188" i="7"/>
  <c r="Y188" i="7"/>
  <c r="X189" i="7"/>
  <c r="Y189" i="7"/>
  <c r="X190" i="7"/>
  <c r="Y190" i="7"/>
  <c r="X191" i="7"/>
  <c r="Y191" i="7"/>
  <c r="X192" i="7"/>
  <c r="Y192" i="7"/>
  <c r="X193" i="7"/>
  <c r="Y193" i="7"/>
  <c r="X194" i="7"/>
  <c r="Y194" i="7"/>
  <c r="X195" i="7"/>
  <c r="Y195" i="7"/>
  <c r="X196" i="7"/>
  <c r="Y196" i="7"/>
  <c r="X197" i="7"/>
  <c r="Y197" i="7"/>
  <c r="X198" i="7"/>
  <c r="Y198" i="7"/>
  <c r="X199" i="7"/>
  <c r="Y199" i="7"/>
  <c r="X200" i="7"/>
  <c r="Y200" i="7"/>
  <c r="X201" i="7"/>
  <c r="Y201" i="7"/>
  <c r="X202" i="7"/>
  <c r="Y202" i="7"/>
  <c r="X203" i="7"/>
  <c r="Y203" i="7"/>
  <c r="X204" i="7"/>
  <c r="Y204" i="7"/>
  <c r="X205" i="7"/>
  <c r="Y205" i="7"/>
  <c r="X206" i="7"/>
  <c r="Y206" i="7"/>
  <c r="X207" i="7"/>
  <c r="Y207" i="7"/>
  <c r="X208" i="7"/>
  <c r="Y208" i="7"/>
  <c r="X209" i="7"/>
  <c r="Y209" i="7"/>
  <c r="X210" i="7"/>
  <c r="Y210" i="7"/>
  <c r="X211" i="7"/>
  <c r="Y211" i="7"/>
  <c r="X212" i="7"/>
  <c r="Y212" i="7"/>
  <c r="X213" i="7"/>
  <c r="Y213" i="7"/>
  <c r="X214" i="7"/>
  <c r="Y214" i="7"/>
  <c r="X215" i="7"/>
  <c r="Y215" i="7"/>
  <c r="X216" i="7"/>
  <c r="Y216" i="7"/>
  <c r="X217" i="7"/>
  <c r="Y217" i="7"/>
  <c r="X218" i="7"/>
  <c r="Y218" i="7"/>
  <c r="X219" i="7"/>
  <c r="Y219" i="7"/>
  <c r="X220" i="7"/>
  <c r="Y220" i="7"/>
  <c r="X221" i="7"/>
  <c r="Y221" i="7"/>
  <c r="X222" i="7"/>
  <c r="Y222" i="7"/>
  <c r="X223" i="7"/>
  <c r="Y223" i="7"/>
  <c r="X224" i="7"/>
  <c r="Y224" i="7"/>
  <c r="X225" i="7"/>
  <c r="Y225" i="7"/>
  <c r="X226" i="7"/>
  <c r="Y226" i="7"/>
  <c r="X227" i="7"/>
  <c r="Y227" i="7"/>
  <c r="X228" i="7"/>
  <c r="Y228" i="7"/>
  <c r="X229" i="7"/>
  <c r="Y229" i="7"/>
  <c r="X230" i="7"/>
  <c r="Y230" i="7"/>
  <c r="X231" i="7"/>
  <c r="Y231" i="7"/>
  <c r="X232" i="7"/>
  <c r="Y232" i="7"/>
  <c r="X233" i="7"/>
  <c r="Y233" i="7"/>
  <c r="X234" i="7"/>
  <c r="Y234" i="7"/>
  <c r="X235" i="7"/>
  <c r="Y235" i="7"/>
  <c r="X236" i="7"/>
  <c r="Y236" i="7"/>
  <c r="X237" i="7"/>
  <c r="Y237" i="7"/>
  <c r="X238" i="7"/>
  <c r="Y238" i="7"/>
  <c r="X239" i="7"/>
  <c r="Y239" i="7"/>
  <c r="X240" i="7"/>
  <c r="Y240" i="7"/>
  <c r="X241" i="7"/>
  <c r="Y241" i="7"/>
  <c r="X242" i="7"/>
  <c r="Y242" i="7"/>
  <c r="X243" i="7"/>
  <c r="Y243" i="7"/>
  <c r="X244" i="7"/>
  <c r="Y244" i="7"/>
  <c r="X245" i="7"/>
  <c r="Y245" i="7"/>
  <c r="X246" i="7"/>
  <c r="Y246" i="7"/>
  <c r="X247" i="7"/>
  <c r="Y247" i="7"/>
  <c r="X248" i="7"/>
  <c r="Y248" i="7"/>
  <c r="X249" i="7"/>
  <c r="Y249" i="7"/>
  <c r="X250" i="7"/>
  <c r="Y250" i="7"/>
  <c r="X251" i="7"/>
  <c r="Y251" i="7"/>
  <c r="X252" i="7"/>
  <c r="Y252" i="7"/>
  <c r="X253" i="7"/>
  <c r="Y253" i="7"/>
  <c r="X254" i="7"/>
  <c r="Y254" i="7"/>
  <c r="X255" i="7"/>
  <c r="Y255" i="7"/>
  <c r="X256" i="7"/>
  <c r="Y256" i="7"/>
  <c r="X257" i="7"/>
  <c r="Y257" i="7"/>
  <c r="X258" i="7"/>
  <c r="Y258" i="7"/>
  <c r="X259" i="7"/>
  <c r="Y259" i="7"/>
  <c r="X260" i="7"/>
  <c r="Y260" i="7"/>
  <c r="X261" i="7"/>
  <c r="Y261" i="7"/>
  <c r="X262" i="7"/>
  <c r="Y262" i="7"/>
  <c r="X263" i="7"/>
  <c r="Y263" i="7"/>
  <c r="X264" i="7"/>
  <c r="Y264" i="7"/>
  <c r="X265" i="7"/>
  <c r="Y265" i="7"/>
  <c r="X266" i="7"/>
  <c r="Y266" i="7"/>
  <c r="X267" i="7"/>
  <c r="Y267" i="7"/>
  <c r="X268" i="7"/>
  <c r="Y268" i="7"/>
  <c r="X269" i="7"/>
  <c r="Y269" i="7"/>
  <c r="X270" i="7"/>
  <c r="Y270" i="7"/>
  <c r="X271" i="7"/>
  <c r="Y271" i="7"/>
  <c r="X272" i="7"/>
  <c r="Y272" i="7"/>
  <c r="X273" i="7"/>
  <c r="Y273" i="7"/>
  <c r="X274" i="7"/>
  <c r="Y274" i="7"/>
  <c r="X275" i="7"/>
  <c r="Y275" i="7"/>
  <c r="X276" i="7"/>
  <c r="Y276" i="7"/>
  <c r="X277" i="7"/>
  <c r="Y277" i="7"/>
  <c r="X278" i="7"/>
  <c r="Y278" i="7"/>
  <c r="X279" i="7"/>
  <c r="Y279" i="7"/>
  <c r="X280" i="7"/>
  <c r="Y280" i="7"/>
  <c r="X281" i="7"/>
  <c r="Y281" i="7"/>
  <c r="X282" i="7"/>
  <c r="Y282" i="7"/>
  <c r="X283" i="7"/>
  <c r="Y283" i="7"/>
  <c r="X284" i="7"/>
  <c r="Y284" i="7"/>
  <c r="X285" i="7"/>
  <c r="Y285" i="7"/>
  <c r="X286" i="7"/>
  <c r="Y286" i="7"/>
  <c r="X287" i="7"/>
  <c r="Y287" i="7"/>
  <c r="X288" i="7"/>
  <c r="Y288" i="7"/>
  <c r="X289" i="7"/>
  <c r="Y289" i="7"/>
  <c r="X290" i="7"/>
  <c r="Y290" i="7"/>
  <c r="X291" i="7"/>
  <c r="Y291" i="7"/>
  <c r="X292" i="7"/>
  <c r="Y292" i="7"/>
  <c r="X293" i="7"/>
  <c r="Y293" i="7"/>
  <c r="X294" i="7"/>
  <c r="Y294" i="7"/>
  <c r="X295" i="7"/>
  <c r="Y295" i="7"/>
  <c r="X296" i="7"/>
  <c r="Y296" i="7"/>
  <c r="X297" i="7"/>
  <c r="Y297" i="7"/>
  <c r="X298" i="7"/>
  <c r="Y298" i="7"/>
  <c r="X299" i="7"/>
  <c r="Y299" i="7"/>
  <c r="X300" i="7"/>
  <c r="Y300" i="7"/>
  <c r="X301" i="7"/>
  <c r="Y301" i="7"/>
  <c r="X302" i="7"/>
  <c r="Y302" i="7"/>
  <c r="X303" i="7"/>
  <c r="Y303" i="7"/>
  <c r="X304" i="7"/>
  <c r="Y304" i="7"/>
  <c r="X305" i="7"/>
  <c r="Y305" i="7"/>
  <c r="X306" i="7"/>
  <c r="Y306" i="7"/>
  <c r="X307" i="7"/>
  <c r="Y307" i="7"/>
  <c r="X308" i="7"/>
  <c r="Y308" i="7"/>
  <c r="X309" i="7"/>
  <c r="Y309" i="7"/>
  <c r="X310" i="7"/>
  <c r="Y310" i="7"/>
  <c r="X311" i="7"/>
  <c r="Y311" i="7"/>
  <c r="X312" i="7"/>
  <c r="Y312" i="7"/>
  <c r="X313" i="7"/>
  <c r="Y313" i="7"/>
  <c r="X314" i="7"/>
  <c r="Y314" i="7"/>
  <c r="X315" i="7"/>
  <c r="Y315" i="7"/>
  <c r="X316" i="7"/>
  <c r="Y316" i="7"/>
  <c r="X317" i="7"/>
  <c r="Y317" i="7"/>
  <c r="X318" i="7"/>
  <c r="Y318" i="7"/>
  <c r="X319" i="7"/>
  <c r="Y319" i="7"/>
  <c r="X320" i="7"/>
  <c r="Y320" i="7"/>
  <c r="X321" i="7"/>
  <c r="Y321" i="7"/>
  <c r="X322" i="7"/>
  <c r="Y322" i="7"/>
  <c r="X323" i="7"/>
  <c r="Y323" i="7"/>
  <c r="X324" i="7"/>
  <c r="Y324" i="7"/>
  <c r="X325" i="7"/>
  <c r="Y325" i="7"/>
  <c r="X326" i="7"/>
  <c r="Y326" i="7"/>
  <c r="X327" i="7"/>
  <c r="Y327" i="7"/>
  <c r="X328" i="7"/>
  <c r="Y328" i="7"/>
  <c r="X329" i="7"/>
  <c r="Y329" i="7"/>
  <c r="X330" i="7"/>
  <c r="Y330" i="7"/>
  <c r="X331" i="7"/>
  <c r="Y331" i="7"/>
  <c r="X332" i="7"/>
  <c r="Y332" i="7"/>
  <c r="X333" i="7"/>
  <c r="Y333" i="7"/>
  <c r="X334" i="7"/>
  <c r="Y334" i="7"/>
  <c r="X335" i="7"/>
  <c r="Y335" i="7"/>
  <c r="X336" i="7"/>
  <c r="Y336" i="7"/>
  <c r="X337" i="7"/>
  <c r="Y337" i="7"/>
  <c r="X338" i="7"/>
  <c r="Y338" i="7"/>
  <c r="X339" i="7"/>
  <c r="Y339" i="7"/>
  <c r="X340" i="7"/>
  <c r="Y340" i="7"/>
  <c r="X341" i="7"/>
  <c r="Y341" i="7"/>
  <c r="X342" i="7"/>
  <c r="Y342" i="7"/>
  <c r="X343" i="7"/>
  <c r="Y343" i="7"/>
  <c r="X344" i="7"/>
  <c r="Y344" i="7"/>
  <c r="X345" i="7"/>
  <c r="Y345" i="7"/>
  <c r="X346" i="7"/>
  <c r="Y346" i="7"/>
  <c r="X347" i="7"/>
  <c r="Y347" i="7"/>
  <c r="X348" i="7"/>
  <c r="Y348" i="7"/>
  <c r="X349" i="7"/>
  <c r="Y349" i="7"/>
  <c r="X350" i="7"/>
  <c r="Y350" i="7"/>
  <c r="X351" i="7"/>
  <c r="Y351" i="7"/>
  <c r="X352" i="7"/>
  <c r="Y352" i="7"/>
  <c r="X353" i="7"/>
  <c r="Y353" i="7"/>
  <c r="X354" i="7"/>
  <c r="Y354" i="7"/>
  <c r="X355" i="7"/>
  <c r="Y355" i="7"/>
  <c r="X356" i="7"/>
  <c r="Y356" i="7"/>
  <c r="X357" i="7"/>
  <c r="Y357" i="7"/>
  <c r="X358" i="7"/>
  <c r="Y358" i="7"/>
  <c r="X359" i="7"/>
  <c r="Y359" i="7"/>
  <c r="X360" i="7"/>
  <c r="Y360" i="7"/>
  <c r="X361" i="7"/>
  <c r="Y361" i="7"/>
  <c r="X362" i="7"/>
  <c r="Y362" i="7"/>
  <c r="X363" i="7"/>
  <c r="Y363" i="7"/>
  <c r="X364" i="7"/>
  <c r="Y364" i="7"/>
  <c r="X365" i="7"/>
  <c r="Y365" i="7"/>
  <c r="X366" i="7"/>
  <c r="Y366" i="7"/>
  <c r="X367" i="7"/>
  <c r="Y367" i="7"/>
  <c r="X368" i="7"/>
  <c r="Y368" i="7"/>
  <c r="X369" i="7"/>
  <c r="Y369" i="7"/>
  <c r="X370" i="7"/>
  <c r="Y370" i="7"/>
  <c r="X371" i="7"/>
  <c r="Y371" i="7"/>
  <c r="X372" i="7"/>
  <c r="Y372" i="7"/>
  <c r="X373" i="7"/>
  <c r="Y373" i="7"/>
  <c r="X374" i="7"/>
  <c r="Y374" i="7"/>
  <c r="X375" i="7"/>
  <c r="Y375" i="7"/>
  <c r="X376" i="7"/>
  <c r="Y376" i="7"/>
  <c r="X377" i="7"/>
  <c r="Y377" i="7"/>
  <c r="X378" i="7"/>
  <c r="Y378" i="7"/>
  <c r="X379" i="7"/>
  <c r="Y379" i="7"/>
  <c r="X380" i="7"/>
  <c r="Y380" i="7"/>
  <c r="X381" i="7"/>
  <c r="Y381" i="7"/>
  <c r="X382" i="7"/>
  <c r="Y382" i="7"/>
  <c r="X383" i="7"/>
  <c r="Y383" i="7"/>
  <c r="X384" i="7"/>
  <c r="Y384" i="7"/>
  <c r="X385" i="7"/>
  <c r="Y385" i="7"/>
  <c r="X386" i="7"/>
  <c r="Y386" i="7"/>
  <c r="X387" i="7"/>
  <c r="Y387" i="7"/>
  <c r="X388" i="7"/>
  <c r="Y388" i="7"/>
  <c r="X389" i="7"/>
  <c r="Y389" i="7"/>
  <c r="X390" i="7"/>
  <c r="Y390" i="7"/>
  <c r="X391" i="7"/>
  <c r="Y391" i="7"/>
  <c r="X392" i="7"/>
  <c r="Y392" i="7"/>
  <c r="X393" i="7"/>
  <c r="Y393" i="7"/>
  <c r="X394" i="7"/>
  <c r="Y394" i="7"/>
  <c r="X395" i="7"/>
  <c r="Y395" i="7"/>
  <c r="X396" i="7"/>
  <c r="Y396" i="7"/>
  <c r="X397" i="7"/>
  <c r="Y397" i="7"/>
  <c r="X398" i="7"/>
  <c r="Y398" i="7"/>
  <c r="X399" i="7"/>
  <c r="Y39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<sst xmlns="http://schemas.openxmlformats.org/spreadsheetml/2006/main" count="35619" uniqueCount="1607">
  <si>
    <t>Patient_ID</t>
  </si>
  <si>
    <t>Encounter_ID</t>
  </si>
  <si>
    <t>Encounter_Date</t>
  </si>
  <si>
    <t>Encounter_Type</t>
  </si>
  <si>
    <t>Facility</t>
  </si>
  <si>
    <t>County</t>
  </si>
  <si>
    <t>Provider</t>
  </si>
  <si>
    <t>Patient_DOB</t>
  </si>
  <si>
    <t>Age_at_Encounter</t>
  </si>
  <si>
    <t>Sex</t>
  </si>
  <si>
    <t>Ethnicity</t>
  </si>
  <si>
    <t>Insurance_Status</t>
  </si>
  <si>
    <t>Smoking_Status</t>
  </si>
  <si>
    <t>Alcohol_Use</t>
  </si>
  <si>
    <t>Primary_ICD11_Code</t>
  </si>
  <si>
    <t>Primary_Diagnosis</t>
  </si>
  <si>
    <t>Chronic_Condition</t>
  </si>
  <si>
    <t>Current_Medications</t>
  </si>
  <si>
    <t>Num_Medications</t>
  </si>
  <si>
    <t>BP_Systolic_mmHg</t>
  </si>
  <si>
    <t>BP_Diastolic_mmHg</t>
  </si>
  <si>
    <t>HR_bpm</t>
  </si>
  <si>
    <t>RR_breaths_per_min</t>
  </si>
  <si>
    <t>Temp_C</t>
  </si>
  <si>
    <t>BMI_kg_m2</t>
  </si>
  <si>
    <t>SpO2_pct</t>
  </si>
  <si>
    <t>LOINC_BP_Sys</t>
  </si>
  <si>
    <t>LOINC_BP_Dia</t>
  </si>
  <si>
    <t>LOINC_HR</t>
  </si>
  <si>
    <t>LOINC_BMI</t>
  </si>
  <si>
    <t>LOINC_SpO2</t>
  </si>
  <si>
    <t>Data_Quality_Flag</t>
  </si>
  <si>
    <t>Notes</t>
  </si>
  <si>
    <t>PID-0001</t>
  </si>
  <si>
    <t>ENC-0001-01</t>
  </si>
  <si>
    <t>2023-02-02</t>
  </si>
  <si>
    <t>Inpatient</t>
  </si>
  <si>
    <t>Central District Hospital</t>
  </si>
  <si>
    <t>Kisumu</t>
  </si>
  <si>
    <t>Dr. T. Osei</t>
  </si>
  <si>
    <t>2004-12-09</t>
  </si>
  <si>
    <t>M</t>
  </si>
  <si>
    <t>South Asian</t>
  </si>
  <si>
    <t>National Insurance</t>
  </si>
  <si>
    <t>Never</t>
  </si>
  <si>
    <t>None</t>
  </si>
  <si>
    <t>3A00</t>
  </si>
  <si>
    <t>Iron deficiency anaemia</t>
  </si>
  <si>
    <t>No</t>
  </si>
  <si>
    <t>Metoprolol 50mg BD; Clopidogrel 75mg OD</t>
  </si>
  <si>
    <t>8480-6</t>
  </si>
  <si>
    <t>8462-4</t>
  </si>
  <si>
    <t>8867-4</t>
  </si>
  <si>
    <t>39156-5</t>
  </si>
  <si>
    <t>59408-5</t>
  </si>
  <si>
    <t>OK</t>
  </si>
  <si>
    <t>V1 of 1. Acute presentation.</t>
  </si>
  <si>
    <t>PID-0002</t>
  </si>
  <si>
    <t>ENC-0002-01</t>
  </si>
  <si>
    <t>2023-12-19</t>
  </si>
  <si>
    <t>Outpatient</t>
  </si>
  <si>
    <t>Eastside Clinic</t>
  </si>
  <si>
    <t>Eldoret</t>
  </si>
  <si>
    <t>Dr. S. Okonkwo</t>
  </si>
  <si>
    <t>1988-04-25</t>
  </si>
  <si>
    <t>F</t>
  </si>
  <si>
    <t>Middle Eastern</t>
  </si>
  <si>
    <t>5A10</t>
  </si>
  <si>
    <t>Type 1 diabetes mellitus</t>
  </si>
  <si>
    <t>Yes</t>
  </si>
  <si>
    <t>Clopidogrel 75mg OD; Warfarin (variable); Metformin 1g BD</t>
  </si>
  <si>
    <t>V1 of 1. Chronic disease review.</t>
  </si>
  <si>
    <t>PID-0003</t>
  </si>
  <si>
    <t>ENC-0003-01</t>
  </si>
  <si>
    <t>2024-11-17</t>
  </si>
  <si>
    <t>Nairobi</t>
  </si>
  <si>
    <t>Dr. F. Hassan</t>
  </si>
  <si>
    <t>1995-07-09</t>
  </si>
  <si>
    <t>East Asian</t>
  </si>
  <si>
    <t>Private</t>
  </si>
  <si>
    <t>Ex-smoker</t>
  </si>
  <si>
    <t>Regular</t>
  </si>
  <si>
    <t>LA90</t>
  </si>
  <si>
    <t>Chronic kidney disease stage 3</t>
  </si>
  <si>
    <t>Bisoprolol 5mg OD; Prednisolone 5mg OD; Aspirin 75mg OD; Levothyroxine 50mcg OD</t>
  </si>
  <si>
    <t>V1 of 6. Chronic disease review.</t>
  </si>
  <si>
    <t>ENC-0003-02</t>
  </si>
  <si>
    <t>2023-10-02</t>
  </si>
  <si>
    <t>Follow-up</t>
  </si>
  <si>
    <t>Riverside Specialist Centre</t>
  </si>
  <si>
    <t>Mixed/Other</t>
  </si>
  <si>
    <t>Salbutamol 100mcg PRN; Bisoprolol 5mg OD; None; Aspirin 75mg OD</t>
  </si>
  <si>
    <t>V2 of 6. Chronic disease review.</t>
  </si>
  <si>
    <t>ENC-0003-03</t>
  </si>
  <si>
    <t>2024-02-13</t>
  </si>
  <si>
    <t>Telehealth</t>
  </si>
  <si>
    <t>Community Health Centre</t>
  </si>
  <si>
    <t>Kitale</t>
  </si>
  <si>
    <t>NP J. Nakamura</t>
  </si>
  <si>
    <t>Ramipril 5mg OD; Metformin 1g BD</t>
  </si>
  <si>
    <t>V3 of 6. Chronic disease review.</t>
  </si>
  <si>
    <t>ENC-0003-04</t>
  </si>
  <si>
    <t>2023-09-15</t>
  </si>
  <si>
    <t>Emergency</t>
  </si>
  <si>
    <t>Dr. Y. Kim</t>
  </si>
  <si>
    <t>Atorvastatin 40mg ON; Omeprazole 20mg OD; Ramipril 5mg OD</t>
  </si>
  <si>
    <t>V4 of 6. Chronic disease review.</t>
  </si>
  <si>
    <t>ENC-0003-05</t>
  </si>
  <si>
    <t>2025-02-19</t>
  </si>
  <si>
    <t>Thika</t>
  </si>
  <si>
    <t>Black African</t>
  </si>
  <si>
    <t>Prednisolone 5mg OD; Empagliflozin 10mg OD</t>
  </si>
  <si>
    <t>V5 of 6. Chronic disease review.</t>
  </si>
  <si>
    <t>ENC-0003-06</t>
  </si>
  <si>
    <t>2023-04-25</t>
  </si>
  <si>
    <t>Dr. L. Patel</t>
  </si>
  <si>
    <t>Hispanic/Latino</t>
  </si>
  <si>
    <t>Dapagliflozin 10mg OD</t>
  </si>
  <si>
    <t>V6 of 6. Chronic disease review.</t>
  </si>
  <si>
    <t>PID-0004</t>
  </si>
  <si>
    <t>ENC-0004-01</t>
  </si>
  <si>
    <t>2024-10-27</t>
  </si>
  <si>
    <t>Mombasa</t>
  </si>
  <si>
    <t>Dr. A. Mwangi</t>
  </si>
  <si>
    <t>1986-05-17</t>
  </si>
  <si>
    <t>Current</t>
  </si>
  <si>
    <t>8A25</t>
  </si>
  <si>
    <t>Epilepsy</t>
  </si>
  <si>
    <t>Amlodipine 5mg OD; Metformin 1g BD</t>
  </si>
  <si>
    <t>V1 of 2. Chronic disease review.</t>
  </si>
  <si>
    <t>ENC-0004-02</t>
  </si>
  <si>
    <t>2023-12-05</t>
  </si>
  <si>
    <t>Malindi</t>
  </si>
  <si>
    <t>Aspirin 75mg OD; Dapagliflozin 10mg OD; Ramipril 5mg OD; Warfarin (variable)</t>
  </si>
  <si>
    <t>V2 of 2. Chronic disease review.</t>
  </si>
  <si>
    <t>PID-0005</t>
  </si>
  <si>
    <t>ENC-0005-01</t>
  </si>
  <si>
    <t>2023-07-14</t>
  </si>
  <si>
    <t>Dr. R. Mendes</t>
  </si>
  <si>
    <t>1948-12-02</t>
  </si>
  <si>
    <t>White European</t>
  </si>
  <si>
    <t>Employer</t>
  </si>
  <si>
    <t>BA41</t>
  </si>
  <si>
    <t>Acute MI – STEMI</t>
  </si>
  <si>
    <t>Lisinopril 10mg OD</t>
  </si>
  <si>
    <t>PID-0006</t>
  </si>
  <si>
    <t>ENC-0006-01</t>
  </si>
  <si>
    <t>2023-09-29</t>
  </si>
  <si>
    <t>Garissa</t>
  </si>
  <si>
    <t>1945-08-07</t>
  </si>
  <si>
    <t>FA24</t>
  </si>
  <si>
    <t>Gastro-oesophageal reflux disease</t>
  </si>
  <si>
    <t>Salbutamol 100mcg PRN; Warfarin (variable); Omeprazole 20mg OD; Clopidogrel 75mg OD</t>
  </si>
  <si>
    <t>PID-0007</t>
  </si>
  <si>
    <t>ENC-0007-01</t>
  </si>
  <si>
    <t>2023-03-12</t>
  </si>
  <si>
    <t>2000-01-19</t>
  </si>
  <si>
    <t>BA80,5A11</t>
  </si>
  <si>
    <t>Hypertension + T2DM</t>
  </si>
  <si>
    <t>Ramipril 5mg OD</t>
  </si>
  <si>
    <t>V1 of 5. Chronic disease review.</t>
  </si>
  <si>
    <t>ENC-0007-02</t>
  </si>
  <si>
    <t>2023-07-29</t>
  </si>
  <si>
    <t>Amlodipine 5mg OD</t>
  </si>
  <si>
    <t>V2 of 5. Chronic disease review.</t>
  </si>
  <si>
    <t>ENC-0007-03</t>
  </si>
  <si>
    <t>2024-07-04</t>
  </si>
  <si>
    <t>Metro Emergency Unit</t>
  </si>
  <si>
    <t>None; Empagliflozin 10mg OD; Amlodipine 5mg OD</t>
  </si>
  <si>
    <t>V3 of 5. Chronic disease review.</t>
  </si>
  <si>
    <t>ENC-0007-04</t>
  </si>
  <si>
    <t>2023-04-29</t>
  </si>
  <si>
    <t>Empagliflozin 10mg OD; Dapagliflozin 10mg OD; Bisoprolol 5mg OD</t>
  </si>
  <si>
    <t>V4 of 5. Chronic disease review.</t>
  </si>
  <si>
    <t>ENC-0007-05</t>
  </si>
  <si>
    <t>2023-01-04</t>
  </si>
  <si>
    <t>Metformin 1g BD</t>
  </si>
  <si>
    <t>V5 of 5. Chronic disease review.</t>
  </si>
  <si>
    <t>PID-0008</t>
  </si>
  <si>
    <t>ENC-0008-01</t>
  </si>
  <si>
    <t>2024-11-13</t>
  </si>
  <si>
    <t>1952-03-02</t>
  </si>
  <si>
    <t>Occasional</t>
  </si>
  <si>
    <t>LD27</t>
  </si>
  <si>
    <t>Urinary tract infection</t>
  </si>
  <si>
    <t>Furosemide 40mg OD; Ramipril 5mg OD</t>
  </si>
  <si>
    <t>V1 of 2. Acute presentation.</t>
  </si>
  <si>
    <t>ENC-0008-02</t>
  </si>
  <si>
    <t>2024-11-16</t>
  </si>
  <si>
    <t>Nakuru</t>
  </si>
  <si>
    <t>Warfarin (variable); Metoprolol 50mg BD</t>
  </si>
  <si>
    <t>V2 of 2. Acute presentation.</t>
  </si>
  <si>
    <t>PID-0009</t>
  </si>
  <si>
    <t>ENC-0009-01</t>
  </si>
  <si>
    <t>1956-06-09</t>
  </si>
  <si>
    <t>CA80</t>
  </si>
  <si>
    <t>Asthma</t>
  </si>
  <si>
    <t>Ramipril 5mg OD; Empagliflozin 10mg OD; Atorvastatin 40mg ON</t>
  </si>
  <si>
    <t>V1 of 3. Chronic disease review.</t>
  </si>
  <si>
    <t>ENC-0009-02</t>
  </si>
  <si>
    <t>2024-12-26</t>
  </si>
  <si>
    <t>Metformin 1g BD; Levothyroxine 50mcg OD; Clopidogrel 75mg OD; Atorvastatin 40mg ON</t>
  </si>
  <si>
    <t>V2 of 3. Chronic disease review.</t>
  </si>
  <si>
    <t>ENC-0009-03</t>
  </si>
  <si>
    <t>2024-02-17</t>
  </si>
  <si>
    <t>Amlodipine 10mg OD; Prednisolone 5mg OD; Amlodipine 5mg OD</t>
  </si>
  <si>
    <t>V3 of 3. Chronic disease review.</t>
  </si>
  <si>
    <t>PID-0010</t>
  </si>
  <si>
    <t>ENC-0010-01</t>
  </si>
  <si>
    <t>2024-11-10</t>
  </si>
  <si>
    <t>1948-08-15</t>
  </si>
  <si>
    <t>8A00</t>
  </si>
  <si>
    <t>Ischaemic stroke</t>
  </si>
  <si>
    <t>V1 of 3. Acute presentation.</t>
  </si>
  <si>
    <t>ENC-0010-02</t>
  </si>
  <si>
    <t>2024-02-29</t>
  </si>
  <si>
    <t>V2 of 3. Acute presentation.</t>
  </si>
  <si>
    <t>ENC-0010-03</t>
  </si>
  <si>
    <t>2024-07-24</t>
  </si>
  <si>
    <t>Nyeri</t>
  </si>
  <si>
    <t>None; Empagliflozin 10mg OD; Ramipril 5mg OD; Metoprolol 50mg BD</t>
  </si>
  <si>
    <t>V3 of 3. Acute presentation.</t>
  </si>
  <si>
    <t>PID-0011</t>
  </si>
  <si>
    <t>ENC-0011-01</t>
  </si>
  <si>
    <t>2023-12-10</t>
  </si>
  <si>
    <t>1972-09-16</t>
  </si>
  <si>
    <t>Levothyroxine 50mcg OD; Prednisolone 5mg OD; Metoprolol 50mg BD; Ramipril 5mg OD</t>
  </si>
  <si>
    <t>ENC-0011-02</t>
  </si>
  <si>
    <t>2024-08-21</t>
  </si>
  <si>
    <t>Ramipril 5mg OD; Prednisolone 5mg OD; Clopidogrel 75mg OD; Aspirin 75mg OD</t>
  </si>
  <si>
    <t>PID-0012</t>
  </si>
  <si>
    <t>ENC-0012-01</t>
  </si>
  <si>
    <t>2024-06-30</t>
  </si>
  <si>
    <t>1958-06-22</t>
  </si>
  <si>
    <t>Bisoprolol 5mg OD</t>
  </si>
  <si>
    <t>ENC-0012-02</t>
  </si>
  <si>
    <t>2023-12-12</t>
  </si>
  <si>
    <t>Insulin glargine 20u ON</t>
  </si>
  <si>
    <t>ENC-0012-03</t>
  </si>
  <si>
    <t>2023-07-24</t>
  </si>
  <si>
    <t>Insulin glargine 20u ON; Furosemide 40mg OD; Atorvastatin 40mg ON</t>
  </si>
  <si>
    <t>ENC-0012-04</t>
  </si>
  <si>
    <t>2024-08-12</t>
  </si>
  <si>
    <t>Omeprazole 20mg OD</t>
  </si>
  <si>
    <t>ENC-0012-05</t>
  </si>
  <si>
    <t>2024-06-29</t>
  </si>
  <si>
    <t>Metoprolol 50mg BD; Salbutamol 100mcg PRN; Ramipril 5mg OD</t>
  </si>
  <si>
    <t>ENC-0012-06</t>
  </si>
  <si>
    <t>2024-03-22</t>
  </si>
  <si>
    <t>Clopidogrel 75mg OD; Amlodipine 10mg OD; Levothyroxine 50mcg OD; Amlodipine 5mg OD</t>
  </si>
  <si>
    <t>PID-0013</t>
  </si>
  <si>
    <t>ENC-0013-01</t>
  </si>
  <si>
    <t>2024-02-21</t>
  </si>
  <si>
    <t>1974-06-09</t>
  </si>
  <si>
    <t>CA22</t>
  </si>
  <si>
    <t>COPD</t>
  </si>
  <si>
    <t>Amlodipine 10mg OD; Aspirin 75mg OD</t>
  </si>
  <si>
    <t>ENC-0013-02</t>
  </si>
  <si>
    <t>2024-06-27</t>
  </si>
  <si>
    <t>Levothyroxine 50mcg OD; Atorvastatin 40mg ON</t>
  </si>
  <si>
    <t>ENC-0013-03</t>
  </si>
  <si>
    <t>2024-05-10</t>
  </si>
  <si>
    <t>Furosemide 40mg OD; Omeprazole 20mg OD; Amlodipine 5mg OD</t>
  </si>
  <si>
    <t>ENC-0013-04</t>
  </si>
  <si>
    <t>2024-07-20</t>
  </si>
  <si>
    <t>Metoprolol 50mg BD; Levothyroxine 50mcg OD; Furosemide 40mg OD; Lisinopril 10mg OD</t>
  </si>
  <si>
    <t>ENC-0013-05</t>
  </si>
  <si>
    <t>2024-05-18</t>
  </si>
  <si>
    <t>Prednisolone 5mg OD</t>
  </si>
  <si>
    <t>PID-0014</t>
  </si>
  <si>
    <t>ENC-0014-01</t>
  </si>
  <si>
    <t>2023-09-28</t>
  </si>
  <si>
    <t>1950-08-10</t>
  </si>
  <si>
    <t>Lisinopril 10mg OD; Aspirin 75mg OD; Omeprazole 20mg OD</t>
  </si>
  <si>
    <t>ENC-0014-02</t>
  </si>
  <si>
    <t>2025-03-17</t>
  </si>
  <si>
    <t>Salbutamol 100mcg PRN; Metformin 1g BD; Lisinopril 10mg OD</t>
  </si>
  <si>
    <t>ENC-0014-03</t>
  </si>
  <si>
    <t>2023-05-08</t>
  </si>
  <si>
    <t>Levothyroxine 50mcg OD; Bisoprolol 5mg OD; Amlodipine 5mg OD; Metformin 1g BD</t>
  </si>
  <si>
    <t>PID-0015</t>
  </si>
  <si>
    <t>ENC-0015-01</t>
  </si>
  <si>
    <t>2002-03-16</t>
  </si>
  <si>
    <t>BA80,5A11,5A00</t>
  </si>
  <si>
    <t>Metabolic syndrome</t>
  </si>
  <si>
    <t>Ramipril 5mg OD; Dapagliflozin 10mg OD; Omeprazole 20mg OD</t>
  </si>
  <si>
    <t>ENC-0015-02</t>
  </si>
  <si>
    <t>2023-11-19</t>
  </si>
  <si>
    <t>Ramipril 5mg OD; Lisinopril 10mg OD; Warfarin (variable); Empagliflozin 10mg OD</t>
  </si>
  <si>
    <t>ENC-0015-03</t>
  </si>
  <si>
    <t>2023-02-22</t>
  </si>
  <si>
    <t>Furosemide 40mg OD; Omeprazole 20mg OD</t>
  </si>
  <si>
    <t>ENC-0015-04</t>
  </si>
  <si>
    <t>2023-08-19</t>
  </si>
  <si>
    <t>Ramipril 5mg OD; Dapagliflozin 10mg OD; Clopidogrel 75mg OD</t>
  </si>
  <si>
    <t>ENC-0015-05</t>
  </si>
  <si>
    <t>2023-07-15</t>
  </si>
  <si>
    <t>Amlodipine 5mg OD; Omeprazole 20mg OD; Clopidogrel 75mg OD</t>
  </si>
  <si>
    <t>ENC-0015-06</t>
  </si>
  <si>
    <t>2024-07-05</t>
  </si>
  <si>
    <t>Clopidogrel 75mg OD; Amlodipine 10mg OD</t>
  </si>
  <si>
    <t>PID-0016</t>
  </si>
  <si>
    <t>ENC-0016-01</t>
  </si>
  <si>
    <t>2024-03-26</t>
  </si>
  <si>
    <t>1959-07-22</t>
  </si>
  <si>
    <t>JA00</t>
  </si>
  <si>
    <t>Community-acquired pneumonia</t>
  </si>
  <si>
    <t>Levothyroxine 50mcg OD; Amlodipine 10mg OD; Metformin 1g BD</t>
  </si>
  <si>
    <t>ENC-0016-02</t>
  </si>
  <si>
    <t>2025-01-05</t>
  </si>
  <si>
    <t>Metformin 1g BD; Ramipril 5mg OD</t>
  </si>
  <si>
    <t>PID-0017</t>
  </si>
  <si>
    <t>ENC-0017-01</t>
  </si>
  <si>
    <t>99/99/9999</t>
  </si>
  <si>
    <t>2004-01-11</t>
  </si>
  <si>
    <t>5A11</t>
  </si>
  <si>
    <t>Type 2 diabetes mellitus</t>
  </si>
  <si>
    <t>Clopidogrel 75mg OD; Salbutamol 100mcg PRN; Aspirin 75mg OD; Metoprolol 50mg BD</t>
  </si>
  <si>
    <t>invalid_date</t>
  </si>
  <si>
    <t>ENC-0017-02</t>
  </si>
  <si>
    <t>Aspirin 75mg OD</t>
  </si>
  <si>
    <t>ENC-0017-03</t>
  </si>
  <si>
    <t>None; Insulin glargine 20u ON</t>
  </si>
  <si>
    <t>invalid_date; invalid_bmi</t>
  </si>
  <si>
    <t>PID-0018</t>
  </si>
  <si>
    <t>ENC-0018-01</t>
  </si>
  <si>
    <t>2024-03-01</t>
  </si>
  <si>
    <t>1968-08-02</t>
  </si>
  <si>
    <t>GC43</t>
  </si>
  <si>
    <t>Major depressive disorder</t>
  </si>
  <si>
    <t>Dapagliflozin 10mg OD; Omeprazole 20mg OD; Levothyroxine 50mcg OD</t>
  </si>
  <si>
    <t>ENC-0018-02</t>
  </si>
  <si>
    <t>2023-08-20</t>
  </si>
  <si>
    <t>ENC-0018-03</t>
  </si>
  <si>
    <t>2025-02-05</t>
  </si>
  <si>
    <t>None; Aspirin 75mg OD; Metformin 1g BD</t>
  </si>
  <si>
    <t>ENC-0018-04</t>
  </si>
  <si>
    <t>2023-02-16</t>
  </si>
  <si>
    <t>Clopidogrel 75mg OD; Salbutamol 100mcg PRN; Ramipril 5mg OD; Atorvastatin 40mg ON</t>
  </si>
  <si>
    <t>ENC-0018-05</t>
  </si>
  <si>
    <t>2024-12-07</t>
  </si>
  <si>
    <t>Lisinopril 10mg OD; Amlodipine 10mg OD; Bisoprolol 5mg OD</t>
  </si>
  <si>
    <t>ENC-0018-06</t>
  </si>
  <si>
    <t>2023-08-06</t>
  </si>
  <si>
    <t>PID-0019</t>
  </si>
  <si>
    <t>ENC-0019-01</t>
  </si>
  <si>
    <t>2023-01-27</t>
  </si>
  <si>
    <t>2007-05-28</t>
  </si>
  <si>
    <t>Empagliflozin 10mg OD; Atorvastatin 40mg ON; Metformin 1g BD; Dapagliflozin 10mg OD</t>
  </si>
  <si>
    <t>PID-0020</t>
  </si>
  <si>
    <t>ENC-0020-01</t>
  </si>
  <si>
    <t>2024-02-16</t>
  </si>
  <si>
    <t>2002-12-26</t>
  </si>
  <si>
    <t>Bisoprolol 5mg OD; Clopidogrel 75mg OD</t>
  </si>
  <si>
    <t>ENC-0020-02</t>
  </si>
  <si>
    <t>2024-06-01</t>
  </si>
  <si>
    <t>Ramipril 5mg OD; Metoprolol 50mg BD</t>
  </si>
  <si>
    <t>ENC-0020-03</t>
  </si>
  <si>
    <t>PID-0021</t>
  </si>
  <si>
    <t>ENC-0021-01</t>
  </si>
  <si>
    <t>2025-02-07</t>
  </si>
  <si>
    <t>2000-10-18</t>
  </si>
  <si>
    <t>Dapagliflozin 10mg OD; Aspirin 75mg OD</t>
  </si>
  <si>
    <t>ENC-0021-02</t>
  </si>
  <si>
    <t>ENC-0021-03</t>
  </si>
  <si>
    <t>ENC-0021-04</t>
  </si>
  <si>
    <t>2023-12-16</t>
  </si>
  <si>
    <t>ENC-0021-05</t>
  </si>
  <si>
    <t>2024-03-28</t>
  </si>
  <si>
    <t>Lisinopril 10mg OD; Aspirin 75mg OD; Amlodipine 10mg OD</t>
  </si>
  <si>
    <t>ENC-0021-06</t>
  </si>
  <si>
    <t>2023-08-05</t>
  </si>
  <si>
    <t>Empagliflozin 10mg OD; Prednisolone 5mg OD</t>
  </si>
  <si>
    <t>PID-0022</t>
  </si>
  <si>
    <t>ENC-0022-01</t>
  </si>
  <si>
    <t>2024-02-19</t>
  </si>
  <si>
    <t>1949-02-28</t>
  </si>
  <si>
    <t>ENC-0022-02</t>
  </si>
  <si>
    <t>2023-11-14</t>
  </si>
  <si>
    <t>Insulin glargine 20u ON; Salbutamol 100mcg PRN; Aspirin 75mg OD</t>
  </si>
  <si>
    <t>ENC-0022-03</t>
  </si>
  <si>
    <t>2024-09-08</t>
  </si>
  <si>
    <t>Clopidogrel 75mg OD; Levothyroxine 50mcg OD; None; Salbutamol 100mcg PRN</t>
  </si>
  <si>
    <t>ENC-0022-04</t>
  </si>
  <si>
    <t>2023-11-07</t>
  </si>
  <si>
    <t>Metformin 1g BD; None; Empagliflozin 10mg OD</t>
  </si>
  <si>
    <t>ENC-0022-05</t>
  </si>
  <si>
    <t>2024-08-08</t>
  </si>
  <si>
    <t>Metformin 1g BD; Empagliflozin 10mg OD; Furosemide 40mg OD</t>
  </si>
  <si>
    <t>PID-0023</t>
  </si>
  <si>
    <t>ENC-0023-01</t>
  </si>
  <si>
    <t>2023-04-07</t>
  </si>
  <si>
    <t>1961-06-10</t>
  </si>
  <si>
    <t>Clopidogrel 75mg OD</t>
  </si>
  <si>
    <t>V1 of 4. Chronic disease review.</t>
  </si>
  <si>
    <t>ENC-0023-02</t>
  </si>
  <si>
    <t>2023-05-11</t>
  </si>
  <si>
    <t>Amlodipine 5mg OD; Insulin glargine 20u ON; Omeprazole 20mg OD</t>
  </si>
  <si>
    <t>missing_age; invalid_bmi</t>
  </si>
  <si>
    <t>V2 of 4. Chronic disease review.</t>
  </si>
  <si>
    <t>ENC-0023-03</t>
  </si>
  <si>
    <t>2025-02-28</t>
  </si>
  <si>
    <t>Furosemide 40mg OD; None</t>
  </si>
  <si>
    <t>V3 of 4. Chronic disease review.</t>
  </si>
  <si>
    <t>ENC-0023-04</t>
  </si>
  <si>
    <t>2025-03-13</t>
  </si>
  <si>
    <t>Metoprolol 50mg BD; Omeprazole 20mg OD; Amlodipine 10mg OD; Empagliflozin 10mg OD</t>
  </si>
  <si>
    <t>missing_age</t>
  </si>
  <si>
    <t>V4 of 4. Chronic disease review.</t>
  </si>
  <si>
    <t>PID-0024</t>
  </si>
  <si>
    <t>ENC-0024-01</t>
  </si>
  <si>
    <t>2023-04-04</t>
  </si>
  <si>
    <t>1941-02-10</t>
  </si>
  <si>
    <t>Amlodipine 10mg OD; Metformin 1g BD</t>
  </si>
  <si>
    <t>ENC-0024-02</t>
  </si>
  <si>
    <t>2025-01-01</t>
  </si>
  <si>
    <t>Metoprolol 50mg BD; Amlodipine 5mg OD; Metformin 1g BD; Clopidogrel 75mg OD</t>
  </si>
  <si>
    <t>PID-0025</t>
  </si>
  <si>
    <t>ENC-0025-01</t>
  </si>
  <si>
    <t>2024-05-26</t>
  </si>
  <si>
    <t>1977-05-04</t>
  </si>
  <si>
    <t>Clopidogrel 75mg OD; Ramipril 5mg OD</t>
  </si>
  <si>
    <t>invalid_bmi</t>
  </si>
  <si>
    <t>ENC-0025-02</t>
  </si>
  <si>
    <t>2024-04-26</t>
  </si>
  <si>
    <t>PID-0026</t>
  </si>
  <si>
    <t>ENC-0026-01</t>
  </si>
  <si>
    <t>2023-02-12</t>
  </si>
  <si>
    <t>1984-03-03</t>
  </si>
  <si>
    <t>Insulin glargine 20u ON; Lisinopril 10mg OD; Levothyroxine 50mcg OD</t>
  </si>
  <si>
    <t>PID-0027</t>
  </si>
  <si>
    <t>ENC-0027-01</t>
  </si>
  <si>
    <t>2025-01-14</t>
  </si>
  <si>
    <t>1958-06-06</t>
  </si>
  <si>
    <t>Omeprazole 20mg OD; Metoprolol 50mg BD; Ramipril 5mg OD</t>
  </si>
  <si>
    <t>ENC-0027-02</t>
  </si>
  <si>
    <t>Insulin glargine 20u ON; Empagliflozin 10mg OD; Furosemide 40mg OD; Amlodipine 5mg OD</t>
  </si>
  <si>
    <t>ENC-0027-03</t>
  </si>
  <si>
    <t>2023-03-10</t>
  </si>
  <si>
    <t>Insulin glargine 20u ON; Metoprolol 50mg BD; Metformin 1g BD</t>
  </si>
  <si>
    <t>ENC-0027-04</t>
  </si>
  <si>
    <t>2023-11-18</t>
  </si>
  <si>
    <t>Bisoprolol 5mg OD; Metoprolol 50mg BD; Warfarin (variable)</t>
  </si>
  <si>
    <t>ENC-0027-05</t>
  </si>
  <si>
    <t>2023-05-19</t>
  </si>
  <si>
    <t>Insulin glargine 20u ON; Metformin 1g BD; Prednisolone 5mg OD</t>
  </si>
  <si>
    <t>ENC-0027-06</t>
  </si>
  <si>
    <t>2024-12-27</t>
  </si>
  <si>
    <t>Amlodipine 5mg OD; Insulin glargine 20u ON; Prednisolone 5mg OD; Clopidogrel 75mg OD</t>
  </si>
  <si>
    <t>PID-0028</t>
  </si>
  <si>
    <t>ENC-0028-01</t>
  </si>
  <si>
    <t>2023-11-21</t>
  </si>
  <si>
    <t>1957-12-24</t>
  </si>
  <si>
    <t>Salbutamol 100mcg PRN; Ramipril 5mg OD</t>
  </si>
  <si>
    <t>ENC-0028-02</t>
  </si>
  <si>
    <t>Clopidogrel 75mg OD; None</t>
  </si>
  <si>
    <t>ENC-0028-03</t>
  </si>
  <si>
    <t>Omeprazole 20mg OD; Dapagliflozin 10mg OD; Aspirin 75mg OD</t>
  </si>
  <si>
    <t>ENC-0028-04</t>
  </si>
  <si>
    <t>2023-11-17</t>
  </si>
  <si>
    <t>Levothyroxine 50mcg OD</t>
  </si>
  <si>
    <t>ENC-0028-05</t>
  </si>
  <si>
    <t>2023-09-12</t>
  </si>
  <si>
    <t>Dapagliflozin 10mg OD; Omeprazole 20mg OD; None; Amlodipine 5mg OD</t>
  </si>
  <si>
    <t>PID-0029</t>
  </si>
  <si>
    <t>ENC-0029-01</t>
  </si>
  <si>
    <t>2024-01-10</t>
  </si>
  <si>
    <t>1971-09-01</t>
  </si>
  <si>
    <t>None; Atorvastatin 40mg ON; Salbutamol 100mcg PRN</t>
  </si>
  <si>
    <t>ENC-0029-02</t>
  </si>
  <si>
    <t>Empagliflozin 10mg OD; Metoprolol 50mg BD; Salbutamol 100mcg PRN; None</t>
  </si>
  <si>
    <t>PID-0030</t>
  </si>
  <si>
    <t>ENC-0030-01</t>
  </si>
  <si>
    <t>2024-01-13</t>
  </si>
  <si>
    <t>1969-10-11</t>
  </si>
  <si>
    <t>Bisoprolol 5mg OD; Clopidogrel 75mg OD; Aspirin 75mg OD; Lisinopril 10mg OD</t>
  </si>
  <si>
    <t>ENC-0030-02</t>
  </si>
  <si>
    <t>2024-11-28</t>
  </si>
  <si>
    <t>Ramipril 5mg OD; Empagliflozin 10mg OD</t>
  </si>
  <si>
    <t>ENC-0030-03</t>
  </si>
  <si>
    <t>2023-08-01</t>
  </si>
  <si>
    <t>Bisoprolol 5mg OD; Dapagliflozin 10mg OD; Warfarin (variable)</t>
  </si>
  <si>
    <t>ENC-0030-04</t>
  </si>
  <si>
    <t>2023-11-01</t>
  </si>
  <si>
    <t>Omeprazole 20mg OD; Atorvastatin 40mg ON; Prednisolone 5mg OD</t>
  </si>
  <si>
    <t>ENC-0030-05</t>
  </si>
  <si>
    <t>2023-02-13</t>
  </si>
  <si>
    <t>Prednisolone 5mg OD; Bisoprolol 5mg OD; Salbutamol 100mcg PRN</t>
  </si>
  <si>
    <t>PID-0031</t>
  </si>
  <si>
    <t>ENC-0031-01</t>
  </si>
  <si>
    <t>2023-04-13</t>
  </si>
  <si>
    <t>1940-04-21</t>
  </si>
  <si>
    <t>Dapagliflozin 10mg OD; Warfarin (variable); Omeprazole 20mg OD; Levothyroxine 50mcg OD</t>
  </si>
  <si>
    <t>PID-0032</t>
  </si>
  <si>
    <t>ENC-0032-01</t>
  </si>
  <si>
    <t>2023-10-24</t>
  </si>
  <si>
    <t>1985-07-27</t>
  </si>
  <si>
    <t>5A00</t>
  </si>
  <si>
    <t>Obesity</t>
  </si>
  <si>
    <t>Salbutamol 100mcg PRN; Empagliflozin 10mg OD; Metoprolol 50mg BD; Bisoprolol 5mg OD</t>
  </si>
  <si>
    <t>PID-0033</t>
  </si>
  <si>
    <t>ENC-0033-01</t>
  </si>
  <si>
    <t>2024-10-16</t>
  </si>
  <si>
    <t>1975-12-06</t>
  </si>
  <si>
    <t>BA80</t>
  </si>
  <si>
    <t>Essential hypertension</t>
  </si>
  <si>
    <t>Aspirin 75mg OD; Amlodipine 5mg OD; Bisoprolol 5mg OD</t>
  </si>
  <si>
    <t>ENC-0033-02</t>
  </si>
  <si>
    <t>2023-11-06</t>
  </si>
  <si>
    <t>Amlodipine 10mg OD; Empagliflozin 10mg OD</t>
  </si>
  <si>
    <t>ENC-0033-03</t>
  </si>
  <si>
    <t>2023-08-15</t>
  </si>
  <si>
    <t>Prednisolone 5mg OD; Warfarin (variable); Aspirin 75mg OD; Metformin 1g BD</t>
  </si>
  <si>
    <t>ENC-0033-04</t>
  </si>
  <si>
    <t>2024-07-31</t>
  </si>
  <si>
    <t>Atorvastatin 40mg ON; Warfarin (variable); Dapagliflozin 10mg OD; Metformin 1g BD</t>
  </si>
  <si>
    <t>ENC-0033-05</t>
  </si>
  <si>
    <t>2024-06-09</t>
  </si>
  <si>
    <t>Warfarin (variable)</t>
  </si>
  <si>
    <t>ENC-0033-06</t>
  </si>
  <si>
    <t>2024-12-18</t>
  </si>
  <si>
    <t>Ramipril 5mg OD; Insulin glargine 20u ON</t>
  </si>
  <si>
    <t>PID-0034</t>
  </si>
  <si>
    <t>ENC-0034-01</t>
  </si>
  <si>
    <t>2023-11-02</t>
  </si>
  <si>
    <t>1963-02-06</t>
  </si>
  <si>
    <t>Atorvastatin 40mg ON; Lisinopril 10mg OD</t>
  </si>
  <si>
    <t>ENC-0034-02</t>
  </si>
  <si>
    <t>Prednisolone 5mg OD; Warfarin (variable)</t>
  </si>
  <si>
    <t>ENC-0034-03</t>
  </si>
  <si>
    <t>2025-01-19</t>
  </si>
  <si>
    <t>Ramipril 5mg OD; Omeprazole 20mg OD</t>
  </si>
  <si>
    <t>ENC-0034-04</t>
  </si>
  <si>
    <t>2024-11-26</t>
  </si>
  <si>
    <t>Ramipril 5mg OD; Salbutamol 100mcg PRN; Omeprazole 20mg OD; Amlodipine 10mg OD</t>
  </si>
  <si>
    <t>ENC-0034-05</t>
  </si>
  <si>
    <t>PID-0035</t>
  </si>
  <si>
    <t>ENC-0035-01</t>
  </si>
  <si>
    <t>2023-07-12</t>
  </si>
  <si>
    <t>1996-09-24</t>
  </si>
  <si>
    <t>PID-0036</t>
  </si>
  <si>
    <t>ENC-0036-01</t>
  </si>
  <si>
    <t>2024-01-04</t>
  </si>
  <si>
    <t>1957-04-18</t>
  </si>
  <si>
    <t>Levothyroxine 50mcg OD; Ramipril 5mg OD; Lisinopril 10mg OD</t>
  </si>
  <si>
    <t>ENC-0036-02</t>
  </si>
  <si>
    <t>Prednisolone 5mg OD; Levothyroxine 50mcg OD; Bisoprolol 5mg OD; Dapagliflozin 10mg OD</t>
  </si>
  <si>
    <t>ENC-0036-03</t>
  </si>
  <si>
    <t>2023-05-24</t>
  </si>
  <si>
    <t>PID-0037</t>
  </si>
  <si>
    <t>ENC-0037-01</t>
  </si>
  <si>
    <t>2024-06-28</t>
  </si>
  <si>
    <t>2006-04-17</t>
  </si>
  <si>
    <t>Furosemide 40mg OD; Atorvastatin 40mg ON; Clopidogrel 75mg OD; Empagliflozin 10mg OD</t>
  </si>
  <si>
    <t>ENC-0037-02</t>
  </si>
  <si>
    <t>2023-09-07</t>
  </si>
  <si>
    <t>Amlodipine 10mg OD</t>
  </si>
  <si>
    <t>ENC-0037-03</t>
  </si>
  <si>
    <t>2023-12-06</t>
  </si>
  <si>
    <t>Bisoprolol 5mg OD; Lisinopril 10mg OD; Metformin 1g BD; None</t>
  </si>
  <si>
    <t>PID-0038</t>
  </si>
  <si>
    <t>ENC-0038-01</t>
  </si>
  <si>
    <t>1998-05-06</t>
  </si>
  <si>
    <t>ENC-0038-02</t>
  </si>
  <si>
    <t>2023-12-01</t>
  </si>
  <si>
    <t>Metformin 1g BD; Omeprazole 20mg OD; Aspirin 75mg OD; None</t>
  </si>
  <si>
    <t>ENC-0038-03</t>
  </si>
  <si>
    <t>Atorvastatin 40mg ON; Salbutamol 100mcg PRN; Metformin 1g BD</t>
  </si>
  <si>
    <t>PID-0039</t>
  </si>
  <si>
    <t>ENC-0039-01</t>
  </si>
  <si>
    <t>2024-02-02</t>
  </si>
  <si>
    <t>1996-06-18</t>
  </si>
  <si>
    <t>Salbutamol 100mcg PRN; Bisoprolol 5mg OD</t>
  </si>
  <si>
    <t>ENC-0039-02</t>
  </si>
  <si>
    <t>2023-06-21</t>
  </si>
  <si>
    <t>Metoprolol 50mg BD; Atorvastatin 40mg ON</t>
  </si>
  <si>
    <t>ENC-0039-03</t>
  </si>
  <si>
    <t>2024-09-27</t>
  </si>
  <si>
    <t>Levothyroxine 50mcg OD; Warfarin (variable); Dapagliflozin 10mg OD</t>
  </si>
  <si>
    <t>ENC-0039-04</t>
  </si>
  <si>
    <t>2025-01-22</t>
  </si>
  <si>
    <t>ENC-0039-05</t>
  </si>
  <si>
    <t>2025-02-25</t>
  </si>
  <si>
    <t>Dapagliflozin 10mg OD; Salbutamol 100mcg PRN; Omeprazole 20mg OD; Aspirin 75mg OD</t>
  </si>
  <si>
    <t>PID-0040</t>
  </si>
  <si>
    <t>ENC-0040-01</t>
  </si>
  <si>
    <t>2024-07-03</t>
  </si>
  <si>
    <t>1946-10-13</t>
  </si>
  <si>
    <t>Levothyroxine 50mcg OD; Ramipril 5mg OD; Atorvastatin 40mg ON; Amlodipine 5mg OD</t>
  </si>
  <si>
    <t>ENC-0040-02</t>
  </si>
  <si>
    <t>2024-01-19</t>
  </si>
  <si>
    <t>Metformin 1g BD; Atorvastatin 40mg ON; Salbutamol 100mcg PRN; Insulin glargine 20u ON</t>
  </si>
  <si>
    <t>ENC-0040-03</t>
  </si>
  <si>
    <t>2024-05-09</t>
  </si>
  <si>
    <t>ENC-0040-04</t>
  </si>
  <si>
    <t>2023-06-13</t>
  </si>
  <si>
    <t>Amlodipine 5mg OD; Warfarin (variable); Metoprolol 50mg BD; Ramipril 5mg OD</t>
  </si>
  <si>
    <t>ENC-0040-05</t>
  </si>
  <si>
    <t>2025-02-09</t>
  </si>
  <si>
    <t>ENC-0040-06</t>
  </si>
  <si>
    <t>2024-02-06</t>
  </si>
  <si>
    <t>Salbutamol 100mcg PRN</t>
  </si>
  <si>
    <t>PID-0041</t>
  </si>
  <si>
    <t>ENC-0041-01</t>
  </si>
  <si>
    <t>2024-05-13</t>
  </si>
  <si>
    <t>1960-12-05</t>
  </si>
  <si>
    <t>Metoprolol 50mg BD; Lisinopril 10mg OD; Insulin glargine 20u ON</t>
  </si>
  <si>
    <t>ENC-0041-02</t>
  </si>
  <si>
    <t>2024-01-29</t>
  </si>
  <si>
    <t>ENC-0041-03</t>
  </si>
  <si>
    <t>ENC-0041-04</t>
  </si>
  <si>
    <t>2025-01-06</t>
  </si>
  <si>
    <t>Metoprolol 50mg BD</t>
  </si>
  <si>
    <t>PID-0042</t>
  </si>
  <si>
    <t>ENC-0042-01</t>
  </si>
  <si>
    <t>2023-07-31</t>
  </si>
  <si>
    <t>1977-04-26</t>
  </si>
  <si>
    <t>Empagliflozin 10mg OD; Atorvastatin 40mg ON; Salbutamol 100mcg PRN</t>
  </si>
  <si>
    <t>ENC-0042-02</t>
  </si>
  <si>
    <t>2023-05-16</t>
  </si>
  <si>
    <t>Ramipril 5mg OD; Amlodipine 10mg OD; Metoprolol 50mg BD</t>
  </si>
  <si>
    <t>ENC-0042-03</t>
  </si>
  <si>
    <t>Metformin 1g BD; Prednisolone 5mg OD; Amlodipine 10mg OD</t>
  </si>
  <si>
    <t>ENC-0042-04</t>
  </si>
  <si>
    <t>2023-11-27</t>
  </si>
  <si>
    <t>ENC-0042-05</t>
  </si>
  <si>
    <t>2023-06-11</t>
  </si>
  <si>
    <t>Bisoprolol 5mg OD; Metformin 1g BD</t>
  </si>
  <si>
    <t>ENC-0042-06</t>
  </si>
  <si>
    <t>2024-10-26</t>
  </si>
  <si>
    <t>PID-0043</t>
  </si>
  <si>
    <t>ENC-0043-01</t>
  </si>
  <si>
    <t>2024-01-28</t>
  </si>
  <si>
    <t>2006-01-23</t>
  </si>
  <si>
    <t>Salbutamol 100mcg PRN; Metformin 1g BD</t>
  </si>
  <si>
    <t>PID-0044</t>
  </si>
  <si>
    <t>ENC-0044-01</t>
  </si>
  <si>
    <t>1980-02-04</t>
  </si>
  <si>
    <t>PID-0045</t>
  </si>
  <si>
    <t>ENC-0045-01</t>
  </si>
  <si>
    <t>2024-08-31</t>
  </si>
  <si>
    <t>1970-11-02</t>
  </si>
  <si>
    <t>Insulin glargine 20u ON; Prednisolone 5mg OD; Furosemide 40mg OD; Dapagliflozin 10mg OD</t>
  </si>
  <si>
    <t>ENC-0045-02</t>
  </si>
  <si>
    <t>2023-09-26</t>
  </si>
  <si>
    <t>Amlodipine 10mg OD; Metformin 1g BD; Prednisolone 5mg OD; Salbutamol 100mcg PRN</t>
  </si>
  <si>
    <t>PID-0046</t>
  </si>
  <si>
    <t>ENC-0046-01</t>
  </si>
  <si>
    <t>2023-09-02</t>
  </si>
  <si>
    <t>1988-09-11</t>
  </si>
  <si>
    <t>Atorvastatin 40mg ON; Amlodipine 5mg OD</t>
  </si>
  <si>
    <t>ENC-0046-02</t>
  </si>
  <si>
    <t>2024-06-19</t>
  </si>
  <si>
    <t>ENC-0046-03</t>
  </si>
  <si>
    <t>2024-12-30</t>
  </si>
  <si>
    <t>Bisoprolol 5mg OD; Atorvastatin 40mg ON</t>
  </si>
  <si>
    <t>ENC-0046-04</t>
  </si>
  <si>
    <t>2023-01-13</t>
  </si>
  <si>
    <t>Aspirin 75mg OD; Levothyroxine 50mcg OD; None; Ramipril 5mg OD</t>
  </si>
  <si>
    <t>ENC-0046-05</t>
  </si>
  <si>
    <t>2024-05-29</t>
  </si>
  <si>
    <t>Omeprazole 20mg OD; Levothyroxine 50mcg OD; Metformin 1g BD</t>
  </si>
  <si>
    <t>PID-0047</t>
  </si>
  <si>
    <t>ENC-0047-01</t>
  </si>
  <si>
    <t>2024-07-13</t>
  </si>
  <si>
    <t>1969-12-20</t>
  </si>
  <si>
    <t>ENC-0047-02</t>
  </si>
  <si>
    <t>2024-06-26</t>
  </si>
  <si>
    <t>Empagliflozin 10mg OD; Ramipril 5mg OD</t>
  </si>
  <si>
    <t>PID-0048</t>
  </si>
  <si>
    <t>ENC-0048-01</t>
  </si>
  <si>
    <t>1957-02-19</t>
  </si>
  <si>
    <t>Clopidogrel 75mg OD; Atorvastatin 40mg ON</t>
  </si>
  <si>
    <t>ENC-0048-02</t>
  </si>
  <si>
    <t>Omeprazole 20mg OD; Lisinopril 10mg OD</t>
  </si>
  <si>
    <t>ENC-0048-03</t>
  </si>
  <si>
    <t>Prednisolone 5mg OD; None; Aspirin 75mg OD; Atorvastatin 40mg ON</t>
  </si>
  <si>
    <t>ENC-0048-04</t>
  </si>
  <si>
    <t>2023-03-05</t>
  </si>
  <si>
    <t>Metformin 1g BD; Amlodipine 5mg OD; None</t>
  </si>
  <si>
    <t>PID-0049</t>
  </si>
  <si>
    <t>ENC-0049-01</t>
  </si>
  <si>
    <t>2024-11-30</t>
  </si>
  <si>
    <t>1992-01-15</t>
  </si>
  <si>
    <t>Omeprazole 20mg OD; Dapagliflozin 10mg OD</t>
  </si>
  <si>
    <t>ENC-0049-02</t>
  </si>
  <si>
    <t>Clopidogrel 75mg OD; Empagliflozin 10mg OD; Levothyroxine 50mcg OD</t>
  </si>
  <si>
    <t>PID-0050</t>
  </si>
  <si>
    <t>ENC-0050-01</t>
  </si>
  <si>
    <t>2025-03-21</t>
  </si>
  <si>
    <t>1940-06-25</t>
  </si>
  <si>
    <t>Furosemide 40mg OD; Aspirin 75mg OD</t>
  </si>
  <si>
    <t>PID-0051</t>
  </si>
  <si>
    <t>ENC-0051-01</t>
  </si>
  <si>
    <t>1989-10-07</t>
  </si>
  <si>
    <t>Levothyroxine 50mcg OD; Lisinopril 10mg OD</t>
  </si>
  <si>
    <t>ENC-0051-02</t>
  </si>
  <si>
    <t>Levothyroxine 50mcg OD; Furosemide 40mg OD; Prednisolone 5mg OD; Insulin glargine 20u ON</t>
  </si>
  <si>
    <t>missing_age; invalid_date</t>
  </si>
  <si>
    <t>ENC-0051-03</t>
  </si>
  <si>
    <t>2024-08-09</t>
  </si>
  <si>
    <t>ENC-0051-04</t>
  </si>
  <si>
    <t>ENC-0051-05</t>
  </si>
  <si>
    <t>2024-05-05</t>
  </si>
  <si>
    <t>PID-0052</t>
  </si>
  <si>
    <t>ENC-0052-01</t>
  </si>
  <si>
    <t>1946-12-01</t>
  </si>
  <si>
    <t>ENC-0052-02</t>
  </si>
  <si>
    <t>2024-05-06</t>
  </si>
  <si>
    <t>Dapagliflozin 10mg OD; None; Bisoprolol 5mg OD; Metformin 1g BD</t>
  </si>
  <si>
    <t>ENC-0052-03</t>
  </si>
  <si>
    <t>2023-10-03</t>
  </si>
  <si>
    <t>Prednisolone 5mg OD; Lisinopril 10mg OD</t>
  </si>
  <si>
    <t>ENC-0052-04</t>
  </si>
  <si>
    <t>Warfarin (variable); None</t>
  </si>
  <si>
    <t>ENC-0052-05</t>
  </si>
  <si>
    <t>ENC-0052-06</t>
  </si>
  <si>
    <t>Clopidogrel 75mg OD; Dapagliflozin 10mg OD; Lisinopril 10mg OD; Furosemide 40mg OD</t>
  </si>
  <si>
    <t>PID-0053</t>
  </si>
  <si>
    <t>ENC-0053-01</t>
  </si>
  <si>
    <t>2023-08-22</t>
  </si>
  <si>
    <t>1960-01-11</t>
  </si>
  <si>
    <t>Metoprolol 50mg BD; Warfarin (variable)</t>
  </si>
  <si>
    <t>ENC-0053-02</t>
  </si>
  <si>
    <t>2023-02-27</t>
  </si>
  <si>
    <t>Furosemide 40mg OD</t>
  </si>
  <si>
    <t>PID-0054</t>
  </si>
  <si>
    <t>ENC-0054-01</t>
  </si>
  <si>
    <t>2023-05-07</t>
  </si>
  <si>
    <t>2001-06-23</t>
  </si>
  <si>
    <t>Furosemide 40mg OD; Bisoprolol 5mg OD; Metformin 1g BD</t>
  </si>
  <si>
    <t>ENC-0054-02</t>
  </si>
  <si>
    <t>PID-0055</t>
  </si>
  <si>
    <t>ENC-0055-01</t>
  </si>
  <si>
    <t>2024-04-22</t>
  </si>
  <si>
    <t>1968-12-23</t>
  </si>
  <si>
    <t>Prednisolone 5mg OD; Omeprazole 20mg OD; Clopidogrel 75mg OD</t>
  </si>
  <si>
    <t>ENC-0055-02</t>
  </si>
  <si>
    <t>2024-10-17</t>
  </si>
  <si>
    <t>Lisinopril 10mg OD; Amlodipine 10mg OD</t>
  </si>
  <si>
    <t>ENC-0055-03</t>
  </si>
  <si>
    <t>2023-09-23</t>
  </si>
  <si>
    <t>Prednisolone 5mg OD; Dapagliflozin 10mg OD</t>
  </si>
  <si>
    <t>ENC-0055-04</t>
  </si>
  <si>
    <t>2024-11-04</t>
  </si>
  <si>
    <t>Levothyroxine 50mcg OD; Metformin 1g BD</t>
  </si>
  <si>
    <t>PID-0056</t>
  </si>
  <si>
    <t>ENC-0056-01</t>
  </si>
  <si>
    <t>2024-08-20</t>
  </si>
  <si>
    <t>1960-05-19</t>
  </si>
  <si>
    <t>Lisinopril 10mg OD; Salbutamol 100mcg PRN; Clopidogrel 75mg OD; Warfarin (variable)</t>
  </si>
  <si>
    <t>ENC-0056-02</t>
  </si>
  <si>
    <t>2023-11-20</t>
  </si>
  <si>
    <t>Bisoprolol 5mg OD; Warfarin (variable); Furosemide 40mg OD; Prednisolone 5mg OD</t>
  </si>
  <si>
    <t>PID-0057</t>
  </si>
  <si>
    <t>ENC-0057-01</t>
  </si>
  <si>
    <t>2023-11-26</t>
  </si>
  <si>
    <t>1956-07-16</t>
  </si>
  <si>
    <t>Salbutamol 100mcg PRN; Atorvastatin 40mg ON; Amlodipine 10mg OD</t>
  </si>
  <si>
    <t>PID-0058</t>
  </si>
  <si>
    <t>ENC-0058-01</t>
  </si>
  <si>
    <t>2024-05-16</t>
  </si>
  <si>
    <t>1969-05-15</t>
  </si>
  <si>
    <t>Warfarin (variable); Amlodipine 5mg OD</t>
  </si>
  <si>
    <t>ENC-0058-02</t>
  </si>
  <si>
    <t>2024-12-29</t>
  </si>
  <si>
    <t>ENC-0058-03</t>
  </si>
  <si>
    <t>None; Salbutamol 100mcg PRN; Ramipril 5mg OD</t>
  </si>
  <si>
    <t>ENC-0058-04</t>
  </si>
  <si>
    <t>2023-04-27</t>
  </si>
  <si>
    <t>Omeprazole 20mg OD; Furosemide 40mg OD; Lisinopril 10mg OD; Dapagliflozin 10mg OD</t>
  </si>
  <si>
    <t>ENC-0058-05</t>
  </si>
  <si>
    <t>2023-01-14</t>
  </si>
  <si>
    <t>PID-0059</t>
  </si>
  <si>
    <t>ENC-0059-01</t>
  </si>
  <si>
    <t>2023-04-08</t>
  </si>
  <si>
    <t>1995-03-28</t>
  </si>
  <si>
    <t>Metformin 1g BD; Insulin glargine 20u ON; Levothyroxine 50mcg OD</t>
  </si>
  <si>
    <t>ENC-0059-02</t>
  </si>
  <si>
    <t>2023-10-06</t>
  </si>
  <si>
    <t>ENC-0059-03</t>
  </si>
  <si>
    <t>2024-08-05</t>
  </si>
  <si>
    <t>Dapagliflozin 10mg OD; None</t>
  </si>
  <si>
    <t>PID-0060</t>
  </si>
  <si>
    <t>ENC-0060-01</t>
  </si>
  <si>
    <t>1967-01-23</t>
  </si>
  <si>
    <t>ENC-0060-02</t>
  </si>
  <si>
    <t>2023-06-19</t>
  </si>
  <si>
    <t>Aspirin 75mg OD; Metformin 1g BD; Metoprolol 50mg BD; Prednisolone 5mg OD</t>
  </si>
  <si>
    <t>ENC-0060-03</t>
  </si>
  <si>
    <t>ENC-0060-04</t>
  </si>
  <si>
    <t>2024-11-18</t>
  </si>
  <si>
    <t>Insulin glargine 20u ON; Metoprolol 50mg BD; Atorvastatin 40mg ON; Prednisolone 5mg OD</t>
  </si>
  <si>
    <t>ENC-0060-05</t>
  </si>
  <si>
    <t>2024-10-10</t>
  </si>
  <si>
    <t>Atorvastatin 40mg ON; Bisoprolol 5mg OD; Warfarin (variable); Prednisolone 5mg OD</t>
  </si>
  <si>
    <t>ENC-0060-06</t>
  </si>
  <si>
    <t>2025-03-11</t>
  </si>
  <si>
    <t>Metoprolol 50mg BD; Clopidogrel 75mg OD; Empagliflozin 10mg OD; Salbutamol 100mcg PRN</t>
  </si>
  <si>
    <t>PID-0061</t>
  </si>
  <si>
    <t>ENC-0061-01</t>
  </si>
  <si>
    <t>2024-09-06</t>
  </si>
  <si>
    <t>1946-09-25</t>
  </si>
  <si>
    <t>Levothyroxine 50mcg OD; Omeprazole 20mg OD; Metoprolol 50mg BD; Salbutamol 100mcg PRN</t>
  </si>
  <si>
    <t>ENC-0061-02</t>
  </si>
  <si>
    <t>2024-12-19</t>
  </si>
  <si>
    <t>Salbutamol 100mcg PRN; Furosemide 40mg OD; Empagliflozin 10mg OD</t>
  </si>
  <si>
    <t>ENC-0061-03</t>
  </si>
  <si>
    <t>Amlodipine 5mg OD; Empagliflozin 10mg OD; Atorvastatin 40mg ON; None</t>
  </si>
  <si>
    <t>ENC-0061-04</t>
  </si>
  <si>
    <t>2023-10-01</t>
  </si>
  <si>
    <t>ENC-0061-05</t>
  </si>
  <si>
    <t>2024-10-24</t>
  </si>
  <si>
    <t>Ramipril 5mg OD; Levothyroxine 50mcg OD; Prednisolone 5mg OD; Lisinopril 10mg OD</t>
  </si>
  <si>
    <t>ENC-0061-06</t>
  </si>
  <si>
    <t>Omeprazole 20mg OD; Metoprolol 50mg BD</t>
  </si>
  <si>
    <t>PID-0062</t>
  </si>
  <si>
    <t>ENC-0062-01</t>
  </si>
  <si>
    <t>2023-09-19</t>
  </si>
  <si>
    <t>1959-01-14</t>
  </si>
  <si>
    <t>Dapagliflozin 10mg OD; Clopidogrel 75mg OD; Prednisolone 5mg OD</t>
  </si>
  <si>
    <t>ENC-0062-02</t>
  </si>
  <si>
    <t>2024-06-17</t>
  </si>
  <si>
    <t>Levothyroxine 50mcg OD; Insulin glargine 20u ON; Omeprazole 20mg OD</t>
  </si>
  <si>
    <t>ENC-0062-03</t>
  </si>
  <si>
    <t>ENC-0062-04</t>
  </si>
  <si>
    <t>2025-01-11</t>
  </si>
  <si>
    <t>Levothyroxine 50mcg OD; Empagliflozin 10mg OD</t>
  </si>
  <si>
    <t>ENC-0062-05</t>
  </si>
  <si>
    <t>2023-03-09</t>
  </si>
  <si>
    <t>Metformin 1g BD; Salbutamol 100mcg PRN; Amlodipine 5mg OD; Metoprolol 50mg BD</t>
  </si>
  <si>
    <t>PID-0063</t>
  </si>
  <si>
    <t>ENC-0063-01</t>
  </si>
  <si>
    <t>2024-03-19</t>
  </si>
  <si>
    <t>1975-09-03</t>
  </si>
  <si>
    <t>ENC-0063-02</t>
  </si>
  <si>
    <t>2024-12-03</t>
  </si>
  <si>
    <t>Salbutamol 100mcg PRN; Amlodipine 10mg OD</t>
  </si>
  <si>
    <t>PID-0064</t>
  </si>
  <si>
    <t>ENC-0064-01</t>
  </si>
  <si>
    <t>2023-03-29</t>
  </si>
  <si>
    <t>2006-09-28</t>
  </si>
  <si>
    <t>PID-0065</t>
  </si>
  <si>
    <t>ENC-0065-01</t>
  </si>
  <si>
    <t>2024-08-17</t>
  </si>
  <si>
    <t>1948-11-18</t>
  </si>
  <si>
    <t>Dapagliflozin 10mg OD; Metoprolol 50mg BD; Levothyroxine 50mcg OD</t>
  </si>
  <si>
    <t>ENC-0065-02</t>
  </si>
  <si>
    <t>2024-08-03</t>
  </si>
  <si>
    <t>Bisoprolol 5mg OD; Insulin glargine 20u ON; Salbutamol 100mcg PRN; Levothyroxine 50mcg OD</t>
  </si>
  <si>
    <t>ENC-0065-03</t>
  </si>
  <si>
    <t>2023-11-09</t>
  </si>
  <si>
    <t>PID-0066</t>
  </si>
  <si>
    <t>ENC-0066-01</t>
  </si>
  <si>
    <t>2025-03-01</t>
  </si>
  <si>
    <t>1980-01-18</t>
  </si>
  <si>
    <t>None; Furosemide 40mg OD</t>
  </si>
  <si>
    <t>ENC-0066-02</t>
  </si>
  <si>
    <t>2024-08-02</t>
  </si>
  <si>
    <t>Aspirin 75mg OD; Metformin 1g BD; Bisoprolol 5mg OD; Insulin glargine 20u ON</t>
  </si>
  <si>
    <t>ENC-0066-03</t>
  </si>
  <si>
    <t>2024-04-25</t>
  </si>
  <si>
    <t>Bisoprolol 5mg OD; Clopidogrel 75mg OD; Prednisolone 5mg OD</t>
  </si>
  <si>
    <t>ENC-0066-04</t>
  </si>
  <si>
    <t>2024-08-24</t>
  </si>
  <si>
    <t>Dapagliflozin 10mg OD; None; Amlodipine 5mg OD</t>
  </si>
  <si>
    <t>ENC-0066-05</t>
  </si>
  <si>
    <t>2023-03-20</t>
  </si>
  <si>
    <t>Levothyroxine 50mcg OD; Atorvastatin 40mg ON; Dapagliflozin 10mg OD; Prednisolone 5mg OD</t>
  </si>
  <si>
    <t>PID-0067</t>
  </si>
  <si>
    <t>ENC-0067-01</t>
  </si>
  <si>
    <t>2023-05-31</t>
  </si>
  <si>
    <t>2005-04-02</t>
  </si>
  <si>
    <t>Metformin 1g BD; Warfarin (variable); Metoprolol 50mg BD</t>
  </si>
  <si>
    <t>ENC-0067-02</t>
  </si>
  <si>
    <t>2024-02-25</t>
  </si>
  <si>
    <t>Metoprolol 50mg BD; Clopidogrel 75mg OD; Metformin 1g BD</t>
  </si>
  <si>
    <t>ENC-0067-03</t>
  </si>
  <si>
    <t>2023-01-17</t>
  </si>
  <si>
    <t>PID-0068</t>
  </si>
  <si>
    <t>ENC-0068-01</t>
  </si>
  <si>
    <t>2024-03-15</t>
  </si>
  <si>
    <t>2007-11-21</t>
  </si>
  <si>
    <t>ENC-0068-02</t>
  </si>
  <si>
    <t>2023-03-27</t>
  </si>
  <si>
    <t>Empagliflozin 10mg OD</t>
  </si>
  <si>
    <t>ENC-0068-03</t>
  </si>
  <si>
    <t>2024-01-06</t>
  </si>
  <si>
    <t>Warfarin (variable); Ramipril 5mg OD; Prednisolone 5mg OD; Dapagliflozin 10mg OD</t>
  </si>
  <si>
    <t>ENC-0068-04</t>
  </si>
  <si>
    <t>2023-11-11</t>
  </si>
  <si>
    <t>Atorvastatin 40mg ON; Warfarin (variable)</t>
  </si>
  <si>
    <t>ENC-0068-05</t>
  </si>
  <si>
    <t>2024-02-03</t>
  </si>
  <si>
    <t>Insulin glargine 20u ON; Metformin 1g BD</t>
  </si>
  <si>
    <t>PID-0069</t>
  </si>
  <si>
    <t>ENC-0069-01</t>
  </si>
  <si>
    <t>2000-03-21</t>
  </si>
  <si>
    <t>Metformin 1g BD; Bisoprolol 5mg OD</t>
  </si>
  <si>
    <t>ENC-0069-02</t>
  </si>
  <si>
    <t>2023-07-25</t>
  </si>
  <si>
    <t>Insulin glargine 20u ON; Bisoprolol 5mg OD; Aspirin 75mg OD</t>
  </si>
  <si>
    <t>ENC-0069-03</t>
  </si>
  <si>
    <t>2023-01-05</t>
  </si>
  <si>
    <t>Prednisolone 5mg OD; Clopidogrel 75mg OD; Bisoprolol 5mg OD</t>
  </si>
  <si>
    <t>ENC-0069-04</t>
  </si>
  <si>
    <t>PID-0070</t>
  </si>
  <si>
    <t>ENC-0070-01</t>
  </si>
  <si>
    <t>2023-12-29</t>
  </si>
  <si>
    <t>1974-04-10</t>
  </si>
  <si>
    <t>Aspirin 75mg OD; Bisoprolol 5mg OD</t>
  </si>
  <si>
    <t>ENC-0070-02</t>
  </si>
  <si>
    <t>2024-09-25</t>
  </si>
  <si>
    <t>ENC-0070-03</t>
  </si>
  <si>
    <t>2023-10-09</t>
  </si>
  <si>
    <t>Dapagliflozin 10mg OD; Prednisolone 5mg OD; Lisinopril 10mg OD; Empagliflozin 10mg OD</t>
  </si>
  <si>
    <t>ENC-0070-04</t>
  </si>
  <si>
    <t>2024-12-16</t>
  </si>
  <si>
    <t>Furosemide 40mg OD; Prednisolone 5mg OD; Bisoprolol 5mg OD</t>
  </si>
  <si>
    <t>PID-0071</t>
  </si>
  <si>
    <t>ENC-0071-01</t>
  </si>
  <si>
    <t>2023-07-04</t>
  </si>
  <si>
    <t>1944-07-07</t>
  </si>
  <si>
    <t>Warfarin (variable); Salbutamol 100mcg PRN; Clopidogrel 75mg OD; Dapagliflozin 10mg OD</t>
  </si>
  <si>
    <t>ENC-0071-02</t>
  </si>
  <si>
    <t>2024-10-07</t>
  </si>
  <si>
    <t>Lisinopril 10mg OD; Warfarin (variable)</t>
  </si>
  <si>
    <t>ENC-0071-03</t>
  </si>
  <si>
    <t>2023-12-09</t>
  </si>
  <si>
    <t>ENC-0071-04</t>
  </si>
  <si>
    <t>2024-11-20</t>
  </si>
  <si>
    <t>Levothyroxine 50mcg OD; Ramipril 5mg OD</t>
  </si>
  <si>
    <t>ENC-0071-05</t>
  </si>
  <si>
    <t>2023-06-15</t>
  </si>
  <si>
    <t>Clopidogrel 75mg OD; Empagliflozin 10mg OD; Metoprolol 50mg BD</t>
  </si>
  <si>
    <t>ENC-0071-06</t>
  </si>
  <si>
    <t>2025-01-15</t>
  </si>
  <si>
    <t>Prednisolone 5mg OD; Lisinopril 10mg OD; Amlodipine 5mg OD; Amlodipine 10mg OD</t>
  </si>
  <si>
    <t>PID-0072</t>
  </si>
  <si>
    <t>ENC-0072-01</t>
  </si>
  <si>
    <t>2023-05-15</t>
  </si>
  <si>
    <t>1997-11-13</t>
  </si>
  <si>
    <t>Prednisolone 5mg OD; Metoprolol 50mg BD; Salbutamol 100mcg PRN</t>
  </si>
  <si>
    <t>PID-0073</t>
  </si>
  <si>
    <t>ENC-0073-01</t>
  </si>
  <si>
    <t>1940-11-21</t>
  </si>
  <si>
    <t>ENC-0073-02</t>
  </si>
  <si>
    <t>2023-10-27</t>
  </si>
  <si>
    <t>Amlodipine 10mg OD; Aspirin 75mg OD; Bisoprolol 5mg OD; Metformin 1g BD</t>
  </si>
  <si>
    <t>PID-0074</t>
  </si>
  <si>
    <t>ENC-0074-01</t>
  </si>
  <si>
    <t>2024-09-24</t>
  </si>
  <si>
    <t>1955-04-28</t>
  </si>
  <si>
    <t>ENC-0074-02</t>
  </si>
  <si>
    <t>2023-04-03</t>
  </si>
  <si>
    <t>PID-0075</t>
  </si>
  <si>
    <t>ENC-0075-01</t>
  </si>
  <si>
    <t>1998-09-16</t>
  </si>
  <si>
    <t>ENC-0075-02</t>
  </si>
  <si>
    <t>2024-05-07</t>
  </si>
  <si>
    <t>Amlodipine 5mg OD; Furosemide 40mg OD; Bisoprolol 5mg OD</t>
  </si>
  <si>
    <t>PID-0076</t>
  </si>
  <si>
    <t>ENC-0076-01</t>
  </si>
  <si>
    <t>2023-06-07</t>
  </si>
  <si>
    <t>1976-03-16</t>
  </si>
  <si>
    <t>Warfarin (variable); Amlodipine 5mg OD; Amlodipine 10mg OD; Insulin glargine 20u ON</t>
  </si>
  <si>
    <t>ENC-0076-02</t>
  </si>
  <si>
    <t>2024-03-24</t>
  </si>
  <si>
    <t>Metformin 1g BD; Empagliflozin 10mg OD</t>
  </si>
  <si>
    <t>ENC-0076-03</t>
  </si>
  <si>
    <t>2024-01-11</t>
  </si>
  <si>
    <t>ENC-0076-04</t>
  </si>
  <si>
    <t>2024-07-18</t>
  </si>
  <si>
    <t>Furosemide 40mg OD; Lisinopril 10mg OD</t>
  </si>
  <si>
    <t>ENC-0076-05</t>
  </si>
  <si>
    <t>ENC-0076-06</t>
  </si>
  <si>
    <t>Empagliflozin 10mg OD; Lisinopril 10mg OD; Metformin 1g BD</t>
  </si>
  <si>
    <t>PID-0077</t>
  </si>
  <si>
    <t>ENC-0077-01</t>
  </si>
  <si>
    <t>2025-02-23</t>
  </si>
  <si>
    <t>1958-04-07</t>
  </si>
  <si>
    <t>Empagliflozin 10mg OD; Levothyroxine 50mcg OD; Furosemide 40mg OD; Metoprolol 50mg BD</t>
  </si>
  <si>
    <t>ENC-0077-02</t>
  </si>
  <si>
    <t>2024-01-16</t>
  </si>
  <si>
    <t>Insulin glargine 20u ON; Metoprolol 50mg BD; Clopidogrel 75mg OD</t>
  </si>
  <si>
    <t>ENC-0077-03</t>
  </si>
  <si>
    <t>Prednisolone 5mg OD; Empagliflozin 10mg OD; None</t>
  </si>
  <si>
    <t>ENC-0077-04</t>
  </si>
  <si>
    <t>2024-04-16</t>
  </si>
  <si>
    <t>Clopidogrel 75mg OD; Warfarin (variable); Metformin 1g BD; Levothyroxine 50mcg OD</t>
  </si>
  <si>
    <t>ENC-0077-05</t>
  </si>
  <si>
    <t>2024-10-19</t>
  </si>
  <si>
    <t>Ramipril 5mg OD; Atorvastatin 40mg ON; Aspirin 75mg OD; Amlodipine 5mg OD</t>
  </si>
  <si>
    <t>ENC-0077-06</t>
  </si>
  <si>
    <t>2024-07-06</t>
  </si>
  <si>
    <t>PID-0078</t>
  </si>
  <si>
    <t>ENC-0078-01</t>
  </si>
  <si>
    <t>2024-03-20</t>
  </si>
  <si>
    <t>1997-08-19</t>
  </si>
  <si>
    <t>Aspirin 75mg OD; Metformin 1g BD</t>
  </si>
  <si>
    <t>ENC-0078-02</t>
  </si>
  <si>
    <t>None; Metoprolol 50mg BD; Salbutamol 100mcg PRN</t>
  </si>
  <si>
    <t>ENC-0078-03</t>
  </si>
  <si>
    <t>2024-01-18</t>
  </si>
  <si>
    <t>Amlodipine 5mg OD; Levothyroxine 50mcg OD; Atorvastatin 40mg ON</t>
  </si>
  <si>
    <t>ENC-0078-04</t>
  </si>
  <si>
    <t>2023-08-03</t>
  </si>
  <si>
    <t>ENC-0078-05</t>
  </si>
  <si>
    <t>2023-03-03</t>
  </si>
  <si>
    <t>Insulin glargine 20u ON; Atorvastatin 40mg ON; Amlodipine 5mg OD</t>
  </si>
  <si>
    <t>PID-0079</t>
  </si>
  <si>
    <t>ENC-0079-01</t>
  </si>
  <si>
    <t>1967-08-28</t>
  </si>
  <si>
    <t>Lisinopril 10mg OD; Bisoprolol 5mg OD; Amlodipine 10mg OD</t>
  </si>
  <si>
    <t>ENC-0079-02</t>
  </si>
  <si>
    <t>2024-11-25</t>
  </si>
  <si>
    <t>Metoprolol 50mg BD; Prednisolone 5mg OD; Salbutamol 100mcg PRN</t>
  </si>
  <si>
    <t>PID-0080</t>
  </si>
  <si>
    <t>ENC-0080-01</t>
  </si>
  <si>
    <t>2024-02-28</t>
  </si>
  <si>
    <t>1987-06-03</t>
  </si>
  <si>
    <t>Atorvastatin 40mg ON; Salbutamol 100mcg PRN</t>
  </si>
  <si>
    <t>PID-0081</t>
  </si>
  <si>
    <t>ENC-0081-01</t>
  </si>
  <si>
    <t>2024-09-11</t>
  </si>
  <si>
    <t>1978-04-22</t>
  </si>
  <si>
    <t>Amlodipine 5mg OD; Bisoprolol 5mg OD; Ramipril 5mg OD; Aspirin 75mg OD</t>
  </si>
  <si>
    <t>ENC-0081-02</t>
  </si>
  <si>
    <t>2024-09-23</t>
  </si>
  <si>
    <t>Levothyroxine 50mcg OD; Amlodipine 10mg OD; Prednisolone 5mg OD; Empagliflozin 10mg OD</t>
  </si>
  <si>
    <t>ENC-0081-03</t>
  </si>
  <si>
    <t>PID-0082</t>
  </si>
  <si>
    <t>ENC-0082-01</t>
  </si>
  <si>
    <t>2024-04-07</t>
  </si>
  <si>
    <t>1948-03-14</t>
  </si>
  <si>
    <t>Metoprolol 50mg BD; Amlodipine 5mg OD; Furosemide 40mg OD</t>
  </si>
  <si>
    <t>ENC-0082-02</t>
  </si>
  <si>
    <t>2023-09-14</t>
  </si>
  <si>
    <t>Metformin 1g BD; Empagliflozin 10mg OD; Amlodipine 10mg OD</t>
  </si>
  <si>
    <t>ENC-0082-03</t>
  </si>
  <si>
    <t>2024-01-25</t>
  </si>
  <si>
    <t>PID-0083</t>
  </si>
  <si>
    <t>ENC-0083-01</t>
  </si>
  <si>
    <t>2024-05-25</t>
  </si>
  <si>
    <t>1992-03-07</t>
  </si>
  <si>
    <t>ENC-0083-02</t>
  </si>
  <si>
    <t>2024-10-05</t>
  </si>
  <si>
    <t>Levothyroxine 50mcg OD; Metformin 1g BD; Lisinopril 10mg OD</t>
  </si>
  <si>
    <t>ENC-0083-03</t>
  </si>
  <si>
    <t>2023-10-19</t>
  </si>
  <si>
    <t>ENC-0083-04</t>
  </si>
  <si>
    <t>2023-03-11</t>
  </si>
  <si>
    <t>Empagliflozin 10mg OD; Warfarin (variable); Clopidogrel 75mg OD; Lisinopril 10mg OD</t>
  </si>
  <si>
    <t>ENC-0083-05</t>
  </si>
  <si>
    <t>Salbutamol 100mcg PRN; Clopidogrel 75mg OD; Dapagliflozin 10mg OD</t>
  </si>
  <si>
    <t>PID-0084</t>
  </si>
  <si>
    <t>ENC-0084-01</t>
  </si>
  <si>
    <t>1970-04-01</t>
  </si>
  <si>
    <t>PID-0085</t>
  </si>
  <si>
    <t>ENC-0085-01</t>
  </si>
  <si>
    <t>2023-12-13</t>
  </si>
  <si>
    <t>1993-11-11</t>
  </si>
  <si>
    <t>Metoprolol 50mg BD; Ramipril 5mg OD; Lisinopril 10mg OD</t>
  </si>
  <si>
    <t>ENC-0085-02</t>
  </si>
  <si>
    <t>2024-07-02</t>
  </si>
  <si>
    <t>ENC-0085-03</t>
  </si>
  <si>
    <t>2024-09-01</t>
  </si>
  <si>
    <t>Insulin glargine 20u ON; Metoprolol 50mg BD</t>
  </si>
  <si>
    <t>ENC-0085-04</t>
  </si>
  <si>
    <t>Warfarin (variable); Levothyroxine 50mcg OD</t>
  </si>
  <si>
    <t>PID-0086</t>
  </si>
  <si>
    <t>ENC-0086-01</t>
  </si>
  <si>
    <t>2024-06-18</t>
  </si>
  <si>
    <t>1941-11-05</t>
  </si>
  <si>
    <t>ENC-0086-02</t>
  </si>
  <si>
    <t>Atorvastatin 40mg ON; Amlodipine 5mg OD; Prednisolone 5mg OD</t>
  </si>
  <si>
    <t>ENC-0086-03</t>
  </si>
  <si>
    <t>2023-11-23</t>
  </si>
  <si>
    <t>Lisinopril 10mg OD; Salbutamol 100mcg PRN; Amlodipine 5mg OD; Dapagliflozin 10mg OD</t>
  </si>
  <si>
    <t>PID-0087</t>
  </si>
  <si>
    <t>ENC-0087-01</t>
  </si>
  <si>
    <t>2024-12-31</t>
  </si>
  <si>
    <t>1957-03-23</t>
  </si>
  <si>
    <t>Atorvastatin 40mg ON; Metoprolol 50mg BD; Omeprazole 20mg OD; Clopidogrel 75mg OD</t>
  </si>
  <si>
    <t>ENC-0087-02</t>
  </si>
  <si>
    <t>Amlodipine 5mg OD; Metformin 1g BD; Dapagliflozin 10mg OD; Atorvastatin 40mg ON</t>
  </si>
  <si>
    <t>ENC-0087-03</t>
  </si>
  <si>
    <t>ENC-0087-04</t>
  </si>
  <si>
    <t>Clopidogrel 75mg OD; Levothyroxine 50mcg OD; Prednisolone 5mg OD; Aspirin 75mg OD</t>
  </si>
  <si>
    <t>ENC-0087-05</t>
  </si>
  <si>
    <t>2024-08-29</t>
  </si>
  <si>
    <t>Levothyroxine 50mcg OD; Dapagliflozin 10mg OD; Lisinopril 10mg OD; Metformin 1g BD</t>
  </si>
  <si>
    <t>PID-0088</t>
  </si>
  <si>
    <t>ENC-0088-01</t>
  </si>
  <si>
    <t>1988-08-18</t>
  </si>
  <si>
    <t>ENC-0088-02</t>
  </si>
  <si>
    <t>PID-0089</t>
  </si>
  <si>
    <t>ENC-0089-01</t>
  </si>
  <si>
    <t>2024-07-22</t>
  </si>
  <si>
    <t>1959-07-13</t>
  </si>
  <si>
    <t>ENC-0089-02</t>
  </si>
  <si>
    <t>ENC-0089-03</t>
  </si>
  <si>
    <t>Metoprolol 50mg BD; Empagliflozin 10mg OD; Metformin 1g BD</t>
  </si>
  <si>
    <t>ENC-0089-04</t>
  </si>
  <si>
    <t>2024-08-16</t>
  </si>
  <si>
    <t>Ramipril 5mg OD; Insulin glargine 20u ON; Omeprazole 20mg OD</t>
  </si>
  <si>
    <t>ENC-0089-05</t>
  </si>
  <si>
    <t>2024-11-03</t>
  </si>
  <si>
    <t>Bisoprolol 5mg OD; Salbutamol 100mcg PRN; None</t>
  </si>
  <si>
    <t>PID-0090</t>
  </si>
  <si>
    <t>ENC-0090-01</t>
  </si>
  <si>
    <t>1977-08-06</t>
  </si>
  <si>
    <t>Lisinopril 10mg OD; Bisoprolol 5mg OD; Atorvastatin 40mg ON</t>
  </si>
  <si>
    <t>PID-0091</t>
  </si>
  <si>
    <t>ENC-0091-01</t>
  </si>
  <si>
    <t>1947-12-25</t>
  </si>
  <si>
    <t>Ramipril 5mg OD; Bisoprolol 5mg OD; Levothyroxine 50mcg OD</t>
  </si>
  <si>
    <t>ENC-0091-02</t>
  </si>
  <si>
    <t>missing_age; invalid_date; invalid_bmi</t>
  </si>
  <si>
    <t>PID-0092</t>
  </si>
  <si>
    <t>ENC-0092-01</t>
  </si>
  <si>
    <t>2024-12-13</t>
  </si>
  <si>
    <t>1992-12-04</t>
  </si>
  <si>
    <t>Bisoprolol 5mg OD; Furosemide 40mg OD; Metformin 1g BD</t>
  </si>
  <si>
    <t>ENC-0092-02</t>
  </si>
  <si>
    <t>Atorvastatin 40mg ON; Salbutamol 100mcg PRN; Prednisolone 5mg OD; Ramipril 5mg OD</t>
  </si>
  <si>
    <t>ENC-0092-03</t>
  </si>
  <si>
    <t>ENC-0092-04</t>
  </si>
  <si>
    <t>2024-08-11</t>
  </si>
  <si>
    <t>ENC-0092-05</t>
  </si>
  <si>
    <t>Prednisolone 5mg OD; Levothyroxine 50mcg OD; Metformin 1g BD</t>
  </si>
  <si>
    <t>PID-0093</t>
  </si>
  <si>
    <t>ENC-0093-01</t>
  </si>
  <si>
    <t>2024-10-09</t>
  </si>
  <si>
    <t>1958-11-07</t>
  </si>
  <si>
    <t>Dapagliflozin 10mg OD; Prednisolone 5mg OD; Metoprolol 50mg BD</t>
  </si>
  <si>
    <t>ENC-0093-02</t>
  </si>
  <si>
    <t>Clopidogrel 75mg OD; Aspirin 75mg OD</t>
  </si>
  <si>
    <t>ENC-0093-03</t>
  </si>
  <si>
    <t>2023-01-20</t>
  </si>
  <si>
    <t>Atorvastatin 40mg ON; Metoprolol 50mg BD; Furosemide 40mg OD</t>
  </si>
  <si>
    <t>PID-0094</t>
  </si>
  <si>
    <t>ENC-0094-01</t>
  </si>
  <si>
    <t>1999-04-14</t>
  </si>
  <si>
    <t>Salbutamol 100mcg PRN; Ramipril 5mg OD; Furosemide 40mg OD</t>
  </si>
  <si>
    <t>ENC-0094-02</t>
  </si>
  <si>
    <t>2024-08-18</t>
  </si>
  <si>
    <t>ENC-0094-03</t>
  </si>
  <si>
    <t>2024-12-11</t>
  </si>
  <si>
    <t>None; Lisinopril 10mg OD</t>
  </si>
  <si>
    <t>ENC-0094-04</t>
  </si>
  <si>
    <t>2025-03-12</t>
  </si>
  <si>
    <t>ENC-0094-05</t>
  </si>
  <si>
    <t>2023-06-02</t>
  </si>
  <si>
    <t>Warfarin (variable); Ramipril 5mg OD; Bisoprolol 5mg OD</t>
  </si>
  <si>
    <t>ENC-0094-06</t>
  </si>
  <si>
    <t>2025-01-28</t>
  </si>
  <si>
    <t>Clopidogrel 75mg OD; None; Levothyroxine 50mcg OD; Ramipril 5mg OD</t>
  </si>
  <si>
    <t>PID-0095</t>
  </si>
  <si>
    <t>ENC-0095-01</t>
  </si>
  <si>
    <t>2024-05-11</t>
  </si>
  <si>
    <t>1995-04-24</t>
  </si>
  <si>
    <t>Insulin glargine 20u ON; Bisoprolol 5mg OD</t>
  </si>
  <si>
    <t>ENC-0095-02</t>
  </si>
  <si>
    <t>PID-0096</t>
  </si>
  <si>
    <t>ENC-0096-01</t>
  </si>
  <si>
    <t>1980-10-16</t>
  </si>
  <si>
    <t>ENC-0096-02</t>
  </si>
  <si>
    <t>2025-03-28</t>
  </si>
  <si>
    <t>Salbutamol 100mcg PRN; Insulin glargine 20u ON</t>
  </si>
  <si>
    <t>ENC-0096-03</t>
  </si>
  <si>
    <t>Furosemide 40mg OD; Insulin glargine 20u ON; Metoprolol 50mg BD; Amlodipine 5mg OD</t>
  </si>
  <si>
    <t>PID-0097</t>
  </si>
  <si>
    <t>ENC-0097-01</t>
  </si>
  <si>
    <t>2024-11-21</t>
  </si>
  <si>
    <t>1973-12-20</t>
  </si>
  <si>
    <t>ENC-0097-02</t>
  </si>
  <si>
    <t>Insulin glargine 20u ON; Bisoprolol 5mg OD; Empagliflozin 10mg OD</t>
  </si>
  <si>
    <t>ENC-0097-03</t>
  </si>
  <si>
    <t>2023-12-20</t>
  </si>
  <si>
    <t>None; Insulin glargine 20u ON; Metformin 1g BD; Warfarin (variable)</t>
  </si>
  <si>
    <t>PID-0098</t>
  </si>
  <si>
    <t>ENC-0098-01</t>
  </si>
  <si>
    <t>1998-02-06</t>
  </si>
  <si>
    <t>PID-0099</t>
  </si>
  <si>
    <t>ENC-0099-01</t>
  </si>
  <si>
    <t>2025-03-19</t>
  </si>
  <si>
    <t>1955-10-11</t>
  </si>
  <si>
    <t>Metoprolol 50mg BD; Furosemide 40mg OD; Clopidogrel 75mg OD</t>
  </si>
  <si>
    <t>ENC-0099-02</t>
  </si>
  <si>
    <t>Insulin glargine 20u ON; Furosemide 40mg OD; Warfarin (variable)</t>
  </si>
  <si>
    <t>ENC-0099-03</t>
  </si>
  <si>
    <t>2024-01-17</t>
  </si>
  <si>
    <t>Levothyroxine 50mcg OD; Salbutamol 100mcg PRN; Amlodipine 5mg OD; Empagliflozin 10mg OD</t>
  </si>
  <si>
    <t>ENC-0099-04</t>
  </si>
  <si>
    <t>2024-08-10</t>
  </si>
  <si>
    <t>PID-0100</t>
  </si>
  <si>
    <t>ENC-0100-01</t>
  </si>
  <si>
    <t>1950-06-03</t>
  </si>
  <si>
    <t>PID-0101</t>
  </si>
  <si>
    <t>ENC-0101-01</t>
  </si>
  <si>
    <t>2024-03-30</t>
  </si>
  <si>
    <t>2006-05-12</t>
  </si>
  <si>
    <t>Salbutamol 100mcg PRN; Clopidogrel 75mg OD; Metformin 1g BD; None</t>
  </si>
  <si>
    <t>ENC-0101-02</t>
  </si>
  <si>
    <t>2024-08-27</t>
  </si>
  <si>
    <t>Warfarin (variable); Furosemide 40mg OD</t>
  </si>
  <si>
    <t>ENC-0101-03</t>
  </si>
  <si>
    <t>Atorvastatin 40mg ON; Omeprazole 20mg OD; Ramipril 5mg OD; Furosemide 40mg OD</t>
  </si>
  <si>
    <t>PID-0102</t>
  </si>
  <si>
    <t>ENC-0102-01</t>
  </si>
  <si>
    <t>2024-05-02</t>
  </si>
  <si>
    <t>1944-02-20</t>
  </si>
  <si>
    <t>Levothyroxine 50mcg OD; Metoprolol 50mg BD</t>
  </si>
  <si>
    <t>ENC-0102-02</t>
  </si>
  <si>
    <t>2024-01-05</t>
  </si>
  <si>
    <t>Atorvastatin 40mg ON; Furosemide 40mg OD</t>
  </si>
  <si>
    <t>ENC-0102-03</t>
  </si>
  <si>
    <t>2024-12-02</t>
  </si>
  <si>
    <t>Ramipril 5mg OD; Levothyroxine 50mcg OD; Furosemide 40mg OD; Atorvastatin 40mg ON</t>
  </si>
  <si>
    <t>ENC-0102-04</t>
  </si>
  <si>
    <t>ENC-0102-05</t>
  </si>
  <si>
    <t>Omeprazole 20mg OD; Amlodipine 5mg OD</t>
  </si>
  <si>
    <t>PID-0103</t>
  </si>
  <si>
    <t>ENC-0103-01</t>
  </si>
  <si>
    <t>1968-03-07</t>
  </si>
  <si>
    <t>Lisinopril 10mg OD; Metformin 1g BD; Omeprazole 20mg OD</t>
  </si>
  <si>
    <t>PID-0104</t>
  </si>
  <si>
    <t>ENC-0104-01</t>
  </si>
  <si>
    <t>2025-02-20</t>
  </si>
  <si>
    <t>1963-06-06</t>
  </si>
  <si>
    <t>ENC-0104-02</t>
  </si>
  <si>
    <t>Atorvastatin 40mg ON; Metoprolol 50mg BD; None</t>
  </si>
  <si>
    <t>ENC-0104-03</t>
  </si>
  <si>
    <t>2023-10-23</t>
  </si>
  <si>
    <t>Aspirin 75mg OD; Prednisolone 5mg OD; Ramipril 5mg OD; Omeprazole 20mg OD</t>
  </si>
  <si>
    <t>ENC-0104-04</t>
  </si>
  <si>
    <t>2024-01-12</t>
  </si>
  <si>
    <t>Amlodipine 10mg OD; None</t>
  </si>
  <si>
    <t>ENC-0104-05</t>
  </si>
  <si>
    <t>2023-07-23</t>
  </si>
  <si>
    <t>Amlodipine 10mg OD; Insulin glargine 20u ON; Dapagliflozin 10mg OD</t>
  </si>
  <si>
    <t>ENC-0104-06</t>
  </si>
  <si>
    <t>PID-0105</t>
  </si>
  <si>
    <t>ENC-0105-01</t>
  </si>
  <si>
    <t>2024-05-17</t>
  </si>
  <si>
    <t>1995-02-22</t>
  </si>
  <si>
    <t>ENC-0105-02</t>
  </si>
  <si>
    <t>2023-02-06</t>
  </si>
  <si>
    <t>Dapagliflozin 10mg OD; Atorvastatin 40mg ON; None; Prednisolone 5mg OD</t>
  </si>
  <si>
    <t>ENC-0105-03</t>
  </si>
  <si>
    <t>2023-09-27</t>
  </si>
  <si>
    <t>ENC-0105-04</t>
  </si>
  <si>
    <t>2024-10-02</t>
  </si>
  <si>
    <t>Clopidogrel 75mg OD; Metformin 1g BD; None</t>
  </si>
  <si>
    <t>PID-0106</t>
  </si>
  <si>
    <t>ENC-0106-01</t>
  </si>
  <si>
    <t>2024-08-25</t>
  </si>
  <si>
    <t>2003-08-22</t>
  </si>
  <si>
    <t>Levothyroxine 50mcg OD; Dapagliflozin 10mg OD</t>
  </si>
  <si>
    <t>ENC-0106-02</t>
  </si>
  <si>
    <t>Clopidogrel 75mg OD; Amlodipine 10mg OD; Aspirin 75mg OD</t>
  </si>
  <si>
    <t>ENC-0106-03</t>
  </si>
  <si>
    <t>2023-12-11</t>
  </si>
  <si>
    <t>Ramipril 5mg OD; Prednisolone 5mg OD; Levothyroxine 50mcg OD</t>
  </si>
  <si>
    <t>ENC-0106-04</t>
  </si>
  <si>
    <t>2024-06-11</t>
  </si>
  <si>
    <t>Metoprolol 50mg BD; Bisoprolol 5mg OD</t>
  </si>
  <si>
    <t>ENC-0106-05</t>
  </si>
  <si>
    <t>PID-0107</t>
  </si>
  <si>
    <t>ENC-0107-01</t>
  </si>
  <si>
    <t>2024-07-27</t>
  </si>
  <si>
    <t>1956-04-04</t>
  </si>
  <si>
    <t>Prednisolone 5mg OD; Furosemide 40mg OD; Lisinopril 10mg OD</t>
  </si>
  <si>
    <t>PID-0108</t>
  </si>
  <si>
    <t>ENC-0108-01</t>
  </si>
  <si>
    <t>2024-05-27</t>
  </si>
  <si>
    <t>1999-07-12</t>
  </si>
  <si>
    <t>None; Atorvastatin 40mg ON</t>
  </si>
  <si>
    <t>ENC-0108-02</t>
  </si>
  <si>
    <t>ENC-0108-03</t>
  </si>
  <si>
    <t>2024-03-09</t>
  </si>
  <si>
    <t>Amlodipine 5mg OD; Lisinopril 10mg OD; Clopidogrel 75mg OD</t>
  </si>
  <si>
    <t>ENC-0108-04</t>
  </si>
  <si>
    <t>Bisoprolol 5mg OD; Omeprazole 20mg OD; Metformin 1g BD; Aspirin 75mg OD</t>
  </si>
  <si>
    <t>PID-0109</t>
  </si>
  <si>
    <t>ENC-0109-01</t>
  </si>
  <si>
    <t>1955-01-09</t>
  </si>
  <si>
    <t>Amlodipine 5mg OD; Lisinopril 10mg OD; Furosemide 40mg OD; Metoprolol 50mg BD</t>
  </si>
  <si>
    <t>ENC-0109-02</t>
  </si>
  <si>
    <t>Levothyroxine 50mcg OD; Metoprolol 50mg BD; Dapagliflozin 10mg OD; Salbutamol 100mcg PRN</t>
  </si>
  <si>
    <t>ENC-0109-03</t>
  </si>
  <si>
    <t>2023-10-16</t>
  </si>
  <si>
    <t>ENC-0109-04</t>
  </si>
  <si>
    <t>PID-0110</t>
  </si>
  <si>
    <t>ENC-0110-01</t>
  </si>
  <si>
    <t>1981-04-28</t>
  </si>
  <si>
    <t>Bisoprolol 5mg OD; Aspirin 75mg OD; Metoprolol 50mg BD</t>
  </si>
  <si>
    <t>ENC-0110-02</t>
  </si>
  <si>
    <t>2023-01-11</t>
  </si>
  <si>
    <t>Metformin 1g BD; Atorvastatin 40mg ON; Prednisolone 5mg OD</t>
  </si>
  <si>
    <t>ENC-0110-03</t>
  </si>
  <si>
    <t>Omeprazole 20mg OD; Amlodipine 10mg OD; Insulin glargine 20u ON; Salbutamol 100mcg PRN</t>
  </si>
  <si>
    <t>PID-0111</t>
  </si>
  <si>
    <t>ENC-0111-01</t>
  </si>
  <si>
    <t>2023-04-30</t>
  </si>
  <si>
    <t>1943-08-11</t>
  </si>
  <si>
    <t>None; Bisoprolol 5mg OD; Empagliflozin 10mg OD</t>
  </si>
  <si>
    <t>ENC-0111-02</t>
  </si>
  <si>
    <t>PID-0112</t>
  </si>
  <si>
    <t>ENC-0112-01</t>
  </si>
  <si>
    <t>1984-03-24</t>
  </si>
  <si>
    <t>Clopidogrel 75mg OD; Atorvastatin 40mg ON; Levothyroxine 50mcg OD</t>
  </si>
  <si>
    <t>ENC-0112-02</t>
  </si>
  <si>
    <t>2024-12-25</t>
  </si>
  <si>
    <t>Levothyroxine 50mcg OD; Clopidogrel 75mg OD; Salbutamol 100mcg PRN; Warfarin (variable)</t>
  </si>
  <si>
    <t>ENC-0112-03</t>
  </si>
  <si>
    <t>2023-03-14</t>
  </si>
  <si>
    <t>PID-0113</t>
  </si>
  <si>
    <t>ENC-0113-01</t>
  </si>
  <si>
    <t>1992-05-16</t>
  </si>
  <si>
    <t>None; Furosemide 40mg OD; Ramipril 5mg OD</t>
  </si>
  <si>
    <t>ENC-0113-02</t>
  </si>
  <si>
    <t>2024-11-23</t>
  </si>
  <si>
    <t>Metformin 1g BD; Dapagliflozin 10mg OD; Omeprazole 20mg OD; Salbutamol 100mcg PRN</t>
  </si>
  <si>
    <t>ENC-0113-03</t>
  </si>
  <si>
    <t>Insulin glargine 20u ON; Bisoprolol 5mg OD; Metformin 1g BD</t>
  </si>
  <si>
    <t>ENC-0113-04</t>
  </si>
  <si>
    <t>2025-03-16</t>
  </si>
  <si>
    <t>None; Bisoprolol 5mg OD; Levothyroxine 50mcg OD; Furosemide 40mg OD</t>
  </si>
  <si>
    <t>ENC-0113-05</t>
  </si>
  <si>
    <t>Omeprazole 20mg OD; Insulin glargine 20u ON; Amlodipine 10mg OD; None</t>
  </si>
  <si>
    <t>ENC-0113-06</t>
  </si>
  <si>
    <t>Metformin 1g BD; Omeprazole 20mg OD</t>
  </si>
  <si>
    <t>PID-0114</t>
  </si>
  <si>
    <t>ENC-0114-01</t>
  </si>
  <si>
    <t>2023-07-26</t>
  </si>
  <si>
    <t>1986-03-24</t>
  </si>
  <si>
    <t>Dapagliflozin 10mg OD; Clopidogrel 75mg OD; Prednisolone 5mg OD; Omeprazole 20mg OD</t>
  </si>
  <si>
    <t>ENC-0114-02</t>
  </si>
  <si>
    <t>2024-08-28</t>
  </si>
  <si>
    <t>Prednisolone 5mg OD; Metformin 1g BD; Bisoprolol 5mg OD</t>
  </si>
  <si>
    <t>ENC-0114-03</t>
  </si>
  <si>
    <t>2024-10-23</t>
  </si>
  <si>
    <t>Clopidogrel 75mg OD; Levothyroxine 50mcg OD</t>
  </si>
  <si>
    <t>ENC-0114-04</t>
  </si>
  <si>
    <t>None; Warfarin (variable)</t>
  </si>
  <si>
    <t>PID-0115</t>
  </si>
  <si>
    <t>ENC-0115-01</t>
  </si>
  <si>
    <t>2023-02-18</t>
  </si>
  <si>
    <t>1987-10-16</t>
  </si>
  <si>
    <t>ENC-0115-02</t>
  </si>
  <si>
    <t>2024-07-29</t>
  </si>
  <si>
    <t>Empagliflozin 10mg OD; Atorvastatin 40mg ON</t>
  </si>
  <si>
    <t>PID-0116</t>
  </si>
  <si>
    <t>ENC-0116-01</t>
  </si>
  <si>
    <t>2002-09-04</t>
  </si>
  <si>
    <t>ENC-0116-02</t>
  </si>
  <si>
    <t>2024-04-30</t>
  </si>
  <si>
    <t>ENC-0116-03</t>
  </si>
  <si>
    <t>2024-04-14</t>
  </si>
  <si>
    <t>ENC-0116-04</t>
  </si>
  <si>
    <t>2023-03-04</t>
  </si>
  <si>
    <t>Ramipril 5mg OD; Amlodipine 10mg OD; Prednisolone 5mg OD</t>
  </si>
  <si>
    <t>ENC-0116-05</t>
  </si>
  <si>
    <t>2023-10-14</t>
  </si>
  <si>
    <t>Insulin glargine 20u ON; Amlodipine 10mg OD; Warfarin (variable); Omeprazole 20mg OD</t>
  </si>
  <si>
    <t>ENC-0116-06</t>
  </si>
  <si>
    <t>2025-01-12</t>
  </si>
  <si>
    <t>Furosemide 40mg OD; Amlodipine 5mg OD; Clopidogrel 75mg OD</t>
  </si>
  <si>
    <t>PID-0117</t>
  </si>
  <si>
    <t>ENC-0117-01</t>
  </si>
  <si>
    <t>1953-09-04</t>
  </si>
  <si>
    <t>Insulin glargine 20u ON; Omeprazole 20mg OD</t>
  </si>
  <si>
    <t>ENC-0117-02</t>
  </si>
  <si>
    <t>2024-04-10</t>
  </si>
  <si>
    <t>Metformin 1g BD; Insulin glargine 20u ON; Empagliflozin 10mg OD; Amlodipine 10mg OD</t>
  </si>
  <si>
    <t>ENC-0117-03</t>
  </si>
  <si>
    <t>PID-0118</t>
  </si>
  <si>
    <t>ENC-0118-01</t>
  </si>
  <si>
    <t>2023-01-29</t>
  </si>
  <si>
    <t>2002-09-05</t>
  </si>
  <si>
    <t>Amlodipine 5mg OD; Atorvastatin 40mg ON; Prednisolone 5mg OD; Insulin glargine 20u ON</t>
  </si>
  <si>
    <t>ENC-0118-02</t>
  </si>
  <si>
    <t>Metoprolol 50mg BD; None; Salbutamol 100mcg PRN; Levothyroxine 50mcg OD</t>
  </si>
  <si>
    <t>PID-0119</t>
  </si>
  <si>
    <t>ENC-0119-01</t>
  </si>
  <si>
    <t>1957-06-18</t>
  </si>
  <si>
    <t>ENC-0119-02</t>
  </si>
  <si>
    <t>2024-11-05</t>
  </si>
  <si>
    <t>Metformin 1g BD; Prednisolone 5mg OD; Levothyroxine 50mcg OD; Amlodipine 10mg OD</t>
  </si>
  <si>
    <t>ENC-0119-03</t>
  </si>
  <si>
    <t>2024-03-23</t>
  </si>
  <si>
    <t>Salbutamol 100mcg PRN; Furosemide 40mg OD; Bisoprolol 5mg OD</t>
  </si>
  <si>
    <t>ENC-0119-04</t>
  </si>
  <si>
    <t>2023-06-23</t>
  </si>
  <si>
    <t>Bisoprolol 5mg OD; Amlodipine 10mg OD; Atorvastatin 40mg ON</t>
  </si>
  <si>
    <t>ENC-0119-05</t>
  </si>
  <si>
    <t>2024-06-04</t>
  </si>
  <si>
    <t>Aspirin 75mg OD; Amlodipine 5mg OD; Bisoprolol 5mg OD; Atorvastatin 40mg ON</t>
  </si>
  <si>
    <t>ENC-0119-06</t>
  </si>
  <si>
    <t>Prednisolone 5mg OD; Ramipril 5mg OD</t>
  </si>
  <si>
    <t>PID-0120</t>
  </si>
  <si>
    <t>ENC-0120-01</t>
  </si>
  <si>
    <t>1970-11-06</t>
  </si>
  <si>
    <t>LOINC_Code</t>
  </si>
  <si>
    <t>Test_Name</t>
  </si>
  <si>
    <t>Result_Value</t>
  </si>
  <si>
    <t>Unit</t>
  </si>
  <si>
    <t>Reference_Low</t>
  </si>
  <si>
    <t>Reference_High</t>
  </si>
  <si>
    <t>Abnormal_Flag</t>
  </si>
  <si>
    <t>Specimen</t>
  </si>
  <si>
    <t>2085-9</t>
  </si>
  <si>
    <t>HDL cholesterol</t>
  </si>
  <si>
    <t>mmol/L</t>
  </si>
  <si>
    <t>Normal</t>
  </si>
  <si>
    <t>Plasma</t>
  </si>
  <si>
    <t>2823-3</t>
  </si>
  <si>
    <t>Serum potassium</t>
  </si>
  <si>
    <t>Urine</t>
  </si>
  <si>
    <t>2093-3</t>
  </si>
  <si>
    <t>Total cholesterol</t>
  </si>
  <si>
    <t>789-8</t>
  </si>
  <si>
    <t>RBC count</t>
  </si>
  <si>
    <t>×10¹²/L</t>
  </si>
  <si>
    <t>High</t>
  </si>
  <si>
    <t>6690-2</t>
  </si>
  <si>
    <t>WBC count</t>
  </si>
  <si>
    <t>×10⁹/L</t>
  </si>
  <si>
    <t>Low</t>
  </si>
  <si>
    <t>Capillary</t>
  </si>
  <si>
    <t>13457-7</t>
  </si>
  <si>
    <t>LDL cholesterol</t>
  </si>
  <si>
    <t>Venous blood</t>
  </si>
  <si>
    <t>2777-1</t>
  </si>
  <si>
    <t>Serum phosphate</t>
  </si>
  <si>
    <t>718-7</t>
  </si>
  <si>
    <t>Haemoglobin</t>
  </si>
  <si>
    <t>g/dL</t>
  </si>
  <si>
    <t>4548-4</t>
  </si>
  <si>
    <t>HbA1c</t>
  </si>
  <si>
    <t>%</t>
  </si>
  <si>
    <t>2160-0</t>
  </si>
  <si>
    <t>Serum creatinine</t>
  </si>
  <si>
    <t>µmol/L</t>
  </si>
  <si>
    <t>17861-6</t>
  </si>
  <si>
    <t>Serum calcium</t>
  </si>
  <si>
    <t>2951-2</t>
  </si>
  <si>
    <t>Serum sodium</t>
  </si>
  <si>
    <t>14627-4</t>
  </si>
  <si>
    <t>eGFR (CKD-EPI)</t>
  </si>
  <si>
    <t>mL/min/1.73m²</t>
  </si>
  <si>
    <t>2345-7</t>
  </si>
  <si>
    <t>Serum glucose (fasting)</t>
  </si>
  <si>
    <t>6768-6</t>
  </si>
  <si>
    <t>ALP</t>
  </si>
  <si>
    <t>U/L</t>
  </si>
  <si>
    <t>ICD11_Code</t>
  </si>
  <si>
    <t>Description</t>
  </si>
  <si>
    <t>Chronic</t>
  </si>
  <si>
    <t>Category</t>
  </si>
  <si>
    <t>Cardiovascular</t>
  </si>
  <si>
    <t>Endocrine</t>
  </si>
  <si>
    <t>Respiratory</t>
  </si>
  <si>
    <t>Infectious</t>
  </si>
  <si>
    <t>Neurological</t>
  </si>
  <si>
    <t>Haematological</t>
  </si>
  <si>
    <t>Genitourinary</t>
  </si>
  <si>
    <t>Mental health</t>
  </si>
  <si>
    <t>Gastroenterology</t>
  </si>
  <si>
    <t>Renal</t>
  </si>
  <si>
    <t>Multi-system</t>
  </si>
  <si>
    <t>Ref_Low</t>
  </si>
  <si>
    <t>Ref_High</t>
  </si>
  <si>
    <t>Biochemistry</t>
  </si>
  <si>
    <t>Systolic BP</t>
  </si>
  <si>
    <t>mmHg</t>
  </si>
  <si>
    <t>Vital signs</t>
  </si>
  <si>
    <t>Diastolic BP</t>
  </si>
  <si>
    <t>Heart rate</t>
  </si>
  <si>
    <t>bpm</t>
  </si>
  <si>
    <t>9279-1</t>
  </si>
  <si>
    <t>Respiratory rate</t>
  </si>
  <si>
    <t>breaths/min</t>
  </si>
  <si>
    <t>8310-5</t>
  </si>
  <si>
    <t>Body temperature</t>
  </si>
  <si>
    <t>°C</t>
  </si>
  <si>
    <t>BMI</t>
  </si>
  <si>
    <t>kg/m²</t>
  </si>
  <si>
    <t>SpO2</t>
  </si>
  <si>
    <t>Sheet</t>
  </si>
  <si>
    <t>Column</t>
  </si>
  <si>
    <t>Data_Type</t>
  </si>
  <si>
    <t>Allowable_Values</t>
  </si>
  <si>
    <t>Required</t>
  </si>
  <si>
    <t>01_Encounters</t>
  </si>
  <si>
    <t>Text</t>
  </si>
  <si>
    <t>Unique patient identifier</t>
  </si>
  <si>
    <t>PID-XXXX</t>
  </si>
  <si>
    <t>Unique visit identifier</t>
  </si>
  <si>
    <t>ENC-XXXX-XX</t>
  </si>
  <si>
    <t>Date</t>
  </si>
  <si>
    <t>Date of clinical encounter</t>
  </si>
  <si>
    <t>ISO 8601 (YYYY-MM-DD)</t>
  </si>
  <si>
    <t>Visit category</t>
  </si>
  <si>
    <t>Outpatient/Emergency/Inpatient/Telehealth/Follow-up</t>
  </si>
  <si>
    <t>Name of health facility</t>
  </si>
  <si>
    <t>Free text</t>
  </si>
  <si>
    <t>Administrative county</t>
  </si>
  <si>
    <t>Treating clinician or NP</t>
  </si>
  <si>
    <t>Date of birth</t>
  </si>
  <si>
    <t>ISO 8601</t>
  </si>
  <si>
    <t>Integer</t>
  </si>
  <si>
    <t>Age in years at time of visit</t>
  </si>
  <si>
    <t>18–120</t>
  </si>
  <si>
    <t>Biological sex</t>
  </si>
  <si>
    <t>M / F</t>
  </si>
  <si>
    <t>Self-reported ethnicity</t>
  </si>
  <si>
    <t>Health coverage type</t>
  </si>
  <si>
    <t>None/National Insurance/Private/Employer</t>
  </si>
  <si>
    <t>Smoking history</t>
  </si>
  <si>
    <t>Never/Ex-smoker/Current</t>
  </si>
  <si>
    <t>Alcohol consumption pattern</t>
  </si>
  <si>
    <t>None/Occasional/Regular</t>
  </si>
  <si>
    <t>ICD-11 code(s) for primary diagnosis</t>
  </si>
  <si>
    <t>ICD-11 alpha</t>
  </si>
  <si>
    <t>Diagnosis description</t>
  </si>
  <si>
    <t>Whether condition is chronic</t>
  </si>
  <si>
    <t>Yes / No</t>
  </si>
  <si>
    <t>Medication list (semicolon-separated)</t>
  </si>
  <si>
    <t>Count of current medications</t>
  </si>
  <si>
    <t>0–20</t>
  </si>
  <si>
    <t>Numeric</t>
  </si>
  <si>
    <t>Systolic blood pressure</t>
  </si>
  <si>
    <t>60–300 mmHg</t>
  </si>
  <si>
    <t>Diastolic blood pressure</t>
  </si>
  <si>
    <t>30–200 mmHg</t>
  </si>
  <si>
    <t>20–300 bpm</t>
  </si>
  <si>
    <t>4–60/min</t>
  </si>
  <si>
    <t>30–45 °C</t>
  </si>
  <si>
    <t>Body mass index</t>
  </si>
  <si>
    <t>10–70 kg/m²</t>
  </si>
  <si>
    <t>Peripheral oxygen saturation</t>
  </si>
  <si>
    <t>50–100 %</t>
  </si>
  <si>
    <t>LOINC code for systolic BP</t>
  </si>
  <si>
    <t>LOINC code for diastolic BP</t>
  </si>
  <si>
    <t>LOINC code for heart rate</t>
  </si>
  <si>
    <t>LOINC code for BMI</t>
  </si>
  <si>
    <t>LOINC code for SpO2</t>
  </si>
  <si>
    <t>Data quality issues detected</t>
  </si>
  <si>
    <t>OK / issue description</t>
  </si>
  <si>
    <t>Clinical encounter notes</t>
  </si>
  <si>
    <t>02_Lab_Results</t>
  </si>
  <si>
    <t>Links to 01_Encounters</t>
  </si>
  <si>
    <t>Date test ordered</t>
  </si>
  <si>
    <t>LOINC code for test</t>
  </si>
  <si>
    <t>Numeric LOINC format</t>
  </si>
  <si>
    <t>Human-readable test name</t>
  </si>
  <si>
    <t>Numeric result</t>
  </si>
  <si>
    <t>Varies by test</t>
  </si>
  <si>
    <t>Measurement unit</t>
  </si>
  <si>
    <t>SI units preferred</t>
  </si>
  <si>
    <t>Lower bound of reference range</t>
  </si>
  <si>
    <t>Varies</t>
  </si>
  <si>
    <t>Upper bound of reference range</t>
  </si>
  <si>
    <t>Flag relative to reference range</t>
  </si>
  <si>
    <t>Normal / Low / High</t>
  </si>
  <si>
    <t>Specimen type</t>
  </si>
  <si>
    <t>Venous blood/Capillary/Urine/Plasma</t>
  </si>
  <si>
    <t>Not Recorded</t>
  </si>
  <si>
    <t>Age Group</t>
  </si>
  <si>
    <t>Male</t>
  </si>
  <si>
    <t>Female</t>
  </si>
  <si>
    <t>Unknown</t>
  </si>
  <si>
    <t>Disease Category</t>
  </si>
  <si>
    <t>Invalid</t>
  </si>
  <si>
    <t>LOINC Code</t>
  </si>
  <si>
    <t>Test Name</t>
  </si>
  <si>
    <t>Test Results</t>
  </si>
  <si>
    <t>Test Category</t>
  </si>
  <si>
    <t>Blood Pressure Reading (mmHg)</t>
  </si>
  <si>
    <t>BMI_Category</t>
  </si>
  <si>
    <t>HBA1C Category</t>
  </si>
  <si>
    <t>BP Control</t>
  </si>
  <si>
    <t>Row Labels</t>
  </si>
  <si>
    <t>Late middle Age</t>
  </si>
  <si>
    <t>Middle Age</t>
  </si>
  <si>
    <t>Senior Adults</t>
  </si>
  <si>
    <t>Young Adults</t>
  </si>
  <si>
    <t>Grand Total</t>
  </si>
  <si>
    <t>Column Labels</t>
  </si>
  <si>
    <t>Controlled</t>
  </si>
  <si>
    <t>No Reading</t>
  </si>
  <si>
    <t>Uncontrolled</t>
  </si>
  <si>
    <t>Count of Encounter_ID</t>
  </si>
  <si>
    <t>BP Control in Hypertensives by Age Group</t>
  </si>
  <si>
    <t>Encounter Type by County</t>
  </si>
  <si>
    <t>Abnormal Lab Rates by Diagnosis</t>
  </si>
  <si>
    <t>Number of Patients by Diagnosis</t>
  </si>
  <si>
    <t>Number of Patients per Facility</t>
  </si>
  <si>
    <t>Count of Patient_ID</t>
  </si>
  <si>
    <t>Patients by Insurance Status</t>
  </si>
  <si>
    <t>Total Patients</t>
  </si>
  <si>
    <t>Most common diagnosis</t>
  </si>
  <si>
    <t>Total Encounters</t>
  </si>
  <si>
    <t>Average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</si>
</sst>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sz val="9"/>
      <name val="Arial"/>
      <family val="2"/>
    </font>
    <font>
      <b/>
      <sz val="10"/>
      <color rgb="FFFFFFFF"/>
      <name val="Arial"/>
      <family val="2"/>
    </font>
    <font>
      <b/>
      <sz val="9"/>
      <color rgb="FFCC0000"/>
      <name val="Arial"/>
      <family val="2"/>
    </font>
    <font>
      <sz val="11"/>
      <color theme="1"/>
      <name val="Calibri"/>
      <family val="2"/>
      <scheme val="minor"/>
    </font>
    <font>
      <sz val="8"/>
      <name val="Calibri"/>
      <family val="2"/>
      <scheme val="minor"/>
    </font>
    <font>
      <b/>
      <sz val="11"/>
      <color theme="1"/>
      <name val="Calibri"/>
      <family val="2"/>
      <scheme val="minor"/>
    </font>
  </fonts>
  <fills count="5">
    <fill>
      <patternFill patternType="none"/>
    </fill>
    <fill>
      <patternFill patternType="gray125"/>
    </fill>
    <fill>
      <patternFill patternType="solid">
        <fgColor rgb="FF1F3864"/>
      </patternFill>
    </fill>
    <fill>
      <patternFill patternType="solid">
        <fgColor rgb="FFEBF3FF"/>
      </patternFill>
    </fill>
    <fill>
      <patternFill patternType="solid">
        <fgColor rgb="FFFFE0E0"/>
      </patternFill>
    </fill>
  </fills>
  <borders count="7">
    <border>
      <left/>
      <right/>
      <top/>
      <bottom/>
      <diagonal/>
    </border>
    <border>
      <left style="thin">
        <color rgb="FFB0C4DE"/>
      </left>
      <right style="thin">
        <color rgb="FFB0C4DE"/>
      </right>
      <top style="thin">
        <color rgb="FFB0C4DE"/>
      </top>
      <bottom style="thin">
        <color rgb="FFB0C4DE"/>
      </bottom>
      <diagonal/>
    </border>
    <border>
      <left/>
      <right style="thin">
        <color rgb="FFB0C4DE"/>
      </right>
      <top style="thin">
        <color rgb="FFB0C4DE"/>
      </top>
      <bottom style="thin">
        <color rgb="FFB0C4DE"/>
      </bottom>
      <diagonal/>
    </border>
    <border>
      <left/>
      <right style="thin">
        <color rgb="FFB0C4DE"/>
      </right>
      <top/>
      <bottom style="thin">
        <color rgb="FFB0C4DE"/>
      </bottom>
      <diagonal/>
    </border>
    <border>
      <left style="thin">
        <color rgb="FFB0C4DE"/>
      </left>
      <right style="thin">
        <color rgb="FFB0C4DE"/>
      </right>
      <top/>
      <bottom style="thin">
        <color rgb="FFB0C4DE"/>
      </bottom>
      <diagonal/>
    </border>
    <border>
      <left/>
      <right style="thin">
        <color rgb="FFB0C4DE"/>
      </right>
      <top style="thin">
        <color rgb="FFB0C4DE"/>
      </top>
      <bottom/>
      <diagonal/>
    </border>
    <border>
      <left style="thin">
        <color rgb="FFB0C4DE"/>
      </left>
      <right style="thin">
        <color rgb="FFB0C4DE"/>
      </right>
      <top style="thin">
        <color rgb="FFB0C4DE"/>
      </top>
      <bottom/>
      <diagonal/>
    </border>
  </borders>
  <cellStyleXfs count="2">
    <xf numFmtId="0" fontId="0" fillId="0" borderId="0"/>
    <xf numFmtId="9" fontId="4" fillId="0" borderId="0" applyFont="0" applyFill="0" applyBorder="0" applyAlignment="0" applyProtection="0"/>
  </cellStyleXfs>
  <cellXfs count="27">
    <xf numFmtId="0" fontId="0" fillId="0" borderId="0" xfId="0"/>
    <xf numFmtId="0" fontId="2" fillId="2" borderId="1" xfId="0" applyFont="1" applyFill="1" applyBorder="1" applyAlignment="1">
      <alignment horizontal="center" vertical="center"/>
    </xf>
    <xf numFmtId="0" fontId="1" fillId="3" borderId="1" xfId="0" applyFont="1" applyFill="1" applyBorder="1" applyAlignment="1">
      <alignment horizontal="left" vertical="center"/>
    </xf>
    <xf numFmtId="0" fontId="1" fillId="0" borderId="1" xfId="0" applyFont="1" applyBorder="1" applyAlignment="1">
      <alignment horizontal="left" vertical="center"/>
    </xf>
    <xf numFmtId="0" fontId="1" fillId="4" borderId="1" xfId="0" applyFont="1" applyFill="1" applyBorder="1" applyAlignment="1">
      <alignment horizontal="left" vertical="center"/>
    </xf>
    <xf numFmtId="0" fontId="3" fillId="4" borderId="1" xfId="0" applyFont="1" applyFill="1" applyBorder="1" applyAlignment="1">
      <alignment horizontal="left" vertical="center"/>
    </xf>
    <xf numFmtId="0" fontId="1" fillId="3" borderId="2" xfId="0" applyFont="1" applyFill="1" applyBorder="1" applyAlignment="1">
      <alignment horizontal="left" vertical="center"/>
    </xf>
    <xf numFmtId="0" fontId="1" fillId="0" borderId="2" xfId="0" applyFont="1" applyBorder="1" applyAlignment="1">
      <alignment horizontal="lef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164" fontId="2" fillId="2" borderId="4" xfId="0" applyNumberFormat="1" applyFont="1" applyFill="1" applyBorder="1" applyAlignment="1">
      <alignment horizontal="center" vertical="center"/>
    </xf>
    <xf numFmtId="164" fontId="1" fillId="3" borderId="1" xfId="0" applyNumberFormat="1" applyFont="1" applyFill="1" applyBorder="1" applyAlignment="1">
      <alignment horizontal="left" vertical="center"/>
    </xf>
    <xf numFmtId="164" fontId="1" fillId="0" borderId="1" xfId="0" applyNumberFormat="1" applyFont="1" applyBorder="1" applyAlignment="1">
      <alignment horizontal="left" vertical="center"/>
    </xf>
    <xf numFmtId="164" fontId="1" fillId="4" borderId="1" xfId="0" applyNumberFormat="1" applyFont="1" applyFill="1" applyBorder="1" applyAlignment="1">
      <alignment horizontal="left" vertical="center"/>
    </xf>
    <xf numFmtId="164" fontId="1" fillId="0" borderId="6" xfId="0" applyNumberFormat="1" applyFont="1" applyBorder="1" applyAlignment="1">
      <alignment horizontal="left" vertical="center"/>
    </xf>
    <xf numFmtId="164" fontId="0" fillId="0" borderId="0" xfId="0" applyNumberFormat="1"/>
    <xf numFmtId="1" fontId="1" fillId="4" borderId="1" xfId="0" applyNumberFormat="1"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6" fillId="0" borderId="0" xfId="0" applyFont="1" applyAlignment="1">
      <alignment horizontal="center"/>
    </xf>
    <xf numFmtId="2" fontId="0" fillId="0" borderId="0" xfId="0" applyNumberFormat="1"/>
    <xf numFmtId="1" fontId="0" fillId="0" borderId="0" xfId="1" applyNumberFormat="1" applyFont="1"/>
    <xf numFmtId="0" fontId="6" fillId="0" borderId="0" xfId="0" applyFont="1"/>
  </cellXfs>
  <cellStyles count="2">
    <cellStyle name="Normal" xfId="0" builtinId="0"/>
    <cellStyle name="Per cent" xfId="1" builtinId="5"/>
  </cellStyles>
  <dxfs count="46">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0" formatCode="General"/>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164" formatCode="dd\-mmm\-yyyy"/>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numFmt numFmtId="164" formatCode="dd\-mmm\-yyyy"/>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B0C4DE"/>
        </left>
        <right style="thin">
          <color rgb="FFB0C4DE"/>
        </right>
        <top style="thin">
          <color rgb="FFB0C4DE"/>
        </top>
        <bottom style="thin">
          <color rgb="FFB0C4DE"/>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right style="thin">
          <color rgb="FFB0C4DE"/>
        </right>
        <top style="thin">
          <color rgb="FFB0C4DE"/>
        </top>
        <bottom style="thin">
          <color rgb="FFB0C4DE"/>
        </bottom>
        <vertical/>
        <horizontal/>
      </border>
    </dxf>
    <dxf>
      <border outline="0">
        <top style="thin">
          <color rgb="FFB0C4DE"/>
        </top>
      </border>
    </dxf>
    <dxf>
      <border outline="0">
        <left style="thin">
          <color rgb="FFB0C4DE"/>
        </left>
        <right style="thin">
          <color rgb="FFB0C4DE"/>
        </right>
        <top style="thin">
          <color rgb="FFB0C4DE"/>
        </top>
        <bottom style="thin">
          <color rgb="FFB0C4DE"/>
        </bottom>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dxf>
    <dxf>
      <border outline="0">
        <bottom style="thin">
          <color rgb="FFB0C4DE"/>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0" indent="0" justifyLastLine="0" shrinkToFit="0" readingOrder="0"/>
      <border diagonalUp="0" diagonalDown="0" outline="0">
        <left style="thin">
          <color rgb="FFB0C4DE"/>
        </left>
        <right style="thin">
          <color rgb="FFB0C4DE"/>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[EHR Excel Project.xlsx]Pivot Tables!BP Control by Age Group</c:name>
    <c:fmtId val="5"/>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GB"/>
              <a:t>BP Control by Age Group — Hypertensive Patients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G"/>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Tables'!$B$3:$B$4</c:f>
              <c:strCache>
                <c:ptCount val="1"/>
                <c:pt idx="0">
                  <c:v>Controlled</c:v>
                </c:pt>
              </c:strCache>
            </c:strRef>
          </c:tx>
          <c:spPr>
            <a:solidFill>
              <a:srgbClr val="0070C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Tables'!$A$5:$A$9</c:f>
              <c:strCache>
                <c:ptCount val="4"/>
                <c:pt idx="0">
                  <c:v>Senior Adults</c:v>
                </c:pt>
                <c:pt idx="1">
                  <c:v>Young Adults</c:v>
                </c:pt>
                <c:pt idx="2">
                  <c:v>Late middle Age</c:v>
                </c:pt>
                <c:pt idx="3">
                  <c:v>Middle Age</c:v>
                </c:pt>
              </c:strCache>
            </c:strRef>
          </c:cat>
          <c:val>
            <c:numRef>
              <c:f>'Pivot Tables'!$B$5:$B$9</c:f>
              <c:numCache>
                <c:formatCode>0.00%</c:formatCode>
                <c:ptCount val="4"/>
                <c:pt idx="0">
                  <c:v>0.2361111111111111</c:v>
                </c:pt>
                <c:pt idx="1">
                  <c:v>0.29838709677419356</c:v>
                </c:pt>
                <c:pt idx="2">
                  <c:v>0.36486486486486486</c:v>
                </c:pt>
                <c:pt idx="3">
                  <c:v>0.23636363636363636</c:v>
                </c:pt>
              </c:numCache>
            </c:numRef>
          </c:val>
          <c:extLst>
            <c:ext xmlns:c16="http://schemas.microsoft.com/office/drawing/2014/chart" uri="{C3380CC4-5D6E-409C-BE32-E72D297353CC}">
              <c16:uniqueId val="{00000000-CD6F-8B4F-A4B9-67F6B04B5FDD}"/>
            </c:ext>
          </c:extLst>
        </c:ser>
        <c:ser>
          <c:idx val="1"/>
          <c:order val="1"/>
          <c:tx>
            <c:strRef>
              <c:f>'Pivot Tables'!$C$3:$C$4</c:f>
              <c:strCache>
                <c:ptCount val="1"/>
                <c:pt idx="0">
                  <c:v>No Reading</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Tables'!$A$5:$A$9</c:f>
              <c:strCache>
                <c:ptCount val="4"/>
                <c:pt idx="0">
                  <c:v>Senior Adults</c:v>
                </c:pt>
                <c:pt idx="1">
                  <c:v>Young Adults</c:v>
                </c:pt>
                <c:pt idx="2">
                  <c:v>Late middle Age</c:v>
                </c:pt>
                <c:pt idx="3">
                  <c:v>Middle Age</c:v>
                </c:pt>
              </c:strCache>
            </c:strRef>
          </c:cat>
          <c:val>
            <c:numRef>
              <c:f>'Pivot Tables'!$C$5:$C$9</c:f>
              <c:numCache>
                <c:formatCode>0.00%</c:formatCode>
                <c:ptCount val="4"/>
                <c:pt idx="0">
                  <c:v>0.10416666666666667</c:v>
                </c:pt>
                <c:pt idx="1">
                  <c:v>6.4516129032258063E-2</c:v>
                </c:pt>
                <c:pt idx="2">
                  <c:v>6.7567567567567571E-2</c:v>
                </c:pt>
                <c:pt idx="3">
                  <c:v>5.4545454545454543E-2</c:v>
                </c:pt>
              </c:numCache>
            </c:numRef>
          </c:val>
          <c:extLst>
            <c:ext xmlns:c16="http://schemas.microsoft.com/office/drawing/2014/chart" uri="{C3380CC4-5D6E-409C-BE32-E72D297353CC}">
              <c16:uniqueId val="{00000001-CD6F-8B4F-A4B9-67F6B04B5FDD}"/>
            </c:ext>
          </c:extLst>
        </c:ser>
        <c:ser>
          <c:idx val="2"/>
          <c:order val="2"/>
          <c:tx>
            <c:strRef>
              <c:f>'Pivot Tables'!$D$3:$D$4</c:f>
              <c:strCache>
                <c:ptCount val="1"/>
                <c:pt idx="0">
                  <c:v>Uncontrolled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Tables'!$A$5:$A$9</c:f>
              <c:strCache>
                <c:ptCount val="4"/>
                <c:pt idx="0">
                  <c:v>Senior Adults</c:v>
                </c:pt>
                <c:pt idx="1">
                  <c:v>Young Adults</c:v>
                </c:pt>
                <c:pt idx="2">
                  <c:v>Late middle Age</c:v>
                </c:pt>
                <c:pt idx="3">
                  <c:v>Middle Age</c:v>
                </c:pt>
              </c:strCache>
            </c:strRef>
          </c:cat>
          <c:val>
            <c:numRef>
              <c:f>'Pivot Tables'!$D$5:$D$9</c:f>
              <c:numCache>
                <c:formatCode>0.00%</c:formatCode>
                <c:ptCount val="4"/>
                <c:pt idx="0">
                  <c:v>0.65972222222222221</c:v>
                </c:pt>
                <c:pt idx="1">
                  <c:v>0.63709677419354838</c:v>
                </c:pt>
                <c:pt idx="2">
                  <c:v>0.56756756756756754</c:v>
                </c:pt>
                <c:pt idx="3">
                  <c:v>0.70909090909090911</c:v>
                </c:pt>
              </c:numCache>
            </c:numRef>
          </c:val>
          <c:extLst>
            <c:ext xmlns:c16="http://schemas.microsoft.com/office/drawing/2014/chart" uri="{C3380CC4-5D6E-409C-BE32-E72D297353CC}">
              <c16:uniqueId val="{00000002-CD6F-8B4F-A4B9-67F6B04B5FDD}"/>
            </c:ext>
          </c:extLst>
        </c:ser>
        <c:dLbls>
          <c:dLblPos val="outEnd"/>
          <c:showLegendKey val="0"/>
          <c:showVal val="1"/>
          <c:showCatName val="0"/>
          <c:showSerName val="0"/>
          <c:showPercent val="0"/>
          <c:showBubbleSize val="0"/>
        </c:dLbls>
        <c:gapWidth val="219"/>
        <c:axId val="2056905920"/>
        <c:axId val="2056800448"/>
      </c:barChart>
      <c:catAx>
        <c:axId val="2056905920"/>
        <c:scaling>
          <c:orientation val="minMax"/>
        </c:scaling>
        <c:delete val="0"/>
        <c:axPos val="l"/>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crossAx val="2056800448"/>
        <c:crosses val="autoZero"/>
        <c:auto val="1"/>
        <c:lblAlgn val="ctr"/>
        <c:lblOffset val="100"/>
        <c:noMultiLvlLbl val="0"/>
      </c:catAx>
      <c:valAx>
        <c:axId val="2056800448"/>
        <c:scaling>
          <c:orientation val="minMax"/>
        </c:scaling>
        <c:delete val="1"/>
        <c:axPos val="b"/>
        <c:numFmt formatCode="0.00%" sourceLinked="1"/>
        <c:majorTickMark val="none"/>
        <c:minorTickMark val="none"/>
        <c:tickLblPos val="nextTo"/>
        <c:crossAx val="205690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solidFill>
            <a:schemeClr val="tx2">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[EHR Excel Project.xlsx]Pivot Tables!Encounter Type by County</c:name>
    <c:fmtId val="5"/>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GB"/>
              <a:t>Encounter Type by County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G"/>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Tables'!$I$3:$I$4</c:f>
              <c:strCache>
                <c:ptCount val="1"/>
                <c:pt idx="0">
                  <c:v>Emergency</c:v>
                </c:pt>
              </c:strCache>
            </c:strRef>
          </c:tx>
          <c:spPr>
            <a:solidFill>
              <a:schemeClr val="tx2">
                <a:lumMod val="75000"/>
              </a:schemeClr>
            </a:solidFill>
            <a:ln>
              <a:noFill/>
            </a:ln>
            <a:effectLst/>
          </c:spPr>
          <c:invertIfNegative val="0"/>
          <c:cat>
            <c:strRef>
              <c:f>'Pivot Tables'!$H$5:$H$15</c:f>
              <c:strCache>
                <c:ptCount val="10"/>
                <c:pt idx="0">
                  <c:v>Eldoret</c:v>
                </c:pt>
                <c:pt idx="1">
                  <c:v>Garissa</c:v>
                </c:pt>
                <c:pt idx="2">
                  <c:v>Kisumu</c:v>
                </c:pt>
                <c:pt idx="3">
                  <c:v>Kitale</c:v>
                </c:pt>
                <c:pt idx="4">
                  <c:v>Malindi</c:v>
                </c:pt>
                <c:pt idx="5">
                  <c:v>Mombasa</c:v>
                </c:pt>
                <c:pt idx="6">
                  <c:v>Nairobi</c:v>
                </c:pt>
                <c:pt idx="7">
                  <c:v>Nakuru</c:v>
                </c:pt>
                <c:pt idx="8">
                  <c:v>Nyeri</c:v>
                </c:pt>
                <c:pt idx="9">
                  <c:v>Thika</c:v>
                </c:pt>
              </c:strCache>
            </c:strRef>
          </c:cat>
          <c:val>
            <c:numRef>
              <c:f>'Pivot Tables'!$I$5:$I$15</c:f>
              <c:numCache>
                <c:formatCode>General</c:formatCode>
                <c:ptCount val="10"/>
                <c:pt idx="0">
                  <c:v>4</c:v>
                </c:pt>
                <c:pt idx="1">
                  <c:v>9</c:v>
                </c:pt>
                <c:pt idx="2">
                  <c:v>8</c:v>
                </c:pt>
                <c:pt idx="3">
                  <c:v>15</c:v>
                </c:pt>
                <c:pt idx="4">
                  <c:v>10</c:v>
                </c:pt>
                <c:pt idx="5">
                  <c:v>7</c:v>
                </c:pt>
                <c:pt idx="6">
                  <c:v>8</c:v>
                </c:pt>
                <c:pt idx="7">
                  <c:v>8</c:v>
                </c:pt>
                <c:pt idx="8">
                  <c:v>11</c:v>
                </c:pt>
                <c:pt idx="9">
                  <c:v>8</c:v>
                </c:pt>
              </c:numCache>
            </c:numRef>
          </c:val>
          <c:extLst>
            <c:ext xmlns:c16="http://schemas.microsoft.com/office/drawing/2014/chart" uri="{C3380CC4-5D6E-409C-BE32-E72D297353CC}">
              <c16:uniqueId val="{00000000-645E-0647-8DD6-F065DE1EF70A}"/>
            </c:ext>
          </c:extLst>
        </c:ser>
        <c:ser>
          <c:idx val="1"/>
          <c:order val="1"/>
          <c:tx>
            <c:strRef>
              <c:f>'Pivot Tables'!$J$3:$J$4</c:f>
              <c:strCache>
                <c:ptCount val="1"/>
                <c:pt idx="0">
                  <c:v>Follow-up</c:v>
                </c:pt>
              </c:strCache>
            </c:strRef>
          </c:tx>
          <c:spPr>
            <a:solidFill>
              <a:srgbClr val="FF0000"/>
            </a:solidFill>
            <a:ln>
              <a:noFill/>
            </a:ln>
            <a:effectLst/>
          </c:spPr>
          <c:invertIfNegative val="0"/>
          <c:cat>
            <c:strRef>
              <c:f>'Pivot Tables'!$H$5:$H$15</c:f>
              <c:strCache>
                <c:ptCount val="10"/>
                <c:pt idx="0">
                  <c:v>Eldoret</c:v>
                </c:pt>
                <c:pt idx="1">
                  <c:v>Garissa</c:v>
                </c:pt>
                <c:pt idx="2">
                  <c:v>Kisumu</c:v>
                </c:pt>
                <c:pt idx="3">
                  <c:v>Kitale</c:v>
                </c:pt>
                <c:pt idx="4">
                  <c:v>Malindi</c:v>
                </c:pt>
                <c:pt idx="5">
                  <c:v>Mombasa</c:v>
                </c:pt>
                <c:pt idx="6">
                  <c:v>Nairobi</c:v>
                </c:pt>
                <c:pt idx="7">
                  <c:v>Nakuru</c:v>
                </c:pt>
                <c:pt idx="8">
                  <c:v>Nyeri</c:v>
                </c:pt>
                <c:pt idx="9">
                  <c:v>Thika</c:v>
                </c:pt>
              </c:strCache>
            </c:strRef>
          </c:cat>
          <c:val>
            <c:numRef>
              <c:f>'Pivot Tables'!$J$5:$J$15</c:f>
              <c:numCache>
                <c:formatCode>General</c:formatCode>
                <c:ptCount val="10"/>
                <c:pt idx="0">
                  <c:v>7</c:v>
                </c:pt>
                <c:pt idx="1">
                  <c:v>7</c:v>
                </c:pt>
                <c:pt idx="2">
                  <c:v>12</c:v>
                </c:pt>
                <c:pt idx="3">
                  <c:v>7</c:v>
                </c:pt>
                <c:pt idx="4">
                  <c:v>10</c:v>
                </c:pt>
                <c:pt idx="5">
                  <c:v>12</c:v>
                </c:pt>
                <c:pt idx="6">
                  <c:v>9</c:v>
                </c:pt>
                <c:pt idx="7">
                  <c:v>7</c:v>
                </c:pt>
                <c:pt idx="8">
                  <c:v>15</c:v>
                </c:pt>
                <c:pt idx="9">
                  <c:v>5</c:v>
                </c:pt>
              </c:numCache>
            </c:numRef>
          </c:val>
          <c:extLst>
            <c:ext xmlns:c16="http://schemas.microsoft.com/office/drawing/2014/chart" uri="{C3380CC4-5D6E-409C-BE32-E72D297353CC}">
              <c16:uniqueId val="{00000001-645E-0647-8DD6-F065DE1EF70A}"/>
            </c:ext>
          </c:extLst>
        </c:ser>
        <c:ser>
          <c:idx val="2"/>
          <c:order val="2"/>
          <c:tx>
            <c:strRef>
              <c:f>'Pivot Tables'!$K$3:$K$4</c:f>
              <c:strCache>
                <c:ptCount val="1"/>
                <c:pt idx="0">
                  <c:v>Inpatient</c:v>
                </c:pt>
              </c:strCache>
            </c:strRef>
          </c:tx>
          <c:spPr>
            <a:solidFill>
              <a:srgbClr val="FFFF00"/>
            </a:solidFill>
            <a:ln>
              <a:noFill/>
            </a:ln>
            <a:effectLst/>
          </c:spPr>
          <c:invertIfNegative val="0"/>
          <c:cat>
            <c:strRef>
              <c:f>'Pivot Tables'!$H$5:$H$15</c:f>
              <c:strCache>
                <c:ptCount val="10"/>
                <c:pt idx="0">
                  <c:v>Eldoret</c:v>
                </c:pt>
                <c:pt idx="1">
                  <c:v>Garissa</c:v>
                </c:pt>
                <c:pt idx="2">
                  <c:v>Kisumu</c:v>
                </c:pt>
                <c:pt idx="3">
                  <c:v>Kitale</c:v>
                </c:pt>
                <c:pt idx="4">
                  <c:v>Malindi</c:v>
                </c:pt>
                <c:pt idx="5">
                  <c:v>Mombasa</c:v>
                </c:pt>
                <c:pt idx="6">
                  <c:v>Nairobi</c:v>
                </c:pt>
                <c:pt idx="7">
                  <c:v>Nakuru</c:v>
                </c:pt>
                <c:pt idx="8">
                  <c:v>Nyeri</c:v>
                </c:pt>
                <c:pt idx="9">
                  <c:v>Thika</c:v>
                </c:pt>
              </c:strCache>
            </c:strRef>
          </c:cat>
          <c:val>
            <c:numRef>
              <c:f>'Pivot Tables'!$K$5:$K$15</c:f>
              <c:numCache>
                <c:formatCode>General</c:formatCode>
                <c:ptCount val="10"/>
                <c:pt idx="0">
                  <c:v>6</c:v>
                </c:pt>
                <c:pt idx="1">
                  <c:v>4</c:v>
                </c:pt>
                <c:pt idx="2">
                  <c:v>9</c:v>
                </c:pt>
                <c:pt idx="3">
                  <c:v>5</c:v>
                </c:pt>
                <c:pt idx="4">
                  <c:v>9</c:v>
                </c:pt>
                <c:pt idx="5">
                  <c:v>12</c:v>
                </c:pt>
                <c:pt idx="6">
                  <c:v>5</c:v>
                </c:pt>
                <c:pt idx="7">
                  <c:v>6</c:v>
                </c:pt>
                <c:pt idx="8">
                  <c:v>10</c:v>
                </c:pt>
                <c:pt idx="9">
                  <c:v>9</c:v>
                </c:pt>
              </c:numCache>
            </c:numRef>
          </c:val>
          <c:extLst>
            <c:ext xmlns:c16="http://schemas.microsoft.com/office/drawing/2014/chart" uri="{C3380CC4-5D6E-409C-BE32-E72D297353CC}">
              <c16:uniqueId val="{00000002-645E-0647-8DD6-F065DE1EF70A}"/>
            </c:ext>
          </c:extLst>
        </c:ser>
        <c:ser>
          <c:idx val="3"/>
          <c:order val="3"/>
          <c:tx>
            <c:strRef>
              <c:f>'Pivot Tables'!$L$3:$L$4</c:f>
              <c:strCache>
                <c:ptCount val="1"/>
                <c:pt idx="0">
                  <c:v>Outpatient</c:v>
                </c:pt>
              </c:strCache>
            </c:strRef>
          </c:tx>
          <c:spPr>
            <a:solidFill>
              <a:schemeClr val="accent6">
                <a:lumMod val="75000"/>
              </a:schemeClr>
            </a:solidFill>
            <a:ln>
              <a:noFill/>
            </a:ln>
            <a:effectLst/>
          </c:spPr>
          <c:invertIfNegative val="0"/>
          <c:cat>
            <c:strRef>
              <c:f>'Pivot Tables'!$H$5:$H$15</c:f>
              <c:strCache>
                <c:ptCount val="10"/>
                <c:pt idx="0">
                  <c:v>Eldoret</c:v>
                </c:pt>
                <c:pt idx="1">
                  <c:v>Garissa</c:v>
                </c:pt>
                <c:pt idx="2">
                  <c:v>Kisumu</c:v>
                </c:pt>
                <c:pt idx="3">
                  <c:v>Kitale</c:v>
                </c:pt>
                <c:pt idx="4">
                  <c:v>Malindi</c:v>
                </c:pt>
                <c:pt idx="5">
                  <c:v>Mombasa</c:v>
                </c:pt>
                <c:pt idx="6">
                  <c:v>Nairobi</c:v>
                </c:pt>
                <c:pt idx="7">
                  <c:v>Nakuru</c:v>
                </c:pt>
                <c:pt idx="8">
                  <c:v>Nyeri</c:v>
                </c:pt>
                <c:pt idx="9">
                  <c:v>Thika</c:v>
                </c:pt>
              </c:strCache>
            </c:strRef>
          </c:cat>
          <c:val>
            <c:numRef>
              <c:f>'Pivot Tables'!$L$5:$L$15</c:f>
              <c:numCache>
                <c:formatCode>General</c:formatCode>
                <c:ptCount val="10"/>
                <c:pt idx="0">
                  <c:v>6</c:v>
                </c:pt>
                <c:pt idx="1">
                  <c:v>8</c:v>
                </c:pt>
                <c:pt idx="2">
                  <c:v>9</c:v>
                </c:pt>
                <c:pt idx="3">
                  <c:v>6</c:v>
                </c:pt>
                <c:pt idx="4">
                  <c:v>11</c:v>
                </c:pt>
                <c:pt idx="5">
                  <c:v>7</c:v>
                </c:pt>
                <c:pt idx="6">
                  <c:v>3</c:v>
                </c:pt>
                <c:pt idx="7">
                  <c:v>6</c:v>
                </c:pt>
                <c:pt idx="8">
                  <c:v>6</c:v>
                </c:pt>
                <c:pt idx="9">
                  <c:v>8</c:v>
                </c:pt>
              </c:numCache>
            </c:numRef>
          </c:val>
          <c:extLst>
            <c:ext xmlns:c16="http://schemas.microsoft.com/office/drawing/2014/chart" uri="{C3380CC4-5D6E-409C-BE32-E72D297353CC}">
              <c16:uniqueId val="{00000003-645E-0647-8DD6-F065DE1EF70A}"/>
            </c:ext>
          </c:extLst>
        </c:ser>
        <c:ser>
          <c:idx val="4"/>
          <c:order val="4"/>
          <c:tx>
            <c:strRef>
              <c:f>'Pivot Tables'!$M$3:$M$4</c:f>
              <c:strCache>
                <c:ptCount val="1"/>
                <c:pt idx="0">
                  <c:v>Telehealth</c:v>
                </c:pt>
              </c:strCache>
            </c:strRef>
          </c:tx>
          <c:spPr>
            <a:solidFill>
              <a:srgbClr val="00B050"/>
            </a:solidFill>
            <a:ln>
              <a:noFill/>
            </a:ln>
            <a:effectLst/>
          </c:spPr>
          <c:invertIfNegative val="0"/>
          <c:cat>
            <c:strRef>
              <c:f>'Pivot Tables'!$H$5:$H$15</c:f>
              <c:strCache>
                <c:ptCount val="10"/>
                <c:pt idx="0">
                  <c:v>Eldoret</c:v>
                </c:pt>
                <c:pt idx="1">
                  <c:v>Garissa</c:v>
                </c:pt>
                <c:pt idx="2">
                  <c:v>Kisumu</c:v>
                </c:pt>
                <c:pt idx="3">
                  <c:v>Kitale</c:v>
                </c:pt>
                <c:pt idx="4">
                  <c:v>Malindi</c:v>
                </c:pt>
                <c:pt idx="5">
                  <c:v>Mombasa</c:v>
                </c:pt>
                <c:pt idx="6">
                  <c:v>Nairobi</c:v>
                </c:pt>
                <c:pt idx="7">
                  <c:v>Nakuru</c:v>
                </c:pt>
                <c:pt idx="8">
                  <c:v>Nyeri</c:v>
                </c:pt>
                <c:pt idx="9">
                  <c:v>Thika</c:v>
                </c:pt>
              </c:strCache>
            </c:strRef>
          </c:cat>
          <c:val>
            <c:numRef>
              <c:f>'Pivot Tables'!$M$5:$M$15</c:f>
              <c:numCache>
                <c:formatCode>General</c:formatCode>
                <c:ptCount val="10"/>
                <c:pt idx="0">
                  <c:v>5</c:v>
                </c:pt>
                <c:pt idx="1">
                  <c:v>6</c:v>
                </c:pt>
                <c:pt idx="2">
                  <c:v>11</c:v>
                </c:pt>
                <c:pt idx="3">
                  <c:v>8</c:v>
                </c:pt>
                <c:pt idx="4">
                  <c:v>10</c:v>
                </c:pt>
                <c:pt idx="5">
                  <c:v>4</c:v>
                </c:pt>
                <c:pt idx="6">
                  <c:v>11</c:v>
                </c:pt>
                <c:pt idx="7">
                  <c:v>7</c:v>
                </c:pt>
                <c:pt idx="8">
                  <c:v>7</c:v>
                </c:pt>
                <c:pt idx="9">
                  <c:v>4</c:v>
                </c:pt>
              </c:numCache>
            </c:numRef>
          </c:val>
          <c:extLst>
            <c:ext xmlns:c16="http://schemas.microsoft.com/office/drawing/2014/chart" uri="{C3380CC4-5D6E-409C-BE32-E72D297353CC}">
              <c16:uniqueId val="{00000004-645E-0647-8DD6-F065DE1EF70A}"/>
            </c:ext>
          </c:extLst>
        </c:ser>
        <c:dLbls>
          <c:showLegendKey val="0"/>
          <c:showVal val="0"/>
          <c:showCatName val="0"/>
          <c:showSerName val="0"/>
          <c:showPercent val="0"/>
          <c:showBubbleSize val="0"/>
        </c:dLbls>
        <c:gapWidth val="219"/>
        <c:overlap val="100"/>
        <c:axId val="1714895296"/>
        <c:axId val="2072259968"/>
      </c:barChart>
      <c:catAx>
        <c:axId val="1714895296"/>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crossAx val="2072259968"/>
        <c:crosses val="autoZero"/>
        <c:auto val="1"/>
        <c:lblAlgn val="ctr"/>
        <c:lblOffset val="100"/>
        <c:noMultiLvlLbl val="0"/>
      </c:catAx>
      <c:valAx>
        <c:axId val="2072259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crossAx val="171489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solidFill>
            <a:schemeClr val="tx2">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[EHR Excel Project.xlsx]Pivot Tables!Abnormal Lab Rates by Diagnosis</c:name>
    <c:fmtId val="5"/>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GB"/>
              <a:t>Abnormal Lab Rates by Diagnosis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G"/>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Tables'!$I$20:$I$21</c:f>
              <c:strCache>
                <c:ptCount val="1"/>
                <c:pt idx="0">
                  <c:v>High</c:v>
                </c:pt>
              </c:strCache>
            </c:strRef>
          </c:tx>
          <c:spPr>
            <a:solidFill>
              <a:srgbClr val="0070C0"/>
            </a:solidFill>
            <a:ln>
              <a:noFill/>
            </a:ln>
            <a:effectLst/>
          </c:spPr>
          <c:invertIfNegative val="0"/>
          <c:cat>
            <c:strRef>
              <c:f>'Pivot Tables'!$H$22:$H$39</c:f>
              <c:strCache>
                <c:ptCount val="17"/>
                <c:pt idx="0">
                  <c:v>Acute MI – STEMI</c:v>
                </c:pt>
                <c:pt idx="1">
                  <c:v>Asthma</c:v>
                </c:pt>
                <c:pt idx="2">
                  <c:v>Chronic kidney disease stage 3</c:v>
                </c:pt>
                <c:pt idx="3">
                  <c:v>Community-acquired pneumonia</c:v>
                </c:pt>
                <c:pt idx="4">
                  <c:v>COPD</c:v>
                </c:pt>
                <c:pt idx="5">
                  <c:v>Epilepsy</c:v>
                </c:pt>
                <c:pt idx="6">
                  <c:v>Essential hypertension</c:v>
                </c:pt>
                <c:pt idx="7">
                  <c:v>Gastro-oesophageal reflux disease</c:v>
                </c:pt>
                <c:pt idx="8">
                  <c:v>Hypertension + T2DM</c:v>
                </c:pt>
                <c:pt idx="9">
                  <c:v>Iron deficiency anaemia</c:v>
                </c:pt>
                <c:pt idx="10">
                  <c:v>Ischaemic stroke</c:v>
                </c:pt>
                <c:pt idx="11">
                  <c:v>Major depressive disorder</c:v>
                </c:pt>
                <c:pt idx="12">
                  <c:v>Metabolic syndrome</c:v>
                </c:pt>
                <c:pt idx="13">
                  <c:v>Obesity</c:v>
                </c:pt>
                <c:pt idx="14">
                  <c:v>Type 1 diabetes mellitus</c:v>
                </c:pt>
                <c:pt idx="15">
                  <c:v>Type 2 diabetes mellitus</c:v>
                </c:pt>
                <c:pt idx="16">
                  <c:v>Urinary tract infection</c:v>
                </c:pt>
              </c:strCache>
            </c:strRef>
          </c:cat>
          <c:val>
            <c:numRef>
              <c:f>'Pivot Tables'!$I$22:$I$39</c:f>
              <c:numCache>
                <c:formatCode>0.00%</c:formatCode>
                <c:ptCount val="17"/>
                <c:pt idx="0">
                  <c:v>0.33333333333333331</c:v>
                </c:pt>
                <c:pt idx="1">
                  <c:v>0.52500000000000002</c:v>
                </c:pt>
                <c:pt idx="2">
                  <c:v>0.30434782608695654</c:v>
                </c:pt>
                <c:pt idx="3">
                  <c:v>0.3</c:v>
                </c:pt>
                <c:pt idx="4">
                  <c:v>0.43478260869565216</c:v>
                </c:pt>
                <c:pt idx="5">
                  <c:v>0.4358974358974359</c:v>
                </c:pt>
                <c:pt idx="6">
                  <c:v>0.26666666666666666</c:v>
                </c:pt>
                <c:pt idx="7">
                  <c:v>0.36363636363636365</c:v>
                </c:pt>
                <c:pt idx="8">
                  <c:v>0.43478260869565216</c:v>
                </c:pt>
                <c:pt idx="9">
                  <c:v>0.26666666666666666</c:v>
                </c:pt>
                <c:pt idx="10">
                  <c:v>0.5</c:v>
                </c:pt>
                <c:pt idx="11">
                  <c:v>0.4</c:v>
                </c:pt>
                <c:pt idx="12">
                  <c:v>0.58181818181818179</c:v>
                </c:pt>
                <c:pt idx="13">
                  <c:v>0.46666666666666667</c:v>
                </c:pt>
                <c:pt idx="14">
                  <c:v>0.45161290322580644</c:v>
                </c:pt>
                <c:pt idx="15">
                  <c:v>0.4642857142857143</c:v>
                </c:pt>
                <c:pt idx="16">
                  <c:v>0.35294117647058826</c:v>
                </c:pt>
              </c:numCache>
            </c:numRef>
          </c:val>
          <c:extLst>
            <c:ext xmlns:c16="http://schemas.microsoft.com/office/drawing/2014/chart" uri="{C3380CC4-5D6E-409C-BE32-E72D297353CC}">
              <c16:uniqueId val="{00000000-F018-894B-B41C-8597B77003AB}"/>
            </c:ext>
          </c:extLst>
        </c:ser>
        <c:ser>
          <c:idx val="1"/>
          <c:order val="1"/>
          <c:tx>
            <c:strRef>
              <c:f>'Pivot Tables'!$J$20:$J$21</c:f>
              <c:strCache>
                <c:ptCount val="1"/>
                <c:pt idx="0">
                  <c:v>Low</c:v>
                </c:pt>
              </c:strCache>
            </c:strRef>
          </c:tx>
          <c:spPr>
            <a:solidFill>
              <a:srgbClr val="FFFF00"/>
            </a:solidFill>
            <a:ln>
              <a:noFill/>
            </a:ln>
            <a:effectLst/>
          </c:spPr>
          <c:invertIfNegative val="0"/>
          <c:cat>
            <c:strRef>
              <c:f>'Pivot Tables'!$H$22:$H$39</c:f>
              <c:strCache>
                <c:ptCount val="17"/>
                <c:pt idx="0">
                  <c:v>Acute MI – STEMI</c:v>
                </c:pt>
                <c:pt idx="1">
                  <c:v>Asthma</c:v>
                </c:pt>
                <c:pt idx="2">
                  <c:v>Chronic kidney disease stage 3</c:v>
                </c:pt>
                <c:pt idx="3">
                  <c:v>Community-acquired pneumonia</c:v>
                </c:pt>
                <c:pt idx="4">
                  <c:v>COPD</c:v>
                </c:pt>
                <c:pt idx="5">
                  <c:v>Epilepsy</c:v>
                </c:pt>
                <c:pt idx="6">
                  <c:v>Essential hypertension</c:v>
                </c:pt>
                <c:pt idx="7">
                  <c:v>Gastro-oesophageal reflux disease</c:v>
                </c:pt>
                <c:pt idx="8">
                  <c:v>Hypertension + T2DM</c:v>
                </c:pt>
                <c:pt idx="9">
                  <c:v>Iron deficiency anaemia</c:v>
                </c:pt>
                <c:pt idx="10">
                  <c:v>Ischaemic stroke</c:v>
                </c:pt>
                <c:pt idx="11">
                  <c:v>Major depressive disorder</c:v>
                </c:pt>
                <c:pt idx="12">
                  <c:v>Metabolic syndrome</c:v>
                </c:pt>
                <c:pt idx="13">
                  <c:v>Obesity</c:v>
                </c:pt>
                <c:pt idx="14">
                  <c:v>Type 1 diabetes mellitus</c:v>
                </c:pt>
                <c:pt idx="15">
                  <c:v>Type 2 diabetes mellitus</c:v>
                </c:pt>
                <c:pt idx="16">
                  <c:v>Urinary tract infection</c:v>
                </c:pt>
              </c:strCache>
            </c:strRef>
          </c:cat>
          <c:val>
            <c:numRef>
              <c:f>'Pivot Tables'!$J$22:$J$39</c:f>
              <c:numCache>
                <c:formatCode>0.00%</c:formatCode>
                <c:ptCount val="17"/>
                <c:pt idx="0">
                  <c:v>0.1111111111111111</c:v>
                </c:pt>
                <c:pt idx="1">
                  <c:v>7.4999999999999997E-2</c:v>
                </c:pt>
                <c:pt idx="2">
                  <c:v>8.6956521739130432E-2</c:v>
                </c:pt>
                <c:pt idx="3">
                  <c:v>0.1</c:v>
                </c:pt>
                <c:pt idx="4">
                  <c:v>0.17391304347826086</c:v>
                </c:pt>
                <c:pt idx="5">
                  <c:v>0.15384615384615385</c:v>
                </c:pt>
                <c:pt idx="6">
                  <c:v>6.6666666666666666E-2</c:v>
                </c:pt>
                <c:pt idx="7">
                  <c:v>9.0909090909090912E-2</c:v>
                </c:pt>
                <c:pt idx="8">
                  <c:v>0.21739130434782608</c:v>
                </c:pt>
                <c:pt idx="9">
                  <c:v>6.6666666666666666E-2</c:v>
                </c:pt>
                <c:pt idx="10">
                  <c:v>8.3333333333333329E-2</c:v>
                </c:pt>
                <c:pt idx="11">
                  <c:v>0</c:v>
                </c:pt>
                <c:pt idx="12">
                  <c:v>0.10909090909090909</c:v>
                </c:pt>
                <c:pt idx="13">
                  <c:v>6.6666666666666666E-2</c:v>
                </c:pt>
                <c:pt idx="14">
                  <c:v>0.16129032258064516</c:v>
                </c:pt>
                <c:pt idx="15">
                  <c:v>0.14285714285714285</c:v>
                </c:pt>
                <c:pt idx="16">
                  <c:v>0</c:v>
                </c:pt>
              </c:numCache>
            </c:numRef>
          </c:val>
          <c:extLst>
            <c:ext xmlns:c16="http://schemas.microsoft.com/office/drawing/2014/chart" uri="{C3380CC4-5D6E-409C-BE32-E72D297353CC}">
              <c16:uniqueId val="{00000001-F018-894B-B41C-8597B77003AB}"/>
            </c:ext>
          </c:extLst>
        </c:ser>
        <c:ser>
          <c:idx val="2"/>
          <c:order val="2"/>
          <c:tx>
            <c:strRef>
              <c:f>'Pivot Tables'!$K$20:$K$21</c:f>
              <c:strCache>
                <c:ptCount val="1"/>
                <c:pt idx="0">
                  <c:v>Normal</c:v>
                </c:pt>
              </c:strCache>
            </c:strRef>
          </c:tx>
          <c:spPr>
            <a:solidFill>
              <a:srgbClr val="FF0000"/>
            </a:solidFill>
            <a:ln>
              <a:noFill/>
            </a:ln>
            <a:effectLst/>
          </c:spPr>
          <c:invertIfNegative val="0"/>
          <c:cat>
            <c:strRef>
              <c:f>'Pivot Tables'!$H$22:$H$39</c:f>
              <c:strCache>
                <c:ptCount val="17"/>
                <c:pt idx="0">
                  <c:v>Acute MI – STEMI</c:v>
                </c:pt>
                <c:pt idx="1">
                  <c:v>Asthma</c:v>
                </c:pt>
                <c:pt idx="2">
                  <c:v>Chronic kidney disease stage 3</c:v>
                </c:pt>
                <c:pt idx="3">
                  <c:v>Community-acquired pneumonia</c:v>
                </c:pt>
                <c:pt idx="4">
                  <c:v>COPD</c:v>
                </c:pt>
                <c:pt idx="5">
                  <c:v>Epilepsy</c:v>
                </c:pt>
                <c:pt idx="6">
                  <c:v>Essential hypertension</c:v>
                </c:pt>
                <c:pt idx="7">
                  <c:v>Gastro-oesophageal reflux disease</c:v>
                </c:pt>
                <c:pt idx="8">
                  <c:v>Hypertension + T2DM</c:v>
                </c:pt>
                <c:pt idx="9">
                  <c:v>Iron deficiency anaemia</c:v>
                </c:pt>
                <c:pt idx="10">
                  <c:v>Ischaemic stroke</c:v>
                </c:pt>
                <c:pt idx="11">
                  <c:v>Major depressive disorder</c:v>
                </c:pt>
                <c:pt idx="12">
                  <c:v>Metabolic syndrome</c:v>
                </c:pt>
                <c:pt idx="13">
                  <c:v>Obesity</c:v>
                </c:pt>
                <c:pt idx="14">
                  <c:v>Type 1 diabetes mellitus</c:v>
                </c:pt>
                <c:pt idx="15">
                  <c:v>Type 2 diabetes mellitus</c:v>
                </c:pt>
                <c:pt idx="16">
                  <c:v>Urinary tract infection</c:v>
                </c:pt>
              </c:strCache>
            </c:strRef>
          </c:cat>
          <c:val>
            <c:numRef>
              <c:f>'Pivot Tables'!$K$22:$K$39</c:f>
              <c:numCache>
                <c:formatCode>0.00%</c:formatCode>
                <c:ptCount val="17"/>
                <c:pt idx="0">
                  <c:v>0.55555555555555558</c:v>
                </c:pt>
                <c:pt idx="1">
                  <c:v>0.4</c:v>
                </c:pt>
                <c:pt idx="2">
                  <c:v>0.60869565217391308</c:v>
                </c:pt>
                <c:pt idx="3">
                  <c:v>0.6</c:v>
                </c:pt>
                <c:pt idx="4">
                  <c:v>0.39130434782608697</c:v>
                </c:pt>
                <c:pt idx="5">
                  <c:v>0.41025641025641024</c:v>
                </c:pt>
                <c:pt idx="6">
                  <c:v>0.66666666666666663</c:v>
                </c:pt>
                <c:pt idx="7">
                  <c:v>0.54545454545454541</c:v>
                </c:pt>
                <c:pt idx="8">
                  <c:v>0.34782608695652173</c:v>
                </c:pt>
                <c:pt idx="9">
                  <c:v>0.66666666666666663</c:v>
                </c:pt>
                <c:pt idx="10">
                  <c:v>0.41666666666666669</c:v>
                </c:pt>
                <c:pt idx="11">
                  <c:v>0.6</c:v>
                </c:pt>
                <c:pt idx="12">
                  <c:v>0.30909090909090908</c:v>
                </c:pt>
                <c:pt idx="13">
                  <c:v>0.46666666666666667</c:v>
                </c:pt>
                <c:pt idx="14">
                  <c:v>0.38709677419354838</c:v>
                </c:pt>
                <c:pt idx="15">
                  <c:v>0.39285714285714285</c:v>
                </c:pt>
                <c:pt idx="16">
                  <c:v>0.6470588235294118</c:v>
                </c:pt>
              </c:numCache>
            </c:numRef>
          </c:val>
          <c:extLst>
            <c:ext xmlns:c16="http://schemas.microsoft.com/office/drawing/2014/chart" uri="{C3380CC4-5D6E-409C-BE32-E72D297353CC}">
              <c16:uniqueId val="{00000002-F018-894B-B41C-8597B77003AB}"/>
            </c:ext>
          </c:extLst>
        </c:ser>
        <c:dLbls>
          <c:showLegendKey val="0"/>
          <c:showVal val="0"/>
          <c:showCatName val="0"/>
          <c:showSerName val="0"/>
          <c:showPercent val="0"/>
          <c:showBubbleSize val="0"/>
        </c:dLbls>
        <c:gapWidth val="219"/>
        <c:overlap val="100"/>
        <c:axId val="357443647"/>
        <c:axId val="357440959"/>
      </c:barChart>
      <c:catAx>
        <c:axId val="357443647"/>
        <c:scaling>
          <c:orientation val="minMax"/>
        </c:scaling>
        <c:delete val="0"/>
        <c:axPos val="l"/>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crossAx val="357440959"/>
        <c:crosses val="autoZero"/>
        <c:auto val="1"/>
        <c:lblAlgn val="ctr"/>
        <c:lblOffset val="100"/>
        <c:noMultiLvlLbl val="0"/>
      </c:catAx>
      <c:valAx>
        <c:axId val="35744095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crossAx val="35744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solidFill>
            <a:schemeClr val="tx2">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[EHR Excel Project.xlsx]Pivot Tables!Number of Patients by Diagnosis</c:name>
    <c:fmtId val="5"/>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US"/>
              <a:t>Number of Patients by Diagnosis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G"/>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s>
    <c:plotArea>
      <c:layout/>
      <c:barChart>
        <c:barDir val="bar"/>
        <c:grouping val="clustered"/>
        <c:varyColors val="0"/>
        <c:ser>
          <c:idx val="0"/>
          <c:order val="0"/>
          <c:tx>
            <c:strRef>
              <c:f>'Pivot Tables'!$B$13</c:f>
              <c:strCache>
                <c:ptCount val="1"/>
                <c:pt idx="0">
                  <c:v>Total</c:v>
                </c:pt>
              </c:strCache>
            </c:strRef>
          </c:tx>
          <c:spPr>
            <a:solidFill>
              <a:srgbClr val="FF0000"/>
            </a:solidFill>
            <a:ln>
              <a:noFill/>
            </a:ln>
            <a:effectLst/>
          </c:spPr>
          <c:invertIfNegative val="0"/>
          <c:dPt>
            <c:idx val="16"/>
            <c:invertIfNegative val="0"/>
            <c:bubble3D val="0"/>
            <c:spPr>
              <a:solidFill>
                <a:srgbClr val="C00000"/>
              </a:solidFill>
              <a:ln>
                <a:noFill/>
              </a:ln>
              <a:effectLst/>
            </c:spPr>
            <c:extLst>
              <c:ext xmlns:c16="http://schemas.microsoft.com/office/drawing/2014/chart" uri="{C3380CC4-5D6E-409C-BE32-E72D297353CC}">
                <c16:uniqueId val="{00000001-F36D-A442-8865-36A9C410329B}"/>
              </c:ext>
            </c:extLst>
          </c:dPt>
          <c:dLbls>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Tables'!$A$14:$A$31</c:f>
              <c:strCache>
                <c:ptCount val="17"/>
                <c:pt idx="0">
                  <c:v>Acute MI – STEMI</c:v>
                </c:pt>
                <c:pt idx="1">
                  <c:v>Community-acquired pneumonia</c:v>
                </c:pt>
                <c:pt idx="2">
                  <c:v>Ischaemic stroke</c:v>
                </c:pt>
                <c:pt idx="3">
                  <c:v>Obesity</c:v>
                </c:pt>
                <c:pt idx="4">
                  <c:v>Iron deficiency anaemia</c:v>
                </c:pt>
                <c:pt idx="5">
                  <c:v>Essential hypertension</c:v>
                </c:pt>
                <c:pt idx="6">
                  <c:v>Urinary tract infection</c:v>
                </c:pt>
                <c:pt idx="7">
                  <c:v>Major depressive disorder</c:v>
                </c:pt>
                <c:pt idx="8">
                  <c:v>Gastro-oesophageal reflux disease</c:v>
                </c:pt>
                <c:pt idx="9">
                  <c:v>Hypertension + T2DM</c:v>
                </c:pt>
                <c:pt idx="10">
                  <c:v>COPD</c:v>
                </c:pt>
                <c:pt idx="11">
                  <c:v>Chronic kidney disease stage 3</c:v>
                </c:pt>
                <c:pt idx="12">
                  <c:v>Type 2 diabetes mellitus</c:v>
                </c:pt>
                <c:pt idx="13">
                  <c:v>Type 1 diabetes mellitus</c:v>
                </c:pt>
                <c:pt idx="14">
                  <c:v>Epilepsy</c:v>
                </c:pt>
                <c:pt idx="15">
                  <c:v>Asthma</c:v>
                </c:pt>
                <c:pt idx="16">
                  <c:v>Metabolic syndrome</c:v>
                </c:pt>
              </c:strCache>
            </c:strRef>
          </c:cat>
          <c:val>
            <c:numRef>
              <c:f>'Pivot Tables'!$B$14:$B$31</c:f>
              <c:numCache>
                <c:formatCode>General</c:formatCode>
                <c:ptCount val="17"/>
                <c:pt idx="0">
                  <c:v>9</c:v>
                </c:pt>
                <c:pt idx="1">
                  <c:v>10</c:v>
                </c:pt>
                <c:pt idx="2">
                  <c:v>12</c:v>
                </c:pt>
                <c:pt idx="3">
                  <c:v>15</c:v>
                </c:pt>
                <c:pt idx="4">
                  <c:v>15</c:v>
                </c:pt>
                <c:pt idx="5">
                  <c:v>15</c:v>
                </c:pt>
                <c:pt idx="6">
                  <c:v>17</c:v>
                </c:pt>
                <c:pt idx="7">
                  <c:v>20</c:v>
                </c:pt>
                <c:pt idx="8">
                  <c:v>22</c:v>
                </c:pt>
                <c:pt idx="9">
                  <c:v>23</c:v>
                </c:pt>
                <c:pt idx="10">
                  <c:v>23</c:v>
                </c:pt>
                <c:pt idx="11">
                  <c:v>23</c:v>
                </c:pt>
                <c:pt idx="12">
                  <c:v>28</c:v>
                </c:pt>
                <c:pt idx="13">
                  <c:v>31</c:v>
                </c:pt>
                <c:pt idx="14">
                  <c:v>39</c:v>
                </c:pt>
                <c:pt idx="15">
                  <c:v>40</c:v>
                </c:pt>
                <c:pt idx="16">
                  <c:v>55</c:v>
                </c:pt>
              </c:numCache>
            </c:numRef>
          </c:val>
          <c:extLst>
            <c:ext xmlns:c16="http://schemas.microsoft.com/office/drawing/2014/chart" uri="{C3380CC4-5D6E-409C-BE32-E72D297353CC}">
              <c16:uniqueId val="{00000002-F36D-A442-8865-36A9C410329B}"/>
            </c:ext>
          </c:extLst>
        </c:ser>
        <c:dLbls>
          <c:dLblPos val="outEnd"/>
          <c:showLegendKey val="0"/>
          <c:showVal val="1"/>
          <c:showCatName val="0"/>
          <c:showSerName val="0"/>
          <c:showPercent val="0"/>
          <c:showBubbleSize val="0"/>
        </c:dLbls>
        <c:gapWidth val="219"/>
        <c:axId val="359539455"/>
        <c:axId val="360424191"/>
      </c:barChart>
      <c:catAx>
        <c:axId val="35953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G"/>
          </a:p>
        </c:txPr>
        <c:crossAx val="360424191"/>
        <c:crosses val="autoZero"/>
        <c:auto val="1"/>
        <c:lblAlgn val="ctr"/>
        <c:lblOffset val="100"/>
        <c:noMultiLvlLbl val="0"/>
      </c:catAx>
      <c:valAx>
        <c:axId val="360424191"/>
        <c:scaling>
          <c:orientation val="minMax"/>
        </c:scaling>
        <c:delete val="1"/>
        <c:axPos val="b"/>
        <c:numFmt formatCode="General" sourceLinked="1"/>
        <c:majorTickMark val="none"/>
        <c:minorTickMark val="none"/>
        <c:tickLblPos val="nextTo"/>
        <c:crossAx val="35953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solidFill>
            <a:schemeClr val="tx2">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[EHR Excel Project.xlsx]Pivot Tables!Number of Patients per Facility</c:name>
    <c:fmtId val="4"/>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US" b="1">
                <a:solidFill>
                  <a:schemeClr val="tx2">
                    <a:lumMod val="50000"/>
                  </a:schemeClr>
                </a:solidFill>
              </a:rPr>
              <a:t>Number of Patients per Facility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75000"/>
            </a:schemeClr>
          </a:solidFill>
          <a:ln>
            <a:noFill/>
          </a:ln>
          <a:effectLst/>
        </c:spPr>
        <c:dLbl>
          <c:idx val="0"/>
          <c:layout>
            <c:manualLayout>
              <c:x val="0.16944444444444445"/>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a:noFill/>
          </a:ln>
          <a:effectLst/>
        </c:spPr>
        <c:dLbl>
          <c:idx val="0"/>
          <c:layout>
            <c:manualLayout>
              <c:x val="-0.18055555555555555"/>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FF00"/>
          </a:solidFill>
          <a:ln>
            <a:noFill/>
          </a:ln>
          <a:effectLst/>
        </c:spPr>
        <c:dLbl>
          <c:idx val="0"/>
          <c:layout>
            <c:manualLayout>
              <c:x val="-0.17777777777777778"/>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a:noFill/>
          </a:ln>
          <a:effectLst/>
        </c:spPr>
        <c:dLbl>
          <c:idx val="0"/>
          <c:layout>
            <c:manualLayout>
              <c:x val="0.19444444444444456"/>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50"/>
          </a:solidFill>
          <a:ln>
            <a:noFill/>
          </a:ln>
          <a:effectLst/>
        </c:spPr>
        <c:dLbl>
          <c:idx val="0"/>
          <c:layout>
            <c:manualLayout>
              <c:x val="-0.20000000000000004"/>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lumMod val="75000"/>
            </a:schemeClr>
          </a:solidFill>
          <a:ln>
            <a:noFill/>
          </a:ln>
          <a:effectLst/>
        </c:spPr>
        <c:dLbl>
          <c:idx val="0"/>
          <c:layout>
            <c:manualLayout>
              <c:x val="0.16944444444444445"/>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0000"/>
          </a:solidFill>
          <a:ln>
            <a:noFill/>
          </a:ln>
          <a:effectLst/>
        </c:spPr>
        <c:dLbl>
          <c:idx val="0"/>
          <c:layout>
            <c:manualLayout>
              <c:x val="0.19444444444444456"/>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050"/>
          </a:solidFill>
          <a:ln>
            <a:noFill/>
          </a:ln>
          <a:effectLst/>
        </c:spPr>
        <c:dLbl>
          <c:idx val="0"/>
          <c:layout>
            <c:manualLayout>
              <c:x val="-0.20000000000000004"/>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FF00"/>
          </a:solidFill>
          <a:ln>
            <a:noFill/>
          </a:ln>
          <a:effectLst/>
        </c:spPr>
        <c:dLbl>
          <c:idx val="0"/>
          <c:layout>
            <c:manualLayout>
              <c:x val="-0.17777777777777778"/>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75000"/>
            </a:schemeClr>
          </a:solidFill>
          <a:ln>
            <a:noFill/>
          </a:ln>
          <a:effectLst/>
        </c:spPr>
        <c:dLbl>
          <c:idx val="0"/>
          <c:layout>
            <c:manualLayout>
              <c:x val="-0.18055555555555555"/>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tx2">
              <a:lumMod val="75000"/>
            </a:schemeClr>
          </a:solidFill>
          <a:ln>
            <a:noFill/>
          </a:ln>
          <a:effectLst/>
        </c:spPr>
        <c:dLbl>
          <c:idx val="0"/>
          <c:layout>
            <c:manualLayout>
              <c:x val="0.16944444444444445"/>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0000"/>
          </a:solidFill>
          <a:ln>
            <a:noFill/>
          </a:ln>
          <a:effectLst/>
        </c:spPr>
        <c:dLbl>
          <c:idx val="0"/>
          <c:layout>
            <c:manualLayout>
              <c:x val="0.19444444444444456"/>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B050"/>
          </a:solidFill>
          <a:ln>
            <a:noFill/>
          </a:ln>
          <a:effectLst/>
        </c:spPr>
        <c:dLbl>
          <c:idx val="0"/>
          <c:layout>
            <c:manualLayout>
              <c:x val="-0.20000000000000004"/>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FFFF00"/>
          </a:solidFill>
          <a:ln>
            <a:noFill/>
          </a:ln>
          <a:effectLst/>
        </c:spPr>
        <c:dLbl>
          <c:idx val="0"/>
          <c:layout>
            <c:manualLayout>
              <c:x val="-0.17777777777777778"/>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a:noFill/>
          </a:ln>
          <a:effectLst/>
        </c:spPr>
        <c:dLbl>
          <c:idx val="0"/>
          <c:layout>
            <c:manualLayout>
              <c:x val="-0.18055555555555555"/>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Tables'!$Q$3</c:f>
              <c:strCache>
                <c:ptCount val="1"/>
                <c:pt idx="0">
                  <c:v>Total</c:v>
                </c:pt>
              </c:strCache>
            </c:strRef>
          </c:tx>
          <c:dPt>
            <c:idx val="0"/>
            <c:bubble3D val="0"/>
            <c:spPr>
              <a:solidFill>
                <a:schemeClr val="tx2">
                  <a:lumMod val="75000"/>
                </a:schemeClr>
              </a:solidFill>
              <a:ln>
                <a:noFill/>
              </a:ln>
              <a:effectLst/>
            </c:spPr>
            <c:extLst>
              <c:ext xmlns:c16="http://schemas.microsoft.com/office/drawing/2014/chart" uri="{C3380CC4-5D6E-409C-BE32-E72D297353CC}">
                <c16:uniqueId val="{00000001-C8E2-3545-8FC9-111C0AC12374}"/>
              </c:ext>
            </c:extLst>
          </c:dPt>
          <c:dPt>
            <c:idx val="1"/>
            <c:bubble3D val="0"/>
            <c:spPr>
              <a:solidFill>
                <a:srgbClr val="FF0000"/>
              </a:solidFill>
              <a:ln>
                <a:noFill/>
              </a:ln>
              <a:effectLst/>
            </c:spPr>
            <c:extLst>
              <c:ext xmlns:c16="http://schemas.microsoft.com/office/drawing/2014/chart" uri="{C3380CC4-5D6E-409C-BE32-E72D297353CC}">
                <c16:uniqueId val="{00000003-C8E2-3545-8FC9-111C0AC12374}"/>
              </c:ext>
            </c:extLst>
          </c:dPt>
          <c:dPt>
            <c:idx val="2"/>
            <c:bubble3D val="0"/>
            <c:spPr>
              <a:solidFill>
                <a:srgbClr val="00B050"/>
              </a:solidFill>
              <a:ln>
                <a:noFill/>
              </a:ln>
              <a:effectLst/>
            </c:spPr>
            <c:extLst>
              <c:ext xmlns:c16="http://schemas.microsoft.com/office/drawing/2014/chart" uri="{C3380CC4-5D6E-409C-BE32-E72D297353CC}">
                <c16:uniqueId val="{00000005-C8E2-3545-8FC9-111C0AC12374}"/>
              </c:ext>
            </c:extLst>
          </c:dPt>
          <c:dPt>
            <c:idx val="3"/>
            <c:bubble3D val="0"/>
            <c:spPr>
              <a:solidFill>
                <a:srgbClr val="FFFF00"/>
              </a:solidFill>
              <a:ln>
                <a:noFill/>
              </a:ln>
              <a:effectLst/>
            </c:spPr>
            <c:extLst>
              <c:ext xmlns:c16="http://schemas.microsoft.com/office/drawing/2014/chart" uri="{C3380CC4-5D6E-409C-BE32-E72D297353CC}">
                <c16:uniqueId val="{00000007-C8E2-3545-8FC9-111C0AC12374}"/>
              </c:ext>
            </c:extLst>
          </c:dPt>
          <c:dPt>
            <c:idx val="4"/>
            <c:bubble3D val="0"/>
            <c:spPr>
              <a:solidFill>
                <a:schemeClr val="accent6">
                  <a:lumMod val="75000"/>
                </a:schemeClr>
              </a:solidFill>
              <a:ln>
                <a:noFill/>
              </a:ln>
              <a:effectLst/>
            </c:spPr>
            <c:extLst>
              <c:ext xmlns:c16="http://schemas.microsoft.com/office/drawing/2014/chart" uri="{C3380CC4-5D6E-409C-BE32-E72D297353CC}">
                <c16:uniqueId val="{00000009-C8E2-3545-8FC9-111C0AC12374}"/>
              </c:ext>
            </c:extLst>
          </c:dPt>
          <c:dLbls>
            <c:dLbl>
              <c:idx val="0"/>
              <c:layout>
                <c:manualLayout>
                  <c:x val="0.16944444444444445"/>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E2-3545-8FC9-111C0AC12374}"/>
                </c:ext>
              </c:extLst>
            </c:dLbl>
            <c:dLbl>
              <c:idx val="1"/>
              <c:layout>
                <c:manualLayout>
                  <c:x val="0.19444444444444456"/>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E2-3545-8FC9-111C0AC12374}"/>
                </c:ext>
              </c:extLst>
            </c:dLbl>
            <c:dLbl>
              <c:idx val="2"/>
              <c:layout>
                <c:manualLayout>
                  <c:x val="-0.20000000000000004"/>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8E2-3545-8FC9-111C0AC12374}"/>
                </c:ext>
              </c:extLst>
            </c:dLbl>
            <c:dLbl>
              <c:idx val="3"/>
              <c:layout>
                <c:manualLayout>
                  <c:x val="-0.17777777777777778"/>
                  <c:y val="-2.31481481481481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8E2-3545-8FC9-111C0AC12374}"/>
                </c:ext>
              </c:extLst>
            </c:dLbl>
            <c:dLbl>
              <c:idx val="4"/>
              <c:layout>
                <c:manualLayout>
                  <c:x val="-0.18055555555555555"/>
                  <c:y val="-0.101851851851851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8E2-3545-8FC9-111C0AC1237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Tables'!$P$4:$P$9</c:f>
              <c:strCache>
                <c:ptCount val="5"/>
                <c:pt idx="0">
                  <c:v>Central District Hospital</c:v>
                </c:pt>
                <c:pt idx="1">
                  <c:v>Community Health Centre</c:v>
                </c:pt>
                <c:pt idx="2">
                  <c:v>Eastside Clinic</c:v>
                </c:pt>
                <c:pt idx="3">
                  <c:v>Metro Emergency Unit</c:v>
                </c:pt>
                <c:pt idx="4">
                  <c:v>Riverside Specialist Centre</c:v>
                </c:pt>
              </c:strCache>
            </c:strRef>
          </c:cat>
          <c:val>
            <c:numRef>
              <c:f>'Pivot Tables'!$Q$4:$Q$9</c:f>
              <c:numCache>
                <c:formatCode>General</c:formatCode>
                <c:ptCount val="5"/>
                <c:pt idx="0">
                  <c:v>93</c:v>
                </c:pt>
                <c:pt idx="1">
                  <c:v>86</c:v>
                </c:pt>
                <c:pt idx="2">
                  <c:v>78</c:v>
                </c:pt>
                <c:pt idx="3">
                  <c:v>72</c:v>
                </c:pt>
                <c:pt idx="4">
                  <c:v>68</c:v>
                </c:pt>
              </c:numCache>
            </c:numRef>
          </c:val>
          <c:extLst>
            <c:ext xmlns:c16="http://schemas.microsoft.com/office/drawing/2014/chart" uri="{C3380CC4-5D6E-409C-BE32-E72D297353CC}">
              <c16:uniqueId val="{0000000A-C8E2-3545-8FC9-111C0AC1237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[EHR Excel Project.xlsx]Pivot Tables!Patients by Insurance Status</c:name>
    <c:fmtId val="6"/>
  </c:pivotSource>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US" b="1">
                <a:solidFill>
                  <a:schemeClr val="tx2">
                    <a:lumMod val="50000"/>
                  </a:schemeClr>
                </a:solidFill>
              </a:rPr>
              <a:t>Patients by Insurance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c:spPr>
        <c:dLbl>
          <c:idx val="0"/>
          <c:layout>
            <c:manualLayout>
              <c:x val="3.0555555555555561E-2"/>
              <c:y val="-9.25925925925925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27405949256344"/>
                  <c:h val="0.135249343832021"/>
                </c:manualLayout>
              </c15:layout>
            </c:ext>
          </c:extLst>
        </c:dLbl>
      </c:pivotFmt>
      <c:pivotFmt>
        <c:idx val="2"/>
        <c:spPr>
          <a:solidFill>
            <a:srgbClr val="FFFF00"/>
          </a:solidFill>
          <a:ln>
            <a:noFill/>
          </a:ln>
          <a:effectLst/>
        </c:spPr>
        <c:dLbl>
          <c:idx val="0"/>
          <c:layout>
            <c:manualLayout>
              <c:x val="-5.972222222222226E-2"/>
              <c:y val="2.0833333333333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287445319335081"/>
                  <c:h val="0.14913823272090987"/>
                </c:manualLayout>
              </c15:layout>
            </c:ext>
          </c:extLst>
        </c:dLbl>
      </c:pivotFmt>
      <c:pivotFmt>
        <c:idx val="3"/>
        <c:spPr>
          <a:solidFill>
            <a:srgbClr val="00B050"/>
          </a:solidFill>
          <a:ln>
            <a:noFill/>
          </a:ln>
          <a:effectLst/>
        </c:spPr>
        <c:dLbl>
          <c:idx val="0"/>
          <c:layout>
            <c:manualLayout>
              <c:x val="-5.0000000000000024E-2"/>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4490376202974624E-2"/>
                  <c:h val="0.11673082531350248"/>
                </c:manualLayout>
              </c15:layout>
            </c:ext>
          </c:extLst>
        </c:dLbl>
      </c:pivotFmt>
      <c:pivotFmt>
        <c:idx val="4"/>
        <c:spPr>
          <a:solidFill>
            <a:srgbClr val="FF0000"/>
          </a:solidFill>
          <a:ln>
            <a:noFill/>
          </a:ln>
          <a:effectLst/>
        </c:spPr>
        <c:dLbl>
          <c:idx val="0"/>
          <c:layout>
            <c:manualLayout>
              <c:x val="0.15277777777777779"/>
              <c:y val="1.387778780781445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45122484689414"/>
                  <c:h val="0.16808398950131237"/>
                </c:manualLayout>
              </c15:layout>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a:noFill/>
          </a:ln>
          <a:effectLst/>
        </c:spPr>
        <c:dLbl>
          <c:idx val="0"/>
          <c:layout>
            <c:manualLayout>
              <c:x val="3.0555555555555561E-2"/>
              <c:y val="-9.25925925925925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27405949256344"/>
                  <c:h val="0.135249343832021"/>
                </c:manualLayout>
              </c15:layout>
            </c:ext>
          </c:extLst>
        </c:dLbl>
      </c:pivotFmt>
      <c:pivotFmt>
        <c:idx val="7"/>
        <c:spPr>
          <a:solidFill>
            <a:srgbClr val="FF0000"/>
          </a:solidFill>
          <a:ln>
            <a:noFill/>
          </a:ln>
          <a:effectLst/>
        </c:spPr>
        <c:dLbl>
          <c:idx val="0"/>
          <c:layout>
            <c:manualLayout>
              <c:x val="0.15277777777777779"/>
              <c:y val="1.387778780781445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45122484689414"/>
                  <c:h val="0.16808398950131237"/>
                </c:manualLayout>
              </c15:layout>
            </c:ext>
          </c:extLst>
        </c:dLbl>
      </c:pivotFmt>
      <c:pivotFmt>
        <c:idx val="8"/>
        <c:spPr>
          <a:solidFill>
            <a:srgbClr val="00B050"/>
          </a:solidFill>
          <a:ln>
            <a:noFill/>
          </a:ln>
          <a:effectLst/>
        </c:spPr>
        <c:dLbl>
          <c:idx val="0"/>
          <c:layout>
            <c:manualLayout>
              <c:x val="-5.0000000000000024E-2"/>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4490376202974624E-2"/>
                  <c:h val="0.11673082531350248"/>
                </c:manualLayout>
              </c15:layout>
            </c:ext>
          </c:extLst>
        </c:dLbl>
      </c:pivotFmt>
      <c:pivotFmt>
        <c:idx val="9"/>
        <c:spPr>
          <a:solidFill>
            <a:srgbClr val="FFFF00"/>
          </a:solidFill>
          <a:ln>
            <a:noFill/>
          </a:ln>
          <a:effectLst/>
        </c:spPr>
        <c:dLbl>
          <c:idx val="0"/>
          <c:layout>
            <c:manualLayout>
              <c:x val="-5.972222222222226E-2"/>
              <c:y val="2.0833333333333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287445319335081"/>
                  <c:h val="0.14913823272090987"/>
                </c:manualLayout>
              </c15:layout>
            </c:ext>
          </c:extLst>
        </c:dLbl>
      </c:pivotFmt>
      <c:pivotFmt>
        <c:idx val="1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70C0"/>
          </a:solidFill>
          <a:ln>
            <a:noFill/>
          </a:ln>
          <a:effectLst/>
        </c:spPr>
        <c:dLbl>
          <c:idx val="0"/>
          <c:layout>
            <c:manualLayout>
              <c:x val="3.0555555555555561E-2"/>
              <c:y val="-9.25925925925925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27405949256344"/>
                  <c:h val="0.135249343832021"/>
                </c:manualLayout>
              </c15:layout>
            </c:ext>
          </c:extLst>
        </c:dLbl>
      </c:pivotFmt>
      <c:pivotFmt>
        <c:idx val="12"/>
        <c:spPr>
          <a:solidFill>
            <a:srgbClr val="FF0000"/>
          </a:solidFill>
          <a:ln>
            <a:noFill/>
          </a:ln>
          <a:effectLst/>
        </c:spPr>
        <c:dLbl>
          <c:idx val="0"/>
          <c:layout>
            <c:manualLayout>
              <c:x val="0.15277777777777779"/>
              <c:y val="1.387778780781445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45122484689414"/>
                  <c:h val="0.16808398950131237"/>
                </c:manualLayout>
              </c15:layout>
            </c:ext>
          </c:extLst>
        </c:dLbl>
      </c:pivotFmt>
      <c:pivotFmt>
        <c:idx val="13"/>
        <c:spPr>
          <a:solidFill>
            <a:srgbClr val="00B050"/>
          </a:solidFill>
          <a:ln>
            <a:noFill/>
          </a:ln>
          <a:effectLst/>
        </c:spPr>
        <c:dLbl>
          <c:idx val="0"/>
          <c:layout>
            <c:manualLayout>
              <c:x val="-5.0000000000000024E-2"/>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4490376202974624E-2"/>
                  <c:h val="0.11673082531350248"/>
                </c:manualLayout>
              </c15:layout>
            </c:ext>
          </c:extLst>
        </c:dLbl>
      </c:pivotFmt>
      <c:pivotFmt>
        <c:idx val="14"/>
        <c:spPr>
          <a:solidFill>
            <a:srgbClr val="FFFF00"/>
          </a:solidFill>
          <a:ln>
            <a:noFill/>
          </a:ln>
          <a:effectLst/>
        </c:spPr>
        <c:dLbl>
          <c:idx val="0"/>
          <c:layout>
            <c:manualLayout>
              <c:x val="-5.972222222222226E-2"/>
              <c:y val="2.0833333333333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287445319335081"/>
                  <c:h val="0.14913823272090987"/>
                </c:manualLayout>
              </c15:layout>
            </c:ext>
          </c:extLst>
        </c:dLbl>
      </c:pivotFmt>
    </c:pivotFmts>
    <c:plotArea>
      <c:layout/>
      <c:pieChart>
        <c:varyColors val="1"/>
        <c:ser>
          <c:idx val="0"/>
          <c:order val="0"/>
          <c:tx>
            <c:strRef>
              <c:f>'Pivot Tables'!$Q$13</c:f>
              <c:strCache>
                <c:ptCount val="1"/>
                <c:pt idx="0">
                  <c:v>Total</c:v>
                </c:pt>
              </c:strCache>
            </c:strRef>
          </c:tx>
          <c:dPt>
            <c:idx val="0"/>
            <c:bubble3D val="0"/>
            <c:spPr>
              <a:solidFill>
                <a:srgbClr val="0070C0"/>
              </a:solidFill>
              <a:ln>
                <a:noFill/>
              </a:ln>
              <a:effectLst/>
            </c:spPr>
            <c:extLst>
              <c:ext xmlns:c16="http://schemas.microsoft.com/office/drawing/2014/chart" uri="{C3380CC4-5D6E-409C-BE32-E72D297353CC}">
                <c16:uniqueId val="{00000001-8D76-3940-9A31-3ECB6A007FB7}"/>
              </c:ext>
            </c:extLst>
          </c:dPt>
          <c:dPt>
            <c:idx val="1"/>
            <c:bubble3D val="0"/>
            <c:spPr>
              <a:solidFill>
                <a:srgbClr val="FF0000"/>
              </a:solidFill>
              <a:ln>
                <a:noFill/>
              </a:ln>
              <a:effectLst/>
            </c:spPr>
            <c:extLst>
              <c:ext xmlns:c16="http://schemas.microsoft.com/office/drawing/2014/chart" uri="{C3380CC4-5D6E-409C-BE32-E72D297353CC}">
                <c16:uniqueId val="{00000003-8D76-3940-9A31-3ECB6A007FB7}"/>
              </c:ext>
            </c:extLst>
          </c:dPt>
          <c:dPt>
            <c:idx val="2"/>
            <c:bubble3D val="0"/>
            <c:spPr>
              <a:solidFill>
                <a:srgbClr val="00B050"/>
              </a:solidFill>
              <a:ln>
                <a:noFill/>
              </a:ln>
              <a:effectLst/>
            </c:spPr>
            <c:extLst>
              <c:ext xmlns:c16="http://schemas.microsoft.com/office/drawing/2014/chart" uri="{C3380CC4-5D6E-409C-BE32-E72D297353CC}">
                <c16:uniqueId val="{00000005-8D76-3940-9A31-3ECB6A007FB7}"/>
              </c:ext>
            </c:extLst>
          </c:dPt>
          <c:dPt>
            <c:idx val="3"/>
            <c:bubble3D val="0"/>
            <c:spPr>
              <a:solidFill>
                <a:srgbClr val="FFFF00"/>
              </a:solidFill>
              <a:ln>
                <a:noFill/>
              </a:ln>
              <a:effectLst/>
            </c:spPr>
            <c:extLst>
              <c:ext xmlns:c16="http://schemas.microsoft.com/office/drawing/2014/chart" uri="{C3380CC4-5D6E-409C-BE32-E72D297353CC}">
                <c16:uniqueId val="{00000007-8D76-3940-9A31-3ECB6A007FB7}"/>
              </c:ext>
            </c:extLst>
          </c:dPt>
          <c:dLbls>
            <c:dLbl>
              <c:idx val="0"/>
              <c:layout>
                <c:manualLayout>
                  <c:x val="3.0555555555555561E-2"/>
                  <c:y val="-9.25925925925925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27405949256344"/>
                      <c:h val="0.135249343832021"/>
                    </c:manualLayout>
                  </c15:layout>
                </c:ext>
                <c:ext xmlns:c16="http://schemas.microsoft.com/office/drawing/2014/chart" uri="{C3380CC4-5D6E-409C-BE32-E72D297353CC}">
                  <c16:uniqueId val="{00000001-8D76-3940-9A31-3ECB6A007FB7}"/>
                </c:ext>
              </c:extLst>
            </c:dLbl>
            <c:dLbl>
              <c:idx val="1"/>
              <c:layout>
                <c:manualLayout>
                  <c:x val="0.15277777777777779"/>
                  <c:y val="1.3877787807814457E-1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145122484689414"/>
                      <c:h val="0.16808398950131237"/>
                    </c:manualLayout>
                  </c15:layout>
                </c:ext>
                <c:ext xmlns:c16="http://schemas.microsoft.com/office/drawing/2014/chart" uri="{C3380CC4-5D6E-409C-BE32-E72D297353CC}">
                  <c16:uniqueId val="{00000003-8D76-3940-9A31-3ECB6A007FB7}"/>
                </c:ext>
              </c:extLst>
            </c:dLbl>
            <c:dLbl>
              <c:idx val="2"/>
              <c:layout>
                <c:manualLayout>
                  <c:x val="-5.0000000000000024E-2"/>
                  <c:y val="9.2592592592591737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490376202974624E-2"/>
                      <c:h val="0.11673082531350248"/>
                    </c:manualLayout>
                  </c15:layout>
                </c:ext>
                <c:ext xmlns:c16="http://schemas.microsoft.com/office/drawing/2014/chart" uri="{C3380CC4-5D6E-409C-BE32-E72D297353CC}">
                  <c16:uniqueId val="{00000005-8D76-3940-9A31-3ECB6A007FB7}"/>
                </c:ext>
              </c:extLst>
            </c:dLbl>
            <c:dLbl>
              <c:idx val="3"/>
              <c:layout>
                <c:manualLayout>
                  <c:x val="-5.972222222222226E-2"/>
                  <c:y val="2.0833333333333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50000"/>
                        </a:schemeClr>
                      </a:solidFill>
                      <a:latin typeface="+mn-lt"/>
                      <a:ea typeface="+mn-ea"/>
                      <a:cs typeface="+mn-cs"/>
                    </a:defRPr>
                  </a:pPr>
                  <a:endParaRPr lang="en-U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287445319335081"/>
                      <c:h val="0.14913823272090987"/>
                    </c:manualLayout>
                  </c15:layout>
                </c:ext>
                <c:ext xmlns:c16="http://schemas.microsoft.com/office/drawing/2014/chart" uri="{C3380CC4-5D6E-409C-BE32-E72D297353CC}">
                  <c16:uniqueId val="{00000007-8D76-3940-9A31-3ECB6A007FB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Tables'!$P$14:$P$18</c:f>
              <c:strCache>
                <c:ptCount val="4"/>
                <c:pt idx="0">
                  <c:v>Employer</c:v>
                </c:pt>
                <c:pt idx="1">
                  <c:v>National Insurance</c:v>
                </c:pt>
                <c:pt idx="2">
                  <c:v>None</c:v>
                </c:pt>
                <c:pt idx="3">
                  <c:v>Private</c:v>
                </c:pt>
              </c:strCache>
            </c:strRef>
          </c:cat>
          <c:val>
            <c:numRef>
              <c:f>'Pivot Tables'!$Q$14:$Q$18</c:f>
              <c:numCache>
                <c:formatCode>General</c:formatCode>
                <c:ptCount val="4"/>
                <c:pt idx="0">
                  <c:v>147</c:v>
                </c:pt>
                <c:pt idx="1">
                  <c:v>88</c:v>
                </c:pt>
                <c:pt idx="2">
                  <c:v>67</c:v>
                </c:pt>
                <c:pt idx="3">
                  <c:v>95</c:v>
                </c:pt>
              </c:numCache>
            </c:numRef>
          </c:val>
          <c:extLst>
            <c:ext xmlns:c16="http://schemas.microsoft.com/office/drawing/2014/chart" uri="{C3380CC4-5D6E-409C-BE32-E72D297353CC}">
              <c16:uniqueId val="{00000008-8D76-3940-9A31-3ECB6A007FB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xdr:colOff>
      <xdr:row>0</xdr:row>
      <xdr:rowOff>50800</xdr:rowOff>
    </xdr:from>
    <xdr:to>
      <xdr:col>22</xdr:col>
      <xdr:colOff>558800</xdr:colOff>
      <xdr:row>46</xdr:row>
      <xdr:rowOff>114300</xdr:rowOff>
    </xdr:to>
    <xdr:sp macro="" textlink="">
      <xdr:nvSpPr>
        <xdr:cNvPr id="21" name="Rectangle 20">
          <a:extLst>
            <a:ext uri="{FF2B5EF4-FFF2-40B4-BE49-F238E27FC236}">
              <a16:creationId xmlns:a16="http://schemas.microsoft.com/office/drawing/2014/main" id="{BA096E66-93F2-DC5D-5831-FBCDE5938CCD}"/>
            </a:ext>
          </a:extLst>
        </xdr:cNvPr>
        <xdr:cNvSpPr/>
      </xdr:nvSpPr>
      <xdr:spPr>
        <a:xfrm>
          <a:off x="63500" y="50800"/>
          <a:ext cx="17970500" cy="8699500"/>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63500</xdr:colOff>
      <xdr:row>13</xdr:row>
      <xdr:rowOff>101600</xdr:rowOff>
    </xdr:from>
    <xdr:to>
      <xdr:col>10</xdr:col>
      <xdr:colOff>31750</xdr:colOff>
      <xdr:row>28</xdr:row>
      <xdr:rowOff>114300</xdr:rowOff>
    </xdr:to>
    <xdr:graphicFrame macro="">
      <xdr:nvGraphicFramePr>
        <xdr:cNvPr id="2" name="BP Control">
          <a:extLst>
            <a:ext uri="{FF2B5EF4-FFF2-40B4-BE49-F238E27FC236}">
              <a16:creationId xmlns:a16="http://schemas.microsoft.com/office/drawing/2014/main" id="{7862DE85-D35A-4A48-9880-1FED52EB8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13</xdr:row>
      <xdr:rowOff>88900</xdr:rowOff>
    </xdr:from>
    <xdr:to>
      <xdr:col>16</xdr:col>
      <xdr:colOff>768350</xdr:colOff>
      <xdr:row>28</xdr:row>
      <xdr:rowOff>101600</xdr:rowOff>
    </xdr:to>
    <xdr:graphicFrame macro="">
      <xdr:nvGraphicFramePr>
        <xdr:cNvPr id="3" name="Encounter Type by County">
          <a:extLst>
            <a:ext uri="{FF2B5EF4-FFF2-40B4-BE49-F238E27FC236}">
              <a16:creationId xmlns:a16="http://schemas.microsoft.com/office/drawing/2014/main" id="{9A0CD67A-4FB2-C941-BB6F-4E3661B8B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558800</xdr:colOff>
      <xdr:row>28</xdr:row>
      <xdr:rowOff>139700</xdr:rowOff>
    </xdr:from>
    <xdr:to>
      <xdr:col>22</xdr:col>
      <xdr:colOff>330200</xdr:colOff>
      <xdr:row>45</xdr:row>
      <xdr:rowOff>38100</xdr:rowOff>
    </xdr:to>
    <xdr:graphicFrame macro="">
      <xdr:nvGraphicFramePr>
        <xdr:cNvPr id="4" name="Abnormal Lab Rates by Diagnosis">
          <a:extLst>
            <a:ext uri="{FF2B5EF4-FFF2-40B4-BE49-F238E27FC236}">
              <a16:creationId xmlns:a16="http://schemas.microsoft.com/office/drawing/2014/main" id="{64B4295F-9C52-F24E-A06E-BED5EF790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76200</xdr:colOff>
      <xdr:row>28</xdr:row>
      <xdr:rowOff>152400</xdr:rowOff>
    </xdr:from>
    <xdr:to>
      <xdr:col>15</xdr:col>
      <xdr:colOff>520700</xdr:colOff>
      <xdr:row>44</xdr:row>
      <xdr:rowOff>152400</xdr:rowOff>
    </xdr:to>
    <xdr:graphicFrame macro="">
      <xdr:nvGraphicFramePr>
        <xdr:cNvPr id="5" name="Number of Patients by Diagnosis">
          <a:extLst>
            <a:ext uri="{FF2B5EF4-FFF2-40B4-BE49-F238E27FC236}">
              <a16:creationId xmlns:a16="http://schemas.microsoft.com/office/drawing/2014/main" id="{D7B51FDB-652A-024C-AD1D-79D8FB3AA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12700</xdr:colOff>
      <xdr:row>13</xdr:row>
      <xdr:rowOff>101600</xdr:rowOff>
    </xdr:from>
    <xdr:to>
      <xdr:col>22</xdr:col>
      <xdr:colOff>292100</xdr:colOff>
      <xdr:row>28</xdr:row>
      <xdr:rowOff>76200</xdr:rowOff>
    </xdr:to>
    <xdr:graphicFrame macro="">
      <xdr:nvGraphicFramePr>
        <xdr:cNvPr id="6" name="Patients per Facility">
          <a:extLst>
            <a:ext uri="{FF2B5EF4-FFF2-40B4-BE49-F238E27FC236}">
              <a16:creationId xmlns:a16="http://schemas.microsoft.com/office/drawing/2014/main" id="{57728E88-D360-3D47-BFF0-2748AB828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63500</xdr:colOff>
      <xdr:row>28</xdr:row>
      <xdr:rowOff>152400</xdr:rowOff>
    </xdr:from>
    <xdr:to>
      <xdr:col>10</xdr:col>
      <xdr:colOff>25400</xdr:colOff>
      <xdr:row>44</xdr:row>
      <xdr:rowOff>152400</xdr:rowOff>
    </xdr:to>
    <xdr:graphicFrame macro="">
      <xdr:nvGraphicFramePr>
        <xdr:cNvPr id="7" name="Patients by Insurance Status">
          <a:extLst>
            <a:ext uri="{FF2B5EF4-FFF2-40B4-BE49-F238E27FC236}">
              <a16:creationId xmlns:a16="http://schemas.microsoft.com/office/drawing/2014/main" id="{60FB7A4E-9F68-8847-9EEF-D8A2393CD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114300</xdr:colOff>
      <xdr:row>13</xdr:row>
      <xdr:rowOff>101601</xdr:rowOff>
    </xdr:from>
    <xdr:to>
      <xdr:col>4</xdr:col>
      <xdr:colOff>0</xdr:colOff>
      <xdr:row>20</xdr:row>
      <xdr:rowOff>1</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E1AB5715-1948-4C4A-9520-F8F06C78662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4300" y="2451101"/>
              <a:ext cx="25019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20</xdr:row>
      <xdr:rowOff>50801</xdr:rowOff>
    </xdr:from>
    <xdr:to>
      <xdr:col>3</xdr:col>
      <xdr:colOff>800100</xdr:colOff>
      <xdr:row>24</xdr:row>
      <xdr:rowOff>165100</xdr:rowOff>
    </xdr:to>
    <mc:AlternateContent xmlns:mc="http://schemas.openxmlformats.org/markup-compatibility/2006">
      <mc:Choice xmlns:a14="http://schemas.microsoft.com/office/drawing/2010/main" Requires="a14">
        <xdr:graphicFrame macro="">
          <xdr:nvGraphicFramePr>
            <xdr:cNvPr id="9" name="Sex">
              <a:extLst>
                <a:ext uri="{FF2B5EF4-FFF2-40B4-BE49-F238E27FC236}">
                  <a16:creationId xmlns:a16="http://schemas.microsoft.com/office/drawing/2014/main" id="{05C125C4-5978-384C-B380-B96EB0ED6CE5}"/>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27000" y="3733801"/>
              <a:ext cx="2463800" cy="876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xdr:colOff>
      <xdr:row>30</xdr:row>
      <xdr:rowOff>38101</xdr:rowOff>
    </xdr:from>
    <xdr:to>
      <xdr:col>4</xdr:col>
      <xdr:colOff>25400</xdr:colOff>
      <xdr:row>34</xdr:row>
      <xdr:rowOff>165100</xdr:rowOff>
    </xdr:to>
    <mc:AlternateContent xmlns:mc="http://schemas.openxmlformats.org/markup-compatibility/2006">
      <mc:Choice xmlns:a14="http://schemas.microsoft.com/office/drawing/2010/main" Requires="a14">
        <xdr:graphicFrame macro="">
          <xdr:nvGraphicFramePr>
            <xdr:cNvPr id="10" name="Smoking_Status">
              <a:extLst>
                <a:ext uri="{FF2B5EF4-FFF2-40B4-BE49-F238E27FC236}">
                  <a16:creationId xmlns:a16="http://schemas.microsoft.com/office/drawing/2014/main" id="{17647E8C-67F2-1746-8D0D-C0964EEBFCDE}"/>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dr:sp macro="" textlink="">
          <xdr:nvSpPr>
            <xdr:cNvPr id="0" name=""/>
            <xdr:cNvSpPr>
              <a:spLocks noTextEdit="1"/>
            </xdr:cNvSpPr>
          </xdr:nvSpPr>
          <xdr:spPr>
            <a:xfrm>
              <a:off x="165100" y="5626101"/>
              <a:ext cx="2476500" cy="888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25</xdr:row>
      <xdr:rowOff>12701</xdr:rowOff>
    </xdr:from>
    <xdr:to>
      <xdr:col>4</xdr:col>
      <xdr:colOff>0</xdr:colOff>
      <xdr:row>29</xdr:row>
      <xdr:rowOff>177800</xdr:rowOff>
    </xdr:to>
    <mc:AlternateContent xmlns:mc="http://schemas.openxmlformats.org/markup-compatibility/2006">
      <mc:Choice xmlns:a14="http://schemas.microsoft.com/office/drawing/2010/main" Requires="a14">
        <xdr:graphicFrame macro="">
          <xdr:nvGraphicFramePr>
            <xdr:cNvPr id="11" name="Chronic_Condition">
              <a:extLst>
                <a:ext uri="{FF2B5EF4-FFF2-40B4-BE49-F238E27FC236}">
                  <a16:creationId xmlns:a16="http://schemas.microsoft.com/office/drawing/2014/main" id="{607C2A7F-0E27-1C4E-A7EA-1B13BB7E44DA}"/>
                </a:ext>
              </a:extLst>
            </xdr:cNvPr>
            <xdr:cNvGraphicFramePr/>
          </xdr:nvGraphicFramePr>
          <xdr:xfrm>
            <a:off x="0" y="0"/>
            <a:ext cx="0" cy="0"/>
          </xdr:xfrm>
          <a:graphic>
            <a:graphicData uri="http://schemas.microsoft.com/office/drawing/2010/slicer">
              <sle:slicer xmlns:sle="http://schemas.microsoft.com/office/drawing/2010/slicer" name="Chronic_Condition"/>
            </a:graphicData>
          </a:graphic>
        </xdr:graphicFrame>
      </mc:Choice>
      <mc:Fallback>
        <xdr:sp macro="" textlink="">
          <xdr:nvSpPr>
            <xdr:cNvPr id="0" name=""/>
            <xdr:cNvSpPr>
              <a:spLocks noTextEdit="1"/>
            </xdr:cNvSpPr>
          </xdr:nvSpPr>
          <xdr:spPr>
            <a:xfrm>
              <a:off x="139700" y="4648201"/>
              <a:ext cx="2476500" cy="927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35</xdr:row>
      <xdr:rowOff>0</xdr:rowOff>
    </xdr:from>
    <xdr:to>
      <xdr:col>4</xdr:col>
      <xdr:colOff>25400</xdr:colOff>
      <xdr:row>40</xdr:row>
      <xdr:rowOff>63500</xdr:rowOff>
    </xdr:to>
    <mc:AlternateContent xmlns:mc="http://schemas.openxmlformats.org/markup-compatibility/2006">
      <mc:Choice xmlns:a14="http://schemas.microsoft.com/office/drawing/2010/main" Requires="a14">
        <xdr:graphicFrame macro="">
          <xdr:nvGraphicFramePr>
            <xdr:cNvPr id="12" name="Alcohol_Use">
              <a:extLst>
                <a:ext uri="{FF2B5EF4-FFF2-40B4-BE49-F238E27FC236}">
                  <a16:creationId xmlns:a16="http://schemas.microsoft.com/office/drawing/2014/main" id="{8BCE885B-C229-8C42-BBB7-2C6E7617C659}"/>
                </a:ext>
              </a:extLst>
            </xdr:cNvPr>
            <xdr:cNvGraphicFramePr/>
          </xdr:nvGraphicFramePr>
          <xdr:xfrm>
            <a:off x="0" y="0"/>
            <a:ext cx="0" cy="0"/>
          </xdr:xfrm>
          <a:graphic>
            <a:graphicData uri="http://schemas.microsoft.com/office/drawing/2010/slicer">
              <sle:slicer xmlns:sle="http://schemas.microsoft.com/office/drawing/2010/slicer" name="Alcohol_Use"/>
            </a:graphicData>
          </a:graphic>
        </xdr:graphicFrame>
      </mc:Choice>
      <mc:Fallback>
        <xdr:sp macro="" textlink="">
          <xdr:nvSpPr>
            <xdr:cNvPr id="0" name=""/>
            <xdr:cNvSpPr>
              <a:spLocks noTextEdit="1"/>
            </xdr:cNvSpPr>
          </xdr:nvSpPr>
          <xdr:spPr>
            <a:xfrm>
              <a:off x="139700" y="6540500"/>
              <a:ext cx="25019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5</xdr:row>
      <xdr:rowOff>88900</xdr:rowOff>
    </xdr:from>
    <xdr:to>
      <xdr:col>11</xdr:col>
      <xdr:colOff>12700</xdr:colOff>
      <xdr:row>13</xdr:row>
      <xdr:rowOff>27940</xdr:rowOff>
    </xdr:to>
    <mc:AlternateContent xmlns:mc="http://schemas.openxmlformats.org/markup-compatibility/2006">
      <mc:Choice xmlns:tsle="http://schemas.microsoft.com/office/drawing/2012/timeslicer" Requires="tsle">
        <xdr:graphicFrame macro="">
          <xdr:nvGraphicFramePr>
            <xdr:cNvPr id="13" name="Encounter_Date">
              <a:extLst>
                <a:ext uri="{FF2B5EF4-FFF2-40B4-BE49-F238E27FC236}">
                  <a16:creationId xmlns:a16="http://schemas.microsoft.com/office/drawing/2014/main" id="{828D305B-8F1C-4F4C-8914-4D78DE08F829}"/>
                </a:ext>
              </a:extLst>
            </xdr:cNvPr>
            <xdr:cNvGraphicFramePr/>
          </xdr:nvGraphicFramePr>
          <xdr:xfrm>
            <a:off x="0" y="0"/>
            <a:ext cx="0" cy="0"/>
          </xdr:xfrm>
          <a:graphic>
            <a:graphicData uri="http://schemas.microsoft.com/office/drawing/2012/timeslicer">
              <tsle:timeslicer xmlns:tsle="http://schemas.microsoft.com/office/drawing/2012/timeslicer" name="Encounter_Date"/>
            </a:graphicData>
          </a:graphic>
        </xdr:graphicFrame>
      </mc:Choice>
      <mc:Fallback>
        <xdr:sp macro="" textlink="">
          <xdr:nvSpPr>
            <xdr:cNvPr id="0" name=""/>
            <xdr:cNvSpPr>
              <a:spLocks noTextEdit="1"/>
            </xdr:cNvSpPr>
          </xdr:nvSpPr>
          <xdr:spPr>
            <a:xfrm>
              <a:off x="177800" y="914400"/>
              <a:ext cx="8229600" cy="146304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xdr:col>
      <xdr:colOff>12700</xdr:colOff>
      <xdr:row>1</xdr:row>
      <xdr:rowOff>25400</xdr:rowOff>
    </xdr:from>
    <xdr:to>
      <xdr:col>22</xdr:col>
      <xdr:colOff>292100</xdr:colOff>
      <xdr:row>4</xdr:row>
      <xdr:rowOff>177800</xdr:rowOff>
    </xdr:to>
    <xdr:sp macro="" textlink="">
      <xdr:nvSpPr>
        <xdr:cNvPr id="15" name="Rectangle 14">
          <a:extLst>
            <a:ext uri="{FF2B5EF4-FFF2-40B4-BE49-F238E27FC236}">
              <a16:creationId xmlns:a16="http://schemas.microsoft.com/office/drawing/2014/main" id="{04180008-A8A0-E737-0074-670A96C0A3A8}"/>
            </a:ext>
          </a:extLst>
        </xdr:cNvPr>
        <xdr:cNvSpPr/>
      </xdr:nvSpPr>
      <xdr:spPr>
        <a:xfrm>
          <a:off x="152400" y="88900"/>
          <a:ext cx="17614900" cy="72390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solidFill>
                <a:schemeClr val="tx2">
                  <a:lumMod val="50000"/>
                </a:schemeClr>
              </a:solidFill>
            </a:rPr>
            <a:t>EHR Clinical Performance Dashboard | Kenya 2023–2025</a:t>
          </a:r>
        </a:p>
      </xdr:txBody>
    </xdr:sp>
    <xdr:clientData/>
  </xdr:twoCellAnchor>
  <xdr:twoCellAnchor>
    <xdr:from>
      <xdr:col>11</xdr:col>
      <xdr:colOff>190500</xdr:colOff>
      <xdr:row>5</xdr:row>
      <xdr:rowOff>76200</xdr:rowOff>
    </xdr:from>
    <xdr:to>
      <xdr:col>13</xdr:col>
      <xdr:colOff>698500</xdr:colOff>
      <xdr:row>13</xdr:row>
      <xdr:rowOff>25400</xdr:rowOff>
    </xdr:to>
    <xdr:sp macro="" textlink="">
      <xdr:nvSpPr>
        <xdr:cNvPr id="17" name="Snip Single Corner of Rectangle 16">
          <a:extLst>
            <a:ext uri="{FF2B5EF4-FFF2-40B4-BE49-F238E27FC236}">
              <a16:creationId xmlns:a16="http://schemas.microsoft.com/office/drawing/2014/main" id="{842763E6-0B7C-78B6-CCD0-2313D342015D}"/>
            </a:ext>
          </a:extLst>
        </xdr:cNvPr>
        <xdr:cNvSpPr/>
      </xdr:nvSpPr>
      <xdr:spPr>
        <a:xfrm>
          <a:off x="8585200" y="901700"/>
          <a:ext cx="2159000" cy="1473200"/>
        </a:xfrm>
        <a:prstGeom prst="snip1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u="sng">
              <a:solidFill>
                <a:schemeClr val="tx2">
                  <a:lumMod val="50000"/>
                </a:schemeClr>
              </a:solidFill>
            </a:rPr>
            <a:t>Total</a:t>
          </a:r>
          <a:r>
            <a:rPr lang="en-GB" sz="2000" b="1" u="sng" baseline="0">
              <a:solidFill>
                <a:schemeClr val="tx2">
                  <a:lumMod val="50000"/>
                </a:schemeClr>
              </a:solidFill>
            </a:rPr>
            <a:t> Patients</a:t>
          </a:r>
        </a:p>
        <a:p>
          <a:pPr algn="ctr"/>
          <a:r>
            <a:rPr lang="en-GB" sz="2000" b="1" baseline="0">
              <a:solidFill>
                <a:schemeClr val="tx2">
                  <a:lumMod val="50000"/>
                </a:schemeClr>
              </a:solidFill>
            </a:rPr>
            <a:t>120</a:t>
          </a:r>
          <a:endParaRPr lang="en-GB" sz="2000" b="1">
            <a:solidFill>
              <a:schemeClr val="tx2">
                <a:lumMod val="50000"/>
              </a:schemeClr>
            </a:solidFill>
          </a:endParaRPr>
        </a:p>
      </xdr:txBody>
    </xdr:sp>
    <xdr:clientData/>
  </xdr:twoCellAnchor>
  <xdr:twoCellAnchor>
    <xdr:from>
      <xdr:col>13</xdr:col>
      <xdr:colOff>812800</xdr:colOff>
      <xdr:row>5</xdr:row>
      <xdr:rowOff>76200</xdr:rowOff>
    </xdr:from>
    <xdr:to>
      <xdr:col>16</xdr:col>
      <xdr:colOff>495300</xdr:colOff>
      <xdr:row>13</xdr:row>
      <xdr:rowOff>25400</xdr:rowOff>
    </xdr:to>
    <xdr:sp macro="" textlink="">
      <xdr:nvSpPr>
        <xdr:cNvPr id="18" name="Snip Single Corner of Rectangle 17">
          <a:extLst>
            <a:ext uri="{FF2B5EF4-FFF2-40B4-BE49-F238E27FC236}">
              <a16:creationId xmlns:a16="http://schemas.microsoft.com/office/drawing/2014/main" id="{00D08BB2-5494-B840-9A2D-0883337AB84C}"/>
            </a:ext>
          </a:extLst>
        </xdr:cNvPr>
        <xdr:cNvSpPr/>
      </xdr:nvSpPr>
      <xdr:spPr>
        <a:xfrm>
          <a:off x="10858500" y="901700"/>
          <a:ext cx="2159000" cy="1473200"/>
        </a:xfrm>
        <a:prstGeom prst="snip1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u="sng">
              <a:solidFill>
                <a:schemeClr val="tx2">
                  <a:lumMod val="50000"/>
                </a:schemeClr>
              </a:solidFill>
            </a:rPr>
            <a:t>Most Common Diagnosis</a:t>
          </a:r>
        </a:p>
        <a:p>
          <a:pPr algn="ctr"/>
          <a:r>
            <a:rPr lang="en-GB" sz="1800" b="1">
              <a:solidFill>
                <a:schemeClr val="tx2">
                  <a:lumMod val="50000"/>
                </a:schemeClr>
              </a:solidFill>
            </a:rPr>
            <a:t>Metabolic</a:t>
          </a:r>
          <a:r>
            <a:rPr lang="en-GB" sz="1800" b="1" baseline="0">
              <a:solidFill>
                <a:schemeClr val="tx2">
                  <a:lumMod val="50000"/>
                </a:schemeClr>
              </a:solidFill>
            </a:rPr>
            <a:t> Syndrome</a:t>
          </a:r>
          <a:endParaRPr lang="en-GB" sz="1800" b="1">
            <a:solidFill>
              <a:schemeClr val="tx2">
                <a:lumMod val="50000"/>
              </a:schemeClr>
            </a:solidFill>
          </a:endParaRPr>
        </a:p>
      </xdr:txBody>
    </xdr:sp>
    <xdr:clientData/>
  </xdr:twoCellAnchor>
  <xdr:twoCellAnchor>
    <xdr:from>
      <xdr:col>16</xdr:col>
      <xdr:colOff>635000</xdr:colOff>
      <xdr:row>5</xdr:row>
      <xdr:rowOff>76200</xdr:rowOff>
    </xdr:from>
    <xdr:to>
      <xdr:col>19</xdr:col>
      <xdr:colOff>317500</xdr:colOff>
      <xdr:row>13</xdr:row>
      <xdr:rowOff>25400</xdr:rowOff>
    </xdr:to>
    <xdr:sp macro="" textlink="">
      <xdr:nvSpPr>
        <xdr:cNvPr id="19" name="Snip Single Corner of Rectangle 18">
          <a:extLst>
            <a:ext uri="{FF2B5EF4-FFF2-40B4-BE49-F238E27FC236}">
              <a16:creationId xmlns:a16="http://schemas.microsoft.com/office/drawing/2014/main" id="{137A8CC7-97F9-494E-AD37-7E025D9B9E0E}"/>
            </a:ext>
          </a:extLst>
        </xdr:cNvPr>
        <xdr:cNvSpPr/>
      </xdr:nvSpPr>
      <xdr:spPr>
        <a:xfrm>
          <a:off x="13157200" y="901700"/>
          <a:ext cx="2159000" cy="1473200"/>
        </a:xfrm>
        <a:prstGeom prst="snip1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u="sng">
              <a:solidFill>
                <a:schemeClr val="tx2">
                  <a:lumMod val="50000"/>
                </a:schemeClr>
              </a:solidFill>
            </a:rPr>
            <a:t>Average BMI</a:t>
          </a:r>
        </a:p>
        <a:p>
          <a:pPr algn="ctr"/>
          <a:r>
            <a:rPr lang="en-GB" sz="2000" b="1">
              <a:solidFill>
                <a:schemeClr val="tx2">
                  <a:lumMod val="50000"/>
                </a:schemeClr>
              </a:solidFill>
            </a:rPr>
            <a:t>31.56</a:t>
          </a:r>
        </a:p>
      </xdr:txBody>
    </xdr:sp>
    <xdr:clientData/>
  </xdr:twoCellAnchor>
  <xdr:twoCellAnchor>
    <xdr:from>
      <xdr:col>19</xdr:col>
      <xdr:colOff>457200</xdr:colOff>
      <xdr:row>5</xdr:row>
      <xdr:rowOff>76200</xdr:rowOff>
    </xdr:from>
    <xdr:to>
      <xdr:col>22</xdr:col>
      <xdr:colOff>177800</xdr:colOff>
      <xdr:row>13</xdr:row>
      <xdr:rowOff>25400</xdr:rowOff>
    </xdr:to>
    <xdr:sp macro="" textlink="">
      <xdr:nvSpPr>
        <xdr:cNvPr id="20" name="Snip Single Corner of Rectangle 19">
          <a:extLst>
            <a:ext uri="{FF2B5EF4-FFF2-40B4-BE49-F238E27FC236}">
              <a16:creationId xmlns:a16="http://schemas.microsoft.com/office/drawing/2014/main" id="{70FA0538-551B-394E-BDB6-89D78488F0B0}"/>
            </a:ext>
          </a:extLst>
        </xdr:cNvPr>
        <xdr:cNvSpPr/>
      </xdr:nvSpPr>
      <xdr:spPr>
        <a:xfrm>
          <a:off x="15455900" y="901700"/>
          <a:ext cx="2197100" cy="1473200"/>
        </a:xfrm>
        <a:prstGeom prst="snip1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u="sng">
              <a:solidFill>
                <a:schemeClr val="tx2">
                  <a:lumMod val="50000"/>
                </a:schemeClr>
              </a:solidFill>
            </a:rPr>
            <a:t>Total</a:t>
          </a:r>
          <a:r>
            <a:rPr lang="en-GB" sz="2000" b="1" u="sng" baseline="0">
              <a:solidFill>
                <a:schemeClr val="tx2">
                  <a:lumMod val="50000"/>
                </a:schemeClr>
              </a:solidFill>
            </a:rPr>
            <a:t> Encounters</a:t>
          </a:r>
        </a:p>
        <a:p>
          <a:pPr algn="ctr"/>
          <a:r>
            <a:rPr lang="en-GB" sz="2000" b="1" baseline="0">
              <a:solidFill>
                <a:schemeClr val="tx2">
                  <a:lumMod val="50000"/>
                </a:schemeClr>
              </a:solidFill>
            </a:rPr>
            <a:t>398</a:t>
          </a:r>
          <a:endParaRPr lang="en-GB" sz="2000" b="1">
            <a:solidFill>
              <a:schemeClr val="tx2">
                <a:lumMod val="50000"/>
              </a:schemeClr>
            </a:solidFill>
          </a:endParaRPr>
        </a:p>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37.429327777776" createdVersion="8" refreshedVersion="8" minRefreshableVersion="3" recordCount="398" xr:uid="{E8719B5E-74BF-BD44-9EF6-777AC67D6742}">
  <cacheSource type="worksheet">
    <worksheetSource name="EHR"/>
  </cacheSource>
  <cacheFields count="41">
    <cacheField name="Patient_ID" numFmtId="0">
      <sharedItems/>
    </cacheField>
    <cacheField name="Encounter_ID" numFmtId="0">
      <sharedItems/>
    </cacheField>
    <cacheField name="Encounter_Date" numFmtId="164">
      <sharedItems containsSemiMixedTypes="0" containsNonDate="0" containsDate="1" containsString="0" minDate="2023-01-04T00:00:00" maxDate="2025-12-08T00:00:00" count="305">
        <d v="2023-02-02T00:00:00"/>
        <d v="2023-12-19T00:00:00"/>
        <d v="2024-11-17T00:00:00"/>
        <d v="2023-10-02T00:00:00"/>
        <d v="2024-02-13T00:00:00"/>
        <d v="2023-09-15T00:00:00"/>
        <d v="2025-02-19T00:00:00"/>
        <d v="2023-04-25T00:00:00"/>
        <d v="2024-10-27T00:00:00"/>
        <d v="2023-12-05T00:00:00"/>
        <d v="2023-07-14T00:00:00"/>
        <d v="2023-09-29T00:00:00"/>
        <d v="2023-03-12T00:00:00"/>
        <d v="2023-07-29T00:00:00"/>
        <d v="2024-07-04T00:00:00"/>
        <d v="2023-04-29T00:00:00"/>
        <d v="2023-01-04T00:00:00"/>
        <d v="2024-11-13T00:00:00"/>
        <d v="2024-11-16T00:00:00"/>
        <d v="2024-12-26T00:00:00"/>
        <d v="2024-02-17T00:00:00"/>
        <d v="2024-11-10T00:00:00"/>
        <d v="2024-02-29T00:00:00"/>
        <d v="2024-07-24T00:00:00"/>
        <d v="2023-12-10T00:00:00"/>
        <d v="2024-08-21T00:00:00"/>
        <d v="2024-06-30T00:00:00"/>
        <d v="2023-12-12T00:00:00"/>
        <d v="2023-07-24T00:00:00"/>
        <d v="2024-08-12T00:00:00"/>
        <d v="2024-06-29T00:00:00"/>
        <d v="2024-03-22T00:00:00"/>
        <d v="2024-02-21T00:00:00"/>
        <d v="2024-06-27T00:00:00"/>
        <d v="2024-05-10T00:00:00"/>
        <d v="2024-07-20T00:00:00"/>
        <d v="2024-05-18T00:00:00"/>
        <d v="2023-09-28T00:00:00"/>
        <d v="2025-03-17T00:00:00"/>
        <d v="2023-05-08T00:00:00"/>
        <d v="2023-11-19T00:00:00"/>
        <d v="2023-02-22T00:00:00"/>
        <d v="2023-08-19T00:00:00"/>
        <d v="2023-07-15T00:00:00"/>
        <d v="2024-07-05T00:00:00"/>
        <d v="2024-03-26T00:00:00"/>
        <d v="2025-01-05T00:00:00"/>
        <d v="2024-03-01T00:00:00"/>
        <d v="2023-08-20T00:00:00"/>
        <d v="2025-02-05T00:00:00"/>
        <d v="2023-02-16T00:00:00"/>
        <d v="2024-12-07T00:00:00"/>
        <d v="2023-08-06T00:00:00"/>
        <d v="2023-01-27T00:00:00"/>
        <d v="2024-02-16T00:00:00"/>
        <d v="2024-06-01T00:00:00"/>
        <d v="2025-02-07T00:00:00"/>
        <d v="2023-12-16T00:00:00"/>
        <d v="2024-03-28T00:00:00"/>
        <d v="2023-08-05T00:00:00"/>
        <d v="2024-02-19T00:00:00"/>
        <d v="2023-11-14T00:00:00"/>
        <d v="2024-09-08T00:00:00"/>
        <d v="2023-11-07T00:00:00"/>
        <d v="2024-08-08T00:00:00"/>
        <d v="2023-04-07T00:00:00"/>
        <d v="2023-05-11T00:00:00"/>
        <d v="2025-02-28T00:00:00"/>
        <d v="2025-03-13T00:00:00"/>
        <d v="2023-04-04T00:00:00"/>
        <d v="2025-01-01T00:00:00"/>
        <d v="2024-05-26T00:00:00"/>
        <d v="2024-04-26T00:00:00"/>
        <d v="2023-02-12T00:00:00"/>
        <d v="2025-01-14T00:00:00"/>
        <d v="2023-03-10T00:00:00"/>
        <d v="2023-11-18T00:00:00"/>
        <d v="2023-05-19T00:00:00"/>
        <d v="2024-12-27T00:00:00"/>
        <d v="2023-11-21T00:00:00"/>
        <d v="2025-12-07T00:00:00"/>
        <d v="2023-11-17T00:00:00"/>
        <d v="2023-09-12T00:00:00"/>
        <d v="2024-01-10T00:00:00"/>
        <d v="2024-01-13T00:00:00"/>
        <d v="2024-11-28T00:00:00"/>
        <d v="2023-08-01T00:00:00"/>
        <d v="2023-11-01T00:00:00"/>
        <d v="2023-02-13T00:00:00"/>
        <d v="2023-04-13T00:00:00"/>
        <d v="2023-10-24T00:00:00"/>
        <d v="2024-10-16T00:00:00"/>
        <d v="2023-11-06T00:00:00"/>
        <d v="2023-08-15T00:00:00"/>
        <d v="2024-07-31T00:00:00"/>
        <d v="2024-06-09T00:00:00"/>
        <d v="2024-12-18T00:00:00"/>
        <d v="2023-11-02T00:00:00"/>
        <d v="2025-01-19T00:00:00"/>
        <d v="2024-11-26T00:00:00"/>
        <d v="2023-07-12T00:00:00"/>
        <d v="2024-01-04T00:00:00"/>
        <d v="2023-05-24T00:00:00"/>
        <d v="2024-06-28T00:00:00"/>
        <d v="2023-09-07T00:00:00"/>
        <d v="2023-12-06T00:00:00"/>
        <d v="2023-12-01T00:00:00"/>
        <d v="2024-02-02T00:00:00"/>
        <d v="2023-06-21T00:00:00"/>
        <d v="2024-09-27T00:00:00"/>
        <d v="2025-01-22T00:00:00"/>
        <d v="2025-02-25T00:00:00"/>
        <d v="2024-07-03T00:00:00"/>
        <d v="2024-01-19T00:00:00"/>
        <d v="2024-05-09T00:00:00"/>
        <d v="2023-06-13T00:00:00"/>
        <d v="2025-02-09T00:00:00"/>
        <d v="2024-02-06T00:00:00"/>
        <d v="2024-05-13T00:00:00"/>
        <d v="2024-01-29T00:00:00"/>
        <d v="2025-01-06T00:00:00"/>
        <d v="2023-07-31T00:00:00"/>
        <d v="2023-05-16T00:00:00"/>
        <d v="2023-11-27T00:00:00"/>
        <d v="2023-06-11T00:00:00"/>
        <d v="2024-10-26T00:00:00"/>
        <d v="2024-01-28T00:00:00"/>
        <d v="2024-08-31T00:00:00"/>
        <d v="2023-09-26T00:00:00"/>
        <d v="2023-09-02T00:00:00"/>
        <d v="2024-06-19T00:00:00"/>
        <d v="2024-12-30T00:00:00"/>
        <d v="2023-01-13T00:00:00"/>
        <d v="2024-05-29T00:00:00"/>
        <d v="2024-07-13T00:00:00"/>
        <d v="2024-06-26T00:00:00"/>
        <d v="2023-03-05T00:00:00"/>
        <d v="2024-11-30T00:00:00"/>
        <d v="2025-03-21T00:00:00"/>
        <d v="2025-09-28T00:00:00"/>
        <d v="2024-08-09T00:00:00"/>
        <d v="2024-05-06T00:00:00"/>
        <d v="2023-10-03T00:00:00"/>
        <d v="2025-11-11T00:00:00"/>
        <d v="2023-08-22T00:00:00"/>
        <d v="2023-02-27T00:00:00"/>
        <d v="2023-05-07T00:00:00"/>
        <d v="2024-04-22T00:00:00"/>
        <d v="2024-10-17T00:00:00"/>
        <d v="2023-09-23T00:00:00"/>
        <d v="2024-11-04T00:00:00"/>
        <d v="2024-08-20T00:00:00"/>
        <d v="2023-11-20T00:00:00"/>
        <d v="2023-11-26T00:00:00"/>
        <d v="2024-05-16T00:00:00"/>
        <d v="2024-12-29T00:00:00"/>
        <d v="2023-04-27T00:00:00"/>
        <d v="2023-01-14T00:00:00"/>
        <d v="2023-04-08T00:00:00"/>
        <d v="2023-10-06T00:00:00"/>
        <d v="2024-08-05T00:00:00"/>
        <d v="2023-06-19T00:00:00"/>
        <d v="2024-11-18T00:00:00"/>
        <d v="2024-10-10T00:00:00"/>
        <d v="2025-03-11T00:00:00"/>
        <d v="2024-09-06T00:00:00"/>
        <d v="2024-12-19T00:00:00"/>
        <d v="2023-10-01T00:00:00"/>
        <d v="2024-10-24T00:00:00"/>
        <d v="2023-09-19T00:00:00"/>
        <d v="2024-06-17T00:00:00"/>
        <d v="2025-01-11T00:00:00"/>
        <d v="2023-03-09T00:00:00"/>
        <d v="2024-03-19T00:00:00"/>
        <d v="2024-12-03T00:00:00"/>
        <d v="2023-03-29T00:00:00"/>
        <d v="2024-08-17T00:00:00"/>
        <d v="2024-08-03T00:00:00"/>
        <d v="2023-11-09T00:00:00"/>
        <d v="2025-03-01T00:00:00"/>
        <d v="2024-08-02T00:00:00"/>
        <d v="2024-04-25T00:00:00"/>
        <d v="2024-08-24T00:00:00"/>
        <d v="2023-03-20T00:00:00"/>
        <d v="2023-05-31T00:00:00"/>
        <d v="2024-02-25T00:00:00"/>
        <d v="2023-01-17T00:00:00"/>
        <d v="2024-03-15T00:00:00"/>
        <d v="2023-03-27T00:00:00"/>
        <d v="2024-01-06T00:00:00"/>
        <d v="2023-11-11T00:00:00"/>
        <d v="2024-02-03T00:00:00"/>
        <d v="2023-07-25T00:00:00"/>
        <d v="2023-01-05T00:00:00"/>
        <d v="2023-12-29T00:00:00"/>
        <d v="2024-09-25T00:00:00"/>
        <d v="2023-10-09T00:00:00"/>
        <d v="2024-12-16T00:00:00"/>
        <d v="2023-07-04T00:00:00"/>
        <d v="2024-10-07T00:00:00"/>
        <d v="2023-12-09T00:00:00"/>
        <d v="2024-11-20T00:00:00"/>
        <d v="2023-06-15T00:00:00"/>
        <d v="2025-01-15T00:00:00"/>
        <d v="2023-05-15T00:00:00"/>
        <d v="2023-10-27T00:00:00"/>
        <d v="2024-09-24T00:00:00"/>
        <d v="2023-04-03T00:00:00"/>
        <d v="2024-05-07T00:00:00"/>
        <d v="2023-06-07T00:00:00"/>
        <d v="2024-03-24T00:00:00"/>
        <d v="2024-01-11T00:00:00"/>
        <d v="2024-07-18T00:00:00"/>
        <d v="2025-02-23T00:00:00"/>
        <d v="2024-01-16T00:00:00"/>
        <d v="2024-04-16T00:00:00"/>
        <d v="2024-10-19T00:00:00"/>
        <d v="2024-07-06T00:00:00"/>
        <d v="2024-03-20T00:00:00"/>
        <d v="2024-01-18T00:00:00"/>
        <d v="2023-08-03T00:00:00"/>
        <d v="2023-03-03T00:00:00"/>
        <d v="2024-11-25T00:00:00"/>
        <d v="2024-02-28T00:00:00"/>
        <d v="2024-09-11T00:00:00"/>
        <d v="2024-09-23T00:00:00"/>
        <d v="2024-04-07T00:00:00"/>
        <d v="2023-09-14T00:00:00"/>
        <d v="2024-01-25T00:00:00"/>
        <d v="2024-05-25T00:00:00"/>
        <d v="2024-10-05T00:00:00"/>
        <d v="2023-10-19T00:00:00"/>
        <d v="2023-03-11T00:00:00"/>
        <d v="2023-12-13T00:00:00"/>
        <d v="2024-07-02T00:00:00"/>
        <d v="2024-09-01T00:00:00"/>
        <d v="2024-06-18T00:00:00"/>
        <d v="2023-11-23T00:00:00"/>
        <d v="2024-12-31T00:00:00"/>
        <d v="2024-08-29T00:00:00"/>
        <d v="2024-07-22T00:00:00"/>
        <d v="2024-08-16T00:00:00"/>
        <d v="2024-11-03T00:00:00"/>
        <d v="2025-12-05T00:00:00"/>
        <d v="2024-12-13T00:00:00"/>
        <d v="2024-08-11T00:00:00"/>
        <d v="2024-10-09T00:00:00"/>
        <d v="2023-01-20T00:00:00"/>
        <d v="2024-08-18T00:00:00"/>
        <d v="2024-12-11T00:00:00"/>
        <d v="2025-03-12T00:00:00"/>
        <d v="2023-06-02T00:00:00"/>
        <d v="2025-01-28T00:00:00"/>
        <d v="2024-05-11T00:00:00"/>
        <d v="2025-03-28T00:00:00"/>
        <d v="2024-11-21T00:00:00"/>
        <d v="2023-12-20T00:00:00"/>
        <d v="2025-03-19T00:00:00"/>
        <d v="2024-01-17T00:00:00"/>
        <d v="2024-08-10T00:00:00"/>
        <d v="2024-03-30T00:00:00"/>
        <d v="2024-08-27T00:00:00"/>
        <d v="2024-05-02T00:00:00"/>
        <d v="2024-01-05T00:00:00"/>
        <d v="2024-12-02T00:00:00"/>
        <d v="2025-02-21T00:00:00"/>
        <d v="2025-02-20T00:00:00"/>
        <d v="2023-10-23T00:00:00"/>
        <d v="2024-01-12T00:00:00"/>
        <d v="2023-07-23T00:00:00"/>
        <d v="2024-05-17T00:00:00"/>
        <d v="2023-02-06T00:00:00"/>
        <d v="2023-09-27T00:00:00"/>
        <d v="2024-10-02T00:00:00"/>
        <d v="2024-08-25T00:00:00"/>
        <d v="2023-12-11T00:00:00"/>
        <d v="2024-06-11T00:00:00"/>
        <d v="2024-07-27T00:00:00"/>
        <d v="2024-05-27T00:00:00"/>
        <d v="2024-03-09T00:00:00"/>
        <d v="2023-10-16T00:00:00"/>
        <d v="2023-01-11T00:00:00"/>
        <d v="2023-04-30T00:00:00"/>
        <d v="2025-07-21T00:00:00"/>
        <d v="2024-12-25T00:00:00"/>
        <d v="2023-03-14T00:00:00"/>
        <d v="2024-11-23T00:00:00"/>
        <d v="2025-03-16T00:00:00"/>
        <d v="2023-07-26T00:00:00"/>
        <d v="2024-08-28T00:00:00"/>
        <d v="2024-10-23T00:00:00"/>
        <d v="2023-02-18T00:00:00"/>
        <d v="2024-07-29T00:00:00"/>
        <d v="2024-04-30T00:00:00"/>
        <d v="2024-04-14T00:00:00"/>
        <d v="2023-03-04T00:00:00"/>
        <d v="2023-10-14T00:00:00"/>
        <d v="2025-01-12T00:00:00"/>
        <d v="2025-08-17T00:00:00"/>
        <d v="2024-04-10T00:00:00"/>
        <d v="2023-01-29T00:00:00"/>
        <d v="2024-11-05T00:00:00"/>
        <d v="2024-03-23T00:00:00"/>
        <d v="2023-06-23T00:00:00"/>
        <d v="2024-06-04T00:00:00"/>
      </sharedItems>
    </cacheField>
    <cacheField name="Encounter_Type" numFmtId="0">
      <sharedItems count="5">
        <s v="Inpatient"/>
        <s v="Outpatient"/>
        <s v="Follow-up"/>
        <s v="Telehealth"/>
        <s v="Emergency"/>
      </sharedItems>
    </cacheField>
    <cacheField name="Facility" numFmtId="0">
      <sharedItems count="5">
        <s v="Central District Hospital"/>
        <s v="Eastside Clinic"/>
        <s v="Riverside Specialist Centre"/>
        <s v="Community Health Centre"/>
        <s v="Metro Emergency Unit"/>
      </sharedItems>
    </cacheField>
    <cacheField name="County" numFmtId="0">
      <sharedItems count="10">
        <s v="Kisumu"/>
        <s v="Eldoret"/>
        <s v="Nairobi"/>
        <s v="Kitale"/>
        <s v="Thika"/>
        <s v="Mombasa"/>
        <s v="Malindi"/>
        <s v="Garissa"/>
        <s v="Nakuru"/>
        <s v="Nyeri"/>
      </sharedItems>
    </cacheField>
    <cacheField name="Provider" numFmtId="0">
      <sharedItems/>
    </cacheField>
    <cacheField name="Patient_DOB" numFmtId="164">
      <sharedItems containsSemiMixedTypes="0" containsNonDate="0" containsDate="1" containsString="0" minDate="1940-04-21T00:00:00" maxDate="2007-11-22T00:00:00"/>
    </cacheField>
    <cacheField name="Age_at_Encounter" numFmtId="0">
      <sharedItems containsSemiMixedTypes="0" containsString="0" containsNumber="1" minValue="17.402739726027399" maxValue="85"/>
    </cacheField>
    <cacheField name="Age Group" numFmtId="0">
      <sharedItems count="5">
        <s v="Young Adults"/>
        <s v="Middle Age"/>
        <s v="Senior Adults"/>
        <s v="Late middle Age"/>
        <s v="Adolescent"/>
      </sharedItems>
    </cacheField>
    <cacheField name="Sex" numFmtId="0">
      <sharedItems count="2">
        <s v="Male"/>
        <s v="Female"/>
      </sharedItems>
    </cacheField>
    <cacheField name="Ethnicity" numFmtId="0">
      <sharedItems/>
    </cacheField>
    <cacheField name="Insurance_Status" numFmtId="0">
      <sharedItems count="4">
        <s v="National Insurance"/>
        <s v="None"/>
        <s v="Private"/>
        <s v="Employer"/>
      </sharedItems>
    </cacheField>
    <cacheField name="Smoking_Status" numFmtId="0">
      <sharedItems count="4">
        <s v="Never"/>
        <s v="Unknown"/>
        <s v="Ex-smoker"/>
        <s v="Current"/>
      </sharedItems>
    </cacheField>
    <cacheField name="Alcohol_Use" numFmtId="0">
      <sharedItems count="4">
        <s v="None"/>
        <s v="Regular"/>
        <s v="Unknown"/>
        <s v="Occasional"/>
      </sharedItems>
    </cacheField>
    <cacheField name="Primary_ICD11_Code" numFmtId="0">
      <sharedItems/>
    </cacheField>
    <cacheField name="Disease Category" numFmtId="0">
      <sharedItems/>
    </cacheField>
    <cacheField name="Primary_Diagnosis" numFmtId="0">
      <sharedItems count="17">
        <s v="Iron deficiency anaemia"/>
        <s v="Type 1 diabetes mellitus"/>
        <s v="Chronic kidney disease stage 3"/>
        <s v="Epilepsy"/>
        <s v="Acute MI – STEMI"/>
        <s v="Gastro-oesophageal reflux disease"/>
        <s v="Hypertension + T2DM"/>
        <s v="Urinary tract infection"/>
        <s v="Asthma"/>
        <s v="Ischaemic stroke"/>
        <s v="COPD"/>
        <s v="Metabolic syndrome"/>
        <s v="Community-acquired pneumonia"/>
        <s v="Type 2 diabetes mellitus"/>
        <s v="Major depressive disorder"/>
        <s v="Obesity"/>
        <s v="Essential hypertension"/>
      </sharedItems>
    </cacheField>
    <cacheField name="Chronic_Condition" numFmtId="0">
      <sharedItems count="2">
        <s v="No"/>
        <s v="Yes"/>
      </sharedItems>
    </cacheField>
    <cacheField name="Current_Medications" numFmtId="0">
      <sharedItems/>
    </cacheField>
    <cacheField name="Num_Medications" numFmtId="0">
      <sharedItems containsSemiMixedTypes="0" containsString="0" containsNumber="1" containsInteger="1" minValue="1" maxValue="4"/>
    </cacheField>
    <cacheField name="LOINC Code" numFmtId="0">
      <sharedItems/>
    </cacheField>
    <cacheField name="Test Category" numFmtId="0">
      <sharedItems/>
    </cacheField>
    <cacheField name="Test Name" numFmtId="0">
      <sharedItems/>
    </cacheField>
    <cacheField name="Test Results" numFmtId="0">
      <sharedItems count="3">
        <s v="Normal"/>
        <s v="High"/>
        <s v="Low"/>
      </sharedItems>
    </cacheField>
    <cacheField name="HBA1C Category" numFmtId="0">
      <sharedItems/>
    </cacheField>
    <cacheField name="BP_Systolic_mmHg" numFmtId="0">
      <sharedItems containsMixedTypes="1" containsNumber="1" containsInteger="1" minValue="95" maxValue="185"/>
    </cacheField>
    <cacheField name="BP_Diastolic_mmHg" numFmtId="0">
      <sharedItems containsMixedTypes="1" containsNumber="1" containsInteger="1" minValue="55" maxValue="115"/>
    </cacheField>
    <cacheField name="BP Control" numFmtId="0">
      <sharedItems count="3">
        <s v="Controlled"/>
        <s v="Uncontrolled"/>
        <s v="No Reading"/>
      </sharedItems>
    </cacheField>
    <cacheField name="Blood Pressure Reading (mmHg)" numFmtId="0">
      <sharedItems/>
    </cacheField>
    <cacheField name="HR_bpm" numFmtId="0">
      <sharedItems containsSemiMixedTypes="0" containsString="0" containsNumber="1" containsInteger="1" minValue="50" maxValue="125"/>
    </cacheField>
    <cacheField name="RR_breaths_per_min" numFmtId="0">
      <sharedItems containsSemiMixedTypes="0" containsString="0" containsNumber="1" containsInteger="1" minValue="12" maxValue="28"/>
    </cacheField>
    <cacheField name="Temp_C" numFmtId="0">
      <sharedItems containsSemiMixedTypes="0" containsString="0" containsNumber="1" minValue="36" maxValue="39.200000000000003"/>
    </cacheField>
    <cacheField name="BMI_kg_m2" numFmtId="0">
      <sharedItems containsMixedTypes="1" containsNumber="1" minValue="17.5" maxValue="46"/>
    </cacheField>
    <cacheField name="BMI_Category" numFmtId="0">
      <sharedItems/>
    </cacheField>
    <cacheField name="SpO2_pct" numFmtId="0">
      <sharedItems containsSemiMixedTypes="0" containsString="0" containsNumber="1" containsInteger="1" minValue="87" maxValue="100"/>
    </cacheField>
    <cacheField name="LOINC_BP_Sys" numFmtId="0">
      <sharedItems/>
    </cacheField>
    <cacheField name="LOINC_BP_Dia" numFmtId="0">
      <sharedItems/>
    </cacheField>
    <cacheField name="LOINC_HR" numFmtId="0">
      <sharedItems/>
    </cacheField>
    <cacheField name="LOINC_BMI" numFmtId="0">
      <sharedItems/>
    </cacheField>
    <cacheField name="LOINC_SpO2" numFmtId="0">
      <sharedItems/>
    </cacheField>
  </cacheFields>
  <extLst>
    <ext xmlns:x14="http://schemas.microsoft.com/office/spreadsheetml/2009/9/main" uri="{725AE2AE-9491-48be-B2B4-4EB974FC3084}">
      <x14:pivotCacheDefinition pivotCacheId="1062368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8">
  <r>
    <s v="PID-0001"/>
    <s v="ENC-0001-01"/>
    <x v="0"/>
    <x v="0"/>
    <x v="0"/>
    <x v="0"/>
    <s v="Dr. T. Osei"/>
    <d v="2004-12-09T00:00:00"/>
    <n v="21"/>
    <x v="0"/>
    <x v="0"/>
    <s v="South Asian"/>
    <x v="0"/>
    <x v="0"/>
    <x v="0"/>
    <s v="3A00"/>
    <s v="Haematological"/>
    <x v="0"/>
    <x v="0"/>
    <s v="Metoprolol 50mg BD; Clopidogrel 75mg OD"/>
    <n v="2"/>
    <s v="2085-9"/>
    <s v="Biochemistry"/>
    <s v="HDL cholesterol"/>
    <x v="0"/>
    <s v="Not Tested"/>
    <n v="98"/>
    <n v="68"/>
    <x v="0"/>
    <s v="98/68"/>
    <n v="88"/>
    <n v="12"/>
    <n v="36.6"/>
    <n v="36"/>
    <s v="Obese"/>
    <n v="94"/>
    <s v="8480-6"/>
    <s v="8462-4"/>
    <s v="8867-4"/>
    <s v="39156-5"/>
    <s v="59408-5"/>
  </r>
  <r>
    <s v="PID-0002"/>
    <s v="ENC-0002-01"/>
    <x v="1"/>
    <x v="1"/>
    <x v="1"/>
    <x v="1"/>
    <s v="Dr. S. Okonkwo"/>
    <d v="1988-04-25T00:00:00"/>
    <n v="37"/>
    <x v="1"/>
    <x v="1"/>
    <s v="Middle Eastern"/>
    <x v="1"/>
    <x v="1"/>
    <x v="0"/>
    <s v="5A10"/>
    <s v="Endocrine"/>
    <x v="1"/>
    <x v="1"/>
    <s v="Clopidogrel 75mg OD; Warfarin (variable); Metformin 1g BD"/>
    <n v="3"/>
    <s v="718-7"/>
    <s v="Biochemistry"/>
    <s v="Haemoglobin"/>
    <x v="0"/>
    <s v="Not Tested"/>
    <n v="149"/>
    <n v="103"/>
    <x v="1"/>
    <s v="149/103"/>
    <n v="105"/>
    <n v="21"/>
    <n v="39.1"/>
    <n v="28.3"/>
    <s v="Non-Obese"/>
    <n v="94"/>
    <s v="8480-6"/>
    <s v="8462-4"/>
    <s v="8867-4"/>
    <s v="39156-5"/>
    <s v="59408-5"/>
  </r>
  <r>
    <s v="PID-0003"/>
    <s v="ENC-0003-01"/>
    <x v="2"/>
    <x v="1"/>
    <x v="1"/>
    <x v="2"/>
    <s v="Dr. F. Hassan"/>
    <d v="1995-07-09T00:00:00"/>
    <n v="30"/>
    <x v="0"/>
    <x v="0"/>
    <s v="East Asian"/>
    <x v="2"/>
    <x v="2"/>
    <x v="1"/>
    <s v="LA90"/>
    <s v="Renal"/>
    <x v="2"/>
    <x v="1"/>
    <s v="Bisoprolol 5mg OD; Prednisolone 5mg OD; Aspirin 75mg OD; Levothyroxine 50mcg OD"/>
    <n v="4"/>
    <s v="2160-0"/>
    <s v="Biochemistry"/>
    <s v="Serum creatinine"/>
    <x v="0"/>
    <s v="Not Tested"/>
    <n v="119"/>
    <n v="111"/>
    <x v="1"/>
    <s v="119/111"/>
    <n v="99"/>
    <n v="22"/>
    <n v="36.5"/>
    <n v="38.299999999999997"/>
    <s v="Obese"/>
    <n v="89"/>
    <s v="8480-6"/>
    <s v="8462-4"/>
    <s v="8867-4"/>
    <s v="39156-5"/>
    <s v="59408-5"/>
  </r>
  <r>
    <s v="PID-0003"/>
    <s v="ENC-0003-02"/>
    <x v="3"/>
    <x v="2"/>
    <x v="2"/>
    <x v="1"/>
    <s v="Dr. T. Osei"/>
    <d v="1995-07-09T00:00:00"/>
    <n v="30"/>
    <x v="0"/>
    <x v="0"/>
    <s v="Mixed/Other"/>
    <x v="2"/>
    <x v="2"/>
    <x v="1"/>
    <s v="LA90"/>
    <s v="Renal"/>
    <x v="2"/>
    <x v="1"/>
    <s v="Salbutamol 100mcg PRN; Bisoprolol 5mg OD; None; Aspirin 75mg OD"/>
    <n v="4"/>
    <s v="2345-7"/>
    <s v="Biochemistry"/>
    <s v="Serum glucose (fasting)"/>
    <x v="0"/>
    <s v="Not Tested"/>
    <n v="101"/>
    <n v="110"/>
    <x v="1"/>
    <s v="101/110"/>
    <n v="93"/>
    <n v="23"/>
    <n v="36.700000000000003"/>
    <n v="31.7"/>
    <s v="Obese"/>
    <n v="99"/>
    <s v="8480-6"/>
    <s v="8462-4"/>
    <s v="8867-4"/>
    <s v="39156-5"/>
    <s v="59408-5"/>
  </r>
  <r>
    <s v="PID-0003"/>
    <s v="ENC-0003-03"/>
    <x v="4"/>
    <x v="3"/>
    <x v="3"/>
    <x v="3"/>
    <s v="NP J. Nakamura"/>
    <d v="1995-07-09T00:00:00"/>
    <n v="30"/>
    <x v="0"/>
    <x v="0"/>
    <s v="Mixed/Other"/>
    <x v="2"/>
    <x v="2"/>
    <x v="1"/>
    <s v="LA90"/>
    <s v="Renal"/>
    <x v="2"/>
    <x v="1"/>
    <s v="Ramipril 5mg OD; Metformin 1g BD"/>
    <n v="2"/>
    <s v="2093-3"/>
    <s v="Biochemistry"/>
    <s v="Total cholesterol"/>
    <x v="0"/>
    <s v="Not Tested"/>
    <n v="128"/>
    <n v="115"/>
    <x v="1"/>
    <s v="128/115"/>
    <n v="60"/>
    <n v="20"/>
    <n v="38.4"/>
    <n v="42"/>
    <s v="Obese"/>
    <n v="89"/>
    <s v="8480-6"/>
    <s v="8462-4"/>
    <s v="8867-4"/>
    <s v="39156-5"/>
    <s v="59408-5"/>
  </r>
  <r>
    <s v="PID-0003"/>
    <s v="ENC-0003-04"/>
    <x v="5"/>
    <x v="4"/>
    <x v="3"/>
    <x v="2"/>
    <s v="Dr. Y. Kim"/>
    <d v="1995-07-09T00:00:00"/>
    <n v="30"/>
    <x v="0"/>
    <x v="0"/>
    <s v="Mixed/Other"/>
    <x v="2"/>
    <x v="2"/>
    <x v="1"/>
    <s v="LA90"/>
    <s v="Renal"/>
    <x v="2"/>
    <x v="1"/>
    <s v="Atorvastatin 40mg ON; Omeprazole 20mg OD; Ramipril 5mg OD"/>
    <n v="3"/>
    <s v="2777-1"/>
    <s v="Biochemistry"/>
    <s v="Serum phosphate"/>
    <x v="0"/>
    <s v="Not Tested"/>
    <n v="182"/>
    <n v="107"/>
    <x v="1"/>
    <s v="182/107"/>
    <n v="51"/>
    <n v="24"/>
    <n v="38.200000000000003"/>
    <n v="32.799999999999997"/>
    <s v="Obese"/>
    <n v="90"/>
    <s v="8480-6"/>
    <s v="8462-4"/>
    <s v="8867-4"/>
    <s v="39156-5"/>
    <s v="59408-5"/>
  </r>
  <r>
    <s v="PID-0003"/>
    <s v="ENC-0003-05"/>
    <x v="6"/>
    <x v="1"/>
    <x v="2"/>
    <x v="4"/>
    <s v="NP J. Nakamura"/>
    <d v="1995-07-09T00:00:00"/>
    <n v="30"/>
    <x v="0"/>
    <x v="0"/>
    <s v="Black African"/>
    <x v="2"/>
    <x v="2"/>
    <x v="1"/>
    <s v="LA90"/>
    <s v="Renal"/>
    <x v="2"/>
    <x v="1"/>
    <s v="Prednisolone 5mg OD; Empagliflozin 10mg OD"/>
    <n v="2"/>
    <s v="2823-3"/>
    <s v="Biochemistry"/>
    <s v="Serum potassium"/>
    <x v="0"/>
    <s v="Not Tested"/>
    <n v="111"/>
    <n v="110"/>
    <x v="1"/>
    <s v="111/110"/>
    <n v="115"/>
    <n v="17"/>
    <n v="38"/>
    <n v="34.9"/>
    <s v="Obese"/>
    <n v="89"/>
    <s v="8480-6"/>
    <s v="8462-4"/>
    <s v="8867-4"/>
    <s v="39156-5"/>
    <s v="59408-5"/>
  </r>
  <r>
    <s v="PID-0003"/>
    <s v="ENC-0003-06"/>
    <x v="7"/>
    <x v="1"/>
    <x v="2"/>
    <x v="0"/>
    <s v="Dr. L. Patel"/>
    <d v="1995-07-09T00:00:00"/>
    <n v="30"/>
    <x v="0"/>
    <x v="0"/>
    <s v="Hispanic/Latino"/>
    <x v="2"/>
    <x v="2"/>
    <x v="1"/>
    <s v="LA90"/>
    <s v="Renal"/>
    <x v="2"/>
    <x v="1"/>
    <s v="Dapagliflozin 10mg OD"/>
    <n v="1"/>
    <s v="2823-3"/>
    <s v="Biochemistry"/>
    <s v="Serum potassium"/>
    <x v="0"/>
    <s v="Not Tested"/>
    <n v="179"/>
    <n v="108"/>
    <x v="1"/>
    <s v="179/108"/>
    <n v="112"/>
    <n v="17"/>
    <n v="36.200000000000003"/>
    <n v="42.5"/>
    <s v="Obese"/>
    <n v="99"/>
    <s v="8480-6"/>
    <s v="8462-4"/>
    <s v="8867-4"/>
    <s v="39156-5"/>
    <s v="59408-5"/>
  </r>
  <r>
    <s v="PID-0004"/>
    <s v="ENC-0004-01"/>
    <x v="8"/>
    <x v="1"/>
    <x v="1"/>
    <x v="5"/>
    <s v="Dr. A. Mwangi"/>
    <d v="1986-05-17T00:00:00"/>
    <n v="39"/>
    <x v="1"/>
    <x v="1"/>
    <s v="Middle Eastern"/>
    <x v="0"/>
    <x v="3"/>
    <x v="2"/>
    <s v="8A25"/>
    <s v="Neurological"/>
    <x v="3"/>
    <x v="1"/>
    <s v="Amlodipine 5mg OD; Metformin 1g BD"/>
    <n v="2"/>
    <s v="6768-6"/>
    <s v="Biochemistry"/>
    <s v="ALP"/>
    <x v="1"/>
    <s v="Not Tested"/>
    <n v="129"/>
    <n v="109"/>
    <x v="1"/>
    <s v="129/109"/>
    <n v="84"/>
    <n v="16"/>
    <n v="36.200000000000003"/>
    <n v="18.100000000000001"/>
    <s v="Non-Obese"/>
    <n v="94"/>
    <s v="8480-6"/>
    <s v="8462-4"/>
    <s v="8867-4"/>
    <s v="39156-5"/>
    <s v="59408-5"/>
  </r>
  <r>
    <s v="PID-0004"/>
    <s v="ENC-0004-02"/>
    <x v="9"/>
    <x v="1"/>
    <x v="0"/>
    <x v="6"/>
    <s v="Dr. F. Hassan"/>
    <d v="1986-05-17T00:00:00"/>
    <n v="39"/>
    <x v="1"/>
    <x v="1"/>
    <s v="East Asian"/>
    <x v="0"/>
    <x v="3"/>
    <x v="2"/>
    <s v="8A25"/>
    <s v="Neurological"/>
    <x v="3"/>
    <x v="1"/>
    <s v="Aspirin 75mg OD; Dapagliflozin 10mg OD; Ramipril 5mg OD; Warfarin (variable)"/>
    <n v="4"/>
    <s v="789-8"/>
    <s v="Biochemistry"/>
    <s v="RBC count"/>
    <x v="1"/>
    <s v="Not Tested"/>
    <n v="101"/>
    <n v="69"/>
    <x v="0"/>
    <s v="101/69"/>
    <n v="100"/>
    <n v="15"/>
    <n v="36.4"/>
    <n v="44.2"/>
    <s v="Obese"/>
    <n v="94"/>
    <s v="8480-6"/>
    <s v="8462-4"/>
    <s v="8867-4"/>
    <s v="39156-5"/>
    <s v="59408-5"/>
  </r>
  <r>
    <s v="PID-0005"/>
    <s v="ENC-0005-01"/>
    <x v="10"/>
    <x v="2"/>
    <x v="0"/>
    <x v="5"/>
    <s v="Dr. R. Mendes"/>
    <d v="1948-12-02T00:00:00"/>
    <n v="77"/>
    <x v="2"/>
    <x v="1"/>
    <s v="White European"/>
    <x v="3"/>
    <x v="3"/>
    <x v="0"/>
    <s v="BA41"/>
    <s v="Cardiovascular"/>
    <x v="4"/>
    <x v="0"/>
    <s v="Lisinopril 10mg OD"/>
    <n v="1"/>
    <s v="17861-6"/>
    <s v="Biochemistry"/>
    <s v="Serum calcium"/>
    <x v="1"/>
    <s v="Not Tested"/>
    <n v="143"/>
    <n v="63"/>
    <x v="1"/>
    <s v="143/63"/>
    <n v="64"/>
    <n v="19"/>
    <n v="38.799999999999997"/>
    <n v="19.600000000000001"/>
    <s v="Non-Obese"/>
    <n v="98"/>
    <s v="8480-6"/>
    <s v="8462-4"/>
    <s v="8867-4"/>
    <s v="39156-5"/>
    <s v="59408-5"/>
  </r>
  <r>
    <s v="PID-0006"/>
    <s v="ENC-0006-01"/>
    <x v="11"/>
    <x v="1"/>
    <x v="2"/>
    <x v="7"/>
    <s v="Dr. A. Mwangi"/>
    <d v="1945-08-07T00:00:00"/>
    <n v="80"/>
    <x v="2"/>
    <x v="1"/>
    <s v="Hispanic/Latino"/>
    <x v="0"/>
    <x v="1"/>
    <x v="0"/>
    <s v="FA24"/>
    <s v="Gastroenterology"/>
    <x v="5"/>
    <x v="1"/>
    <s v="Salbutamol 100mcg PRN; Warfarin (variable); Omeprazole 20mg OD; Clopidogrel 75mg OD"/>
    <n v="4"/>
    <s v="2345-7"/>
    <s v="Biochemistry"/>
    <s v="Serum glucose (fasting)"/>
    <x v="0"/>
    <s v="Not Tested"/>
    <n v="178"/>
    <n v="102"/>
    <x v="1"/>
    <s v="178/102"/>
    <n v="71"/>
    <n v="23"/>
    <n v="38.299999999999997"/>
    <n v="39.799999999999997"/>
    <s v="Obese"/>
    <n v="96"/>
    <s v="8480-6"/>
    <s v="8462-4"/>
    <s v="8867-4"/>
    <s v="39156-5"/>
    <s v="59408-5"/>
  </r>
  <r>
    <s v="PID-0007"/>
    <s v="ENC-0007-01"/>
    <x v="12"/>
    <x v="2"/>
    <x v="2"/>
    <x v="7"/>
    <s v="Dr. F. Hassan"/>
    <d v="2000-01-19T00:00:00"/>
    <n v="25"/>
    <x v="0"/>
    <x v="1"/>
    <s v="South Asian"/>
    <x v="0"/>
    <x v="0"/>
    <x v="0"/>
    <s v="BA80,5A11"/>
    <s v="Multi-system"/>
    <x v="6"/>
    <x v="1"/>
    <s v="Ramipril 5mg OD"/>
    <n v="1"/>
    <s v="17861-6"/>
    <s v="Biochemistry"/>
    <s v="Serum calcium"/>
    <x v="1"/>
    <s v="Not Tested"/>
    <n v="149"/>
    <n v="96"/>
    <x v="1"/>
    <s v="149/96"/>
    <n v="68"/>
    <n v="14"/>
    <n v="38.799999999999997"/>
    <n v="24.5"/>
    <s v="Non-Obese"/>
    <n v="95"/>
    <s v="8480-6"/>
    <s v="8462-4"/>
    <s v="8867-4"/>
    <s v="39156-5"/>
    <s v="59408-5"/>
  </r>
  <r>
    <s v="PID-0007"/>
    <s v="ENC-0007-02"/>
    <x v="13"/>
    <x v="3"/>
    <x v="2"/>
    <x v="3"/>
    <s v="Dr. S. Okonkwo"/>
    <d v="2000-01-19T00:00:00"/>
    <n v="25"/>
    <x v="0"/>
    <x v="1"/>
    <s v="Black African"/>
    <x v="0"/>
    <x v="0"/>
    <x v="0"/>
    <s v="BA80,5A11"/>
    <s v="Multi-system"/>
    <x v="6"/>
    <x v="1"/>
    <s v="Amlodipine 5mg OD"/>
    <n v="1"/>
    <s v="6690-2"/>
    <s v="Biochemistry"/>
    <s v="WBC count"/>
    <x v="2"/>
    <s v="Not Tested"/>
    <n v="155"/>
    <n v="74"/>
    <x v="1"/>
    <s v="155/74"/>
    <n v="70"/>
    <n v="14"/>
    <n v="38.1"/>
    <n v="30.5"/>
    <s v="Obese"/>
    <n v="99"/>
    <s v="8480-6"/>
    <s v="8462-4"/>
    <s v="8867-4"/>
    <s v="39156-5"/>
    <s v="59408-5"/>
  </r>
  <r>
    <s v="PID-0007"/>
    <s v="ENC-0007-03"/>
    <x v="14"/>
    <x v="2"/>
    <x v="4"/>
    <x v="5"/>
    <s v="Dr. L. Patel"/>
    <d v="2000-01-19T00:00:00"/>
    <n v="25"/>
    <x v="0"/>
    <x v="1"/>
    <s v="South Asian"/>
    <x v="0"/>
    <x v="0"/>
    <x v="0"/>
    <s v="BA80,5A11"/>
    <s v="Multi-system"/>
    <x v="6"/>
    <x v="1"/>
    <s v="None; Empagliflozin 10mg OD; Amlodipine 5mg OD"/>
    <n v="3"/>
    <s v="2093-3"/>
    <s v="Biochemistry"/>
    <s v="Total cholesterol"/>
    <x v="0"/>
    <s v="Not Tested"/>
    <n v="114"/>
    <n v="71"/>
    <x v="0"/>
    <s v="114/71"/>
    <n v="120"/>
    <n v="26"/>
    <n v="38.799999999999997"/>
    <n v="28"/>
    <s v="Non-Obese"/>
    <n v="89"/>
    <s v="8480-6"/>
    <s v="8462-4"/>
    <s v="8867-4"/>
    <s v="39156-5"/>
    <s v="59408-5"/>
  </r>
  <r>
    <s v="PID-0007"/>
    <s v="ENC-0007-04"/>
    <x v="15"/>
    <x v="1"/>
    <x v="0"/>
    <x v="6"/>
    <s v="Dr. Y. Kim"/>
    <d v="2000-01-19T00:00:00"/>
    <n v="25"/>
    <x v="0"/>
    <x v="1"/>
    <s v="Black African"/>
    <x v="0"/>
    <x v="0"/>
    <x v="0"/>
    <s v="BA80,5A11"/>
    <s v="Multi-system"/>
    <x v="6"/>
    <x v="1"/>
    <s v="Empagliflozin 10mg OD; Dapagliflozin 10mg OD; Bisoprolol 5mg OD"/>
    <n v="3"/>
    <s v="13457-7"/>
    <s v="Biochemistry"/>
    <s v="LDL cholesterol"/>
    <x v="1"/>
    <s v="Not Tested"/>
    <n v="175"/>
    <n v="100"/>
    <x v="1"/>
    <s v="175/100"/>
    <n v="62"/>
    <n v="17"/>
    <n v="36.700000000000003"/>
    <n v="27.3"/>
    <s v="Non-Obese"/>
    <n v="96"/>
    <s v="8480-6"/>
    <s v="8462-4"/>
    <s v="8867-4"/>
    <s v="39156-5"/>
    <s v="59408-5"/>
  </r>
  <r>
    <s v="PID-0007"/>
    <s v="ENC-0007-05"/>
    <x v="16"/>
    <x v="4"/>
    <x v="2"/>
    <x v="2"/>
    <s v="Dr. F. Hassan"/>
    <d v="2000-01-19T00:00:00"/>
    <n v="25"/>
    <x v="0"/>
    <x v="1"/>
    <s v="Mixed/Other"/>
    <x v="0"/>
    <x v="0"/>
    <x v="0"/>
    <s v="BA80,5A11"/>
    <s v="Multi-system"/>
    <x v="6"/>
    <x v="1"/>
    <s v="Metformin 1g BD"/>
    <n v="1"/>
    <s v="789-8"/>
    <s v="Biochemistry"/>
    <s v="RBC count"/>
    <x v="1"/>
    <s v="Not Tested"/>
    <n v="125"/>
    <n v="63"/>
    <x v="0"/>
    <s v="125/63"/>
    <n v="123"/>
    <n v="15"/>
    <n v="37.4"/>
    <n v="37.6"/>
    <s v="Obese"/>
    <n v="94"/>
    <s v="8480-6"/>
    <s v="8462-4"/>
    <s v="8867-4"/>
    <s v="39156-5"/>
    <s v="59408-5"/>
  </r>
  <r>
    <s v="PID-0008"/>
    <s v="ENC-0008-01"/>
    <x v="17"/>
    <x v="1"/>
    <x v="1"/>
    <x v="4"/>
    <s v="Dr. T. Osei"/>
    <d v="1952-03-02T00:00:00"/>
    <n v="73"/>
    <x v="2"/>
    <x v="0"/>
    <s v="Middle Eastern"/>
    <x v="1"/>
    <x v="3"/>
    <x v="3"/>
    <s v="LD27"/>
    <s v="Genitourinary"/>
    <x v="7"/>
    <x v="0"/>
    <s v="Furosemide 40mg OD; Ramipril 5mg OD"/>
    <n v="2"/>
    <s v="13457-7"/>
    <s v="Biochemistry"/>
    <s v="LDL cholesterol"/>
    <x v="1"/>
    <s v="Not Tested"/>
    <n v="104"/>
    <n v="102"/>
    <x v="1"/>
    <s v="104/102"/>
    <n v="116"/>
    <n v="19"/>
    <n v="38"/>
    <n v="21.9"/>
    <s v="Non-Obese"/>
    <n v="99"/>
    <s v="8480-6"/>
    <s v="8462-4"/>
    <s v="8867-4"/>
    <s v="39156-5"/>
    <s v="59408-5"/>
  </r>
  <r>
    <s v="PID-0008"/>
    <s v="ENC-0008-02"/>
    <x v="18"/>
    <x v="0"/>
    <x v="4"/>
    <x v="8"/>
    <s v="Dr. R. Mendes"/>
    <d v="1952-03-02T00:00:00"/>
    <n v="73"/>
    <x v="2"/>
    <x v="0"/>
    <s v="Black African"/>
    <x v="1"/>
    <x v="3"/>
    <x v="3"/>
    <s v="LD27"/>
    <s v="Genitourinary"/>
    <x v="7"/>
    <x v="0"/>
    <s v="Warfarin (variable); Metoprolol 50mg BD"/>
    <n v="2"/>
    <s v="2160-0"/>
    <s v="Biochemistry"/>
    <s v="Serum creatinine"/>
    <x v="0"/>
    <s v="Not Tested"/>
    <n v="173"/>
    <n v="104"/>
    <x v="1"/>
    <s v="173/104"/>
    <n v="70"/>
    <n v="25"/>
    <n v="36.299999999999997"/>
    <n v="42.4"/>
    <s v="Obese"/>
    <n v="98"/>
    <s v="8480-6"/>
    <s v="8462-4"/>
    <s v="8867-4"/>
    <s v="39156-5"/>
    <s v="59408-5"/>
  </r>
  <r>
    <s v="PID-0009"/>
    <s v="ENC-0009-01"/>
    <x v="15"/>
    <x v="3"/>
    <x v="2"/>
    <x v="8"/>
    <s v="Dr. Y. Kim"/>
    <d v="1956-06-09T00:00:00"/>
    <n v="69"/>
    <x v="2"/>
    <x v="0"/>
    <s v="Black African"/>
    <x v="2"/>
    <x v="1"/>
    <x v="1"/>
    <s v="CA80"/>
    <s v="Respiratory"/>
    <x v="8"/>
    <x v="1"/>
    <s v="Ramipril 5mg OD; Empagliflozin 10mg OD; Atorvastatin 40mg ON"/>
    <n v="3"/>
    <s v="2093-3"/>
    <s v="Biochemistry"/>
    <s v="Total cholesterol"/>
    <x v="0"/>
    <s v="Not Tested"/>
    <n v="174"/>
    <n v="71"/>
    <x v="1"/>
    <s v="174/71"/>
    <n v="94"/>
    <n v="28"/>
    <n v="36.1"/>
    <n v="34.5"/>
    <s v="Obese"/>
    <n v="91"/>
    <s v="8480-6"/>
    <s v="8462-4"/>
    <s v="8867-4"/>
    <s v="39156-5"/>
    <s v="59408-5"/>
  </r>
  <r>
    <s v="PID-0009"/>
    <s v="ENC-0009-02"/>
    <x v="19"/>
    <x v="0"/>
    <x v="2"/>
    <x v="1"/>
    <s v="Dr. T. Osei"/>
    <d v="1956-06-09T00:00:00"/>
    <n v="69"/>
    <x v="2"/>
    <x v="0"/>
    <s v="South Asian"/>
    <x v="2"/>
    <x v="1"/>
    <x v="1"/>
    <s v="CA80"/>
    <s v="Respiratory"/>
    <x v="8"/>
    <x v="1"/>
    <s v="Metformin 1g BD; Levothyroxine 50mcg OD; Clopidogrel 75mg OD; Atorvastatin 40mg ON"/>
    <n v="4"/>
    <s v="2951-2"/>
    <s v="Biochemistry"/>
    <s v="Serum sodium"/>
    <x v="2"/>
    <s v="Not Tested"/>
    <n v="134"/>
    <n v="86"/>
    <x v="0"/>
    <s v="134/86"/>
    <n v="110"/>
    <n v="23"/>
    <n v="39"/>
    <n v="38.5"/>
    <s v="Obese"/>
    <n v="90"/>
    <s v="8480-6"/>
    <s v="8462-4"/>
    <s v="8867-4"/>
    <s v="39156-5"/>
    <s v="59408-5"/>
  </r>
  <r>
    <s v="PID-0009"/>
    <s v="ENC-0009-03"/>
    <x v="20"/>
    <x v="0"/>
    <x v="4"/>
    <x v="8"/>
    <s v="Dr. T. Osei"/>
    <d v="1956-06-09T00:00:00"/>
    <n v="69"/>
    <x v="2"/>
    <x v="0"/>
    <s v="Middle Eastern"/>
    <x v="2"/>
    <x v="1"/>
    <x v="1"/>
    <s v="CA80"/>
    <s v="Respiratory"/>
    <x v="8"/>
    <x v="1"/>
    <s v="Amlodipine 10mg OD; Prednisolone 5mg OD; Amlodipine 5mg OD"/>
    <n v="3"/>
    <s v="789-8"/>
    <s v="Biochemistry"/>
    <s v="RBC count"/>
    <x v="1"/>
    <s v="Not Tested"/>
    <n v="158"/>
    <n v="88"/>
    <x v="1"/>
    <s v="158/88"/>
    <n v="64"/>
    <n v="23"/>
    <n v="37.200000000000003"/>
    <n v="38.799999999999997"/>
    <s v="Obese"/>
    <n v="89"/>
    <s v="8480-6"/>
    <s v="8462-4"/>
    <s v="8867-4"/>
    <s v="39156-5"/>
    <s v="59408-5"/>
  </r>
  <r>
    <s v="PID-0010"/>
    <s v="ENC-0010-01"/>
    <x v="21"/>
    <x v="4"/>
    <x v="3"/>
    <x v="3"/>
    <s v="Dr. S. Okonkwo"/>
    <d v="1948-08-15T00:00:00"/>
    <n v="77"/>
    <x v="2"/>
    <x v="1"/>
    <s v="East Asian"/>
    <x v="3"/>
    <x v="2"/>
    <x v="0"/>
    <s v="8A00"/>
    <s v="Neurological"/>
    <x v="9"/>
    <x v="0"/>
    <s v="Lisinopril 10mg OD"/>
    <n v="1"/>
    <s v="2777-1"/>
    <s v="Biochemistry"/>
    <s v="Serum phosphate"/>
    <x v="0"/>
    <s v="Not Tested"/>
    <n v="152"/>
    <n v="75"/>
    <x v="1"/>
    <s v="152/75"/>
    <n v="111"/>
    <n v="24"/>
    <n v="38.200000000000003"/>
    <n v="23.9"/>
    <s v="Non-Obese"/>
    <n v="90"/>
    <s v="8480-6"/>
    <s v="8462-4"/>
    <s v="8867-4"/>
    <s v="39156-5"/>
    <s v="59408-5"/>
  </r>
  <r>
    <s v="PID-0010"/>
    <s v="ENC-0010-02"/>
    <x v="22"/>
    <x v="4"/>
    <x v="1"/>
    <x v="7"/>
    <s v="NP J. Nakamura"/>
    <d v="1948-08-15T00:00:00"/>
    <n v="77"/>
    <x v="2"/>
    <x v="1"/>
    <s v="Black African"/>
    <x v="3"/>
    <x v="2"/>
    <x v="0"/>
    <s v="8A00"/>
    <s v="Neurological"/>
    <x v="9"/>
    <x v="0"/>
    <s v="Ramipril 5mg OD"/>
    <n v="1"/>
    <s v="13457-7"/>
    <s v="Biochemistry"/>
    <s v="LDL cholesterol"/>
    <x v="1"/>
    <s v="Not Tested"/>
    <n v="175"/>
    <n v="90"/>
    <x v="1"/>
    <s v="175/90"/>
    <n v="104"/>
    <n v="18"/>
    <n v="37.299999999999997"/>
    <n v="21.7"/>
    <s v="Non-Obese"/>
    <n v="96"/>
    <s v="8480-6"/>
    <s v="8462-4"/>
    <s v="8867-4"/>
    <s v="39156-5"/>
    <s v="59408-5"/>
  </r>
  <r>
    <s v="PID-0010"/>
    <s v="ENC-0010-03"/>
    <x v="23"/>
    <x v="4"/>
    <x v="3"/>
    <x v="9"/>
    <s v="Dr. Y. Kim"/>
    <d v="1948-08-15T00:00:00"/>
    <n v="77"/>
    <x v="2"/>
    <x v="1"/>
    <s v="Middle Eastern"/>
    <x v="3"/>
    <x v="2"/>
    <x v="0"/>
    <s v="8A00"/>
    <s v="Neurological"/>
    <x v="9"/>
    <x v="0"/>
    <s v="None; Empagliflozin 10mg OD; Ramipril 5mg OD; Metoprolol 50mg BD"/>
    <n v="4"/>
    <s v="17861-6"/>
    <s v="Biochemistry"/>
    <s v="Serum calcium"/>
    <x v="1"/>
    <s v="Not Tested"/>
    <n v="117"/>
    <n v="106"/>
    <x v="1"/>
    <s v="117/106"/>
    <n v="84"/>
    <n v="25"/>
    <n v="38.1"/>
    <n v="45.7"/>
    <s v="Obese"/>
    <n v="95"/>
    <s v="8480-6"/>
    <s v="8462-4"/>
    <s v="8867-4"/>
    <s v="39156-5"/>
    <s v="59408-5"/>
  </r>
  <r>
    <s v="PID-0011"/>
    <s v="ENC-0011-01"/>
    <x v="24"/>
    <x v="1"/>
    <x v="1"/>
    <x v="6"/>
    <s v="Dr. T. Osei"/>
    <d v="1972-09-16T00:00:00"/>
    <n v="53"/>
    <x v="3"/>
    <x v="0"/>
    <s v="Middle Eastern"/>
    <x v="3"/>
    <x v="0"/>
    <x v="1"/>
    <s v="3A00"/>
    <s v="Haematological"/>
    <x v="0"/>
    <x v="0"/>
    <s v="Levothyroxine 50mcg OD; Prednisolone 5mg OD; Metoprolol 50mg BD; Ramipril 5mg OD"/>
    <n v="4"/>
    <s v="6690-2"/>
    <s v="Biochemistry"/>
    <s v="WBC count"/>
    <x v="2"/>
    <s v="Not Tested"/>
    <n v="124"/>
    <n v="87"/>
    <x v="0"/>
    <s v="124/87"/>
    <n v="60"/>
    <n v="16"/>
    <n v="38.200000000000003"/>
    <n v="37.6"/>
    <s v="Obese"/>
    <n v="88"/>
    <s v="8480-6"/>
    <s v="8462-4"/>
    <s v="8867-4"/>
    <s v="39156-5"/>
    <s v="59408-5"/>
  </r>
  <r>
    <s v="PID-0011"/>
    <s v="ENC-0011-02"/>
    <x v="25"/>
    <x v="3"/>
    <x v="1"/>
    <x v="1"/>
    <s v="Dr. T. Osei"/>
    <d v="1972-09-16T00:00:00"/>
    <n v="53"/>
    <x v="3"/>
    <x v="0"/>
    <s v="East Asian"/>
    <x v="3"/>
    <x v="0"/>
    <x v="1"/>
    <s v="3A00"/>
    <s v="Haematological"/>
    <x v="0"/>
    <x v="0"/>
    <s v="Ramipril 5mg OD; Prednisolone 5mg OD; Clopidogrel 75mg OD; Aspirin 75mg OD"/>
    <n v="4"/>
    <s v="17861-6"/>
    <s v="Biochemistry"/>
    <s v="Serum calcium"/>
    <x v="1"/>
    <s v="Not Tested"/>
    <n v="180"/>
    <n v="56"/>
    <x v="1"/>
    <s v="180/56"/>
    <n v="116"/>
    <n v="21"/>
    <n v="37.5"/>
    <n v="44.4"/>
    <s v="Obese"/>
    <n v="91"/>
    <s v="8480-6"/>
    <s v="8462-4"/>
    <s v="8867-4"/>
    <s v="39156-5"/>
    <s v="59408-5"/>
  </r>
  <r>
    <s v="PID-0012"/>
    <s v="ENC-0012-01"/>
    <x v="26"/>
    <x v="3"/>
    <x v="4"/>
    <x v="8"/>
    <s v="NP J. Nakamura"/>
    <d v="1958-06-22T00:00:00"/>
    <n v="67"/>
    <x v="2"/>
    <x v="0"/>
    <s v="South Asian"/>
    <x v="0"/>
    <x v="1"/>
    <x v="3"/>
    <s v="FA24"/>
    <s v="Gastroenterology"/>
    <x v="5"/>
    <x v="1"/>
    <s v="Bisoprolol 5mg OD"/>
    <n v="1"/>
    <s v="2085-9"/>
    <s v="Biochemistry"/>
    <s v="HDL cholesterol"/>
    <x v="0"/>
    <s v="Not Tested"/>
    <n v="97"/>
    <n v="79"/>
    <x v="0"/>
    <s v="97/79"/>
    <n v="92"/>
    <n v="12"/>
    <n v="38.1"/>
    <n v="21.4"/>
    <s v="Non-Obese"/>
    <n v="93"/>
    <s v="8480-6"/>
    <s v="8462-4"/>
    <s v="8867-4"/>
    <s v="39156-5"/>
    <s v="59408-5"/>
  </r>
  <r>
    <s v="PID-0012"/>
    <s v="ENC-0012-02"/>
    <x v="27"/>
    <x v="4"/>
    <x v="0"/>
    <x v="2"/>
    <s v="Dr. A. Mwangi"/>
    <d v="1958-06-22T00:00:00"/>
    <n v="67"/>
    <x v="2"/>
    <x v="0"/>
    <s v="White European"/>
    <x v="0"/>
    <x v="1"/>
    <x v="3"/>
    <s v="FA24"/>
    <s v="Gastroenterology"/>
    <x v="5"/>
    <x v="1"/>
    <s v="Insulin glargine 20u ON"/>
    <n v="1"/>
    <s v="17861-6"/>
    <s v="Biochemistry"/>
    <s v="Serum calcium"/>
    <x v="1"/>
    <s v="Not Tested"/>
    <n v="164"/>
    <n v="78"/>
    <x v="1"/>
    <s v="164/78"/>
    <n v="106"/>
    <n v="25"/>
    <n v="36.799999999999997"/>
    <n v="19.8"/>
    <s v="Non-Obese"/>
    <n v="87"/>
    <s v="8480-6"/>
    <s v="8462-4"/>
    <s v="8867-4"/>
    <s v="39156-5"/>
    <s v="59408-5"/>
  </r>
  <r>
    <s v="PID-0012"/>
    <s v="ENC-0012-03"/>
    <x v="28"/>
    <x v="4"/>
    <x v="4"/>
    <x v="5"/>
    <s v="Dr. A. Mwangi"/>
    <d v="1958-06-22T00:00:00"/>
    <n v="67"/>
    <x v="2"/>
    <x v="0"/>
    <s v="South Asian"/>
    <x v="0"/>
    <x v="1"/>
    <x v="3"/>
    <s v="FA24"/>
    <s v="Gastroenterology"/>
    <x v="5"/>
    <x v="1"/>
    <s v="Insulin glargine 20u ON; Furosemide 40mg OD; Atorvastatin 40mg ON"/>
    <n v="3"/>
    <s v="17861-6"/>
    <s v="Biochemistry"/>
    <s v="Serum calcium"/>
    <x v="1"/>
    <s v="Not Tested"/>
    <n v="171"/>
    <n v="92"/>
    <x v="1"/>
    <s v="171/92"/>
    <n v="68"/>
    <n v="20"/>
    <n v="36.4"/>
    <n v="44.5"/>
    <s v="Obese"/>
    <n v="93"/>
    <s v="8480-6"/>
    <s v="8462-4"/>
    <s v="8867-4"/>
    <s v="39156-5"/>
    <s v="59408-5"/>
  </r>
  <r>
    <s v="PID-0012"/>
    <s v="ENC-0012-04"/>
    <x v="29"/>
    <x v="2"/>
    <x v="0"/>
    <x v="3"/>
    <s v="Dr. A. Mwangi"/>
    <d v="1958-06-22T00:00:00"/>
    <n v="67"/>
    <x v="2"/>
    <x v="0"/>
    <s v="South Asian"/>
    <x v="0"/>
    <x v="1"/>
    <x v="3"/>
    <s v="FA24"/>
    <s v="Gastroenterology"/>
    <x v="5"/>
    <x v="1"/>
    <s v="Omeprazole 20mg OD"/>
    <n v="1"/>
    <s v="2093-3"/>
    <s v="Biochemistry"/>
    <s v="Total cholesterol"/>
    <x v="0"/>
    <s v="Not Tested"/>
    <n v="156"/>
    <n v="112"/>
    <x v="1"/>
    <s v="156/112"/>
    <n v="80"/>
    <n v="23"/>
    <n v="36.200000000000003"/>
    <n v="37.200000000000003"/>
    <s v="Obese"/>
    <n v="95"/>
    <s v="8480-6"/>
    <s v="8462-4"/>
    <s v="8867-4"/>
    <s v="39156-5"/>
    <s v="59408-5"/>
  </r>
  <r>
    <s v="PID-0012"/>
    <s v="ENC-0012-05"/>
    <x v="30"/>
    <x v="4"/>
    <x v="2"/>
    <x v="1"/>
    <s v="NP J. Nakamura"/>
    <d v="1958-06-22T00:00:00"/>
    <n v="67"/>
    <x v="2"/>
    <x v="0"/>
    <s v="East Asian"/>
    <x v="0"/>
    <x v="1"/>
    <x v="3"/>
    <s v="FA24"/>
    <s v="Gastroenterology"/>
    <x v="5"/>
    <x v="1"/>
    <s v="Metoprolol 50mg BD; Salbutamol 100mcg PRN; Ramipril 5mg OD"/>
    <n v="3"/>
    <s v="718-7"/>
    <s v="Biochemistry"/>
    <s v="Haemoglobin"/>
    <x v="0"/>
    <s v="Not Tested"/>
    <n v="134"/>
    <n v="77"/>
    <x v="0"/>
    <s v="134/77"/>
    <n v="88"/>
    <n v="17"/>
    <n v="38.700000000000003"/>
    <n v="40.9"/>
    <s v="Obese"/>
    <n v="88"/>
    <s v="8480-6"/>
    <s v="8462-4"/>
    <s v="8867-4"/>
    <s v="39156-5"/>
    <s v="59408-5"/>
  </r>
  <r>
    <s v="PID-0012"/>
    <s v="ENC-0012-06"/>
    <x v="31"/>
    <x v="3"/>
    <x v="4"/>
    <x v="0"/>
    <s v="NP J. Nakamura"/>
    <d v="1958-06-22T00:00:00"/>
    <n v="67"/>
    <x v="2"/>
    <x v="0"/>
    <s v="White European"/>
    <x v="0"/>
    <x v="1"/>
    <x v="3"/>
    <s v="FA24"/>
    <s v="Gastroenterology"/>
    <x v="5"/>
    <x v="1"/>
    <s v="Clopidogrel 75mg OD; Amlodipine 10mg OD; Levothyroxine 50mcg OD; Amlodipine 5mg OD"/>
    <n v="4"/>
    <s v="17861-6"/>
    <s v="Biochemistry"/>
    <s v="Serum calcium"/>
    <x v="1"/>
    <s v="Not Tested"/>
    <n v="169"/>
    <n v="91"/>
    <x v="1"/>
    <s v="169/91"/>
    <n v="74"/>
    <n v="16"/>
    <n v="39"/>
    <n v="25.4"/>
    <s v="Non-Obese"/>
    <n v="93"/>
    <s v="8480-6"/>
    <s v="8462-4"/>
    <s v="8867-4"/>
    <s v="39156-5"/>
    <s v="59408-5"/>
  </r>
  <r>
    <s v="PID-0013"/>
    <s v="ENC-0013-01"/>
    <x v="32"/>
    <x v="0"/>
    <x v="2"/>
    <x v="4"/>
    <s v="NP J. Nakamura"/>
    <d v="1974-06-09T00:00:00"/>
    <n v="51"/>
    <x v="3"/>
    <x v="1"/>
    <s v="Mixed/Other"/>
    <x v="1"/>
    <x v="2"/>
    <x v="0"/>
    <s v="CA22"/>
    <s v="Respiratory"/>
    <x v="10"/>
    <x v="1"/>
    <s v="Amlodipine 10mg OD; Aspirin 75mg OD"/>
    <n v="2"/>
    <s v="718-7"/>
    <s v="Biochemistry"/>
    <s v="Haemoglobin"/>
    <x v="0"/>
    <s v="Not Tested"/>
    <n v="139"/>
    <n v="100"/>
    <x v="1"/>
    <s v="139/100"/>
    <n v="102"/>
    <n v="22"/>
    <n v="37.6"/>
    <n v="40.1"/>
    <s v="Obese"/>
    <n v="88"/>
    <s v="8480-6"/>
    <s v="8462-4"/>
    <s v="8867-4"/>
    <s v="39156-5"/>
    <s v="59408-5"/>
  </r>
  <r>
    <s v="PID-0013"/>
    <s v="ENC-0013-02"/>
    <x v="33"/>
    <x v="2"/>
    <x v="1"/>
    <x v="8"/>
    <s v="Dr. R. Mendes"/>
    <d v="1974-06-09T00:00:00"/>
    <n v="51"/>
    <x v="3"/>
    <x v="1"/>
    <s v="Hispanic/Latino"/>
    <x v="1"/>
    <x v="2"/>
    <x v="0"/>
    <s v="CA22"/>
    <s v="Respiratory"/>
    <x v="10"/>
    <x v="1"/>
    <s v="Levothyroxine 50mcg OD; Atorvastatin 40mg ON"/>
    <n v="2"/>
    <s v="6768-6"/>
    <s v="Biochemistry"/>
    <s v="ALP"/>
    <x v="1"/>
    <s v="Not Tested"/>
    <n v="126"/>
    <n v="115"/>
    <x v="1"/>
    <s v="126/115"/>
    <n v="91"/>
    <n v="18"/>
    <n v="37.5"/>
    <n v="26.2"/>
    <s v="Non-Obese"/>
    <n v="90"/>
    <s v="8480-6"/>
    <s v="8462-4"/>
    <s v="8867-4"/>
    <s v="39156-5"/>
    <s v="59408-5"/>
  </r>
  <r>
    <s v="PID-0013"/>
    <s v="ENC-0013-03"/>
    <x v="34"/>
    <x v="2"/>
    <x v="1"/>
    <x v="1"/>
    <s v="Dr. A. Mwangi"/>
    <d v="1974-06-09T00:00:00"/>
    <n v="51"/>
    <x v="3"/>
    <x v="1"/>
    <s v="Black African"/>
    <x v="1"/>
    <x v="2"/>
    <x v="0"/>
    <s v="CA22"/>
    <s v="Respiratory"/>
    <x v="10"/>
    <x v="1"/>
    <s v="Furosemide 40mg OD; Omeprazole 20mg OD; Amlodipine 5mg OD"/>
    <n v="3"/>
    <s v="14627-4"/>
    <s v="Biochemistry"/>
    <s v="eGFR (CKD-EPI)"/>
    <x v="1"/>
    <s v="Not Tested"/>
    <n v="120"/>
    <n v="90"/>
    <x v="1"/>
    <s v="120/90"/>
    <n v="107"/>
    <n v="22"/>
    <n v="39.1"/>
    <n v="41.2"/>
    <s v="Obese"/>
    <n v="91"/>
    <s v="8480-6"/>
    <s v="8462-4"/>
    <s v="8867-4"/>
    <s v="39156-5"/>
    <s v="59408-5"/>
  </r>
  <r>
    <s v="PID-0013"/>
    <s v="ENC-0013-04"/>
    <x v="35"/>
    <x v="0"/>
    <x v="3"/>
    <x v="5"/>
    <s v="Dr. S. Okonkwo"/>
    <d v="1974-06-09T00:00:00"/>
    <n v="51"/>
    <x v="3"/>
    <x v="1"/>
    <s v="East Asian"/>
    <x v="1"/>
    <x v="2"/>
    <x v="0"/>
    <s v="CA22"/>
    <s v="Respiratory"/>
    <x v="10"/>
    <x v="1"/>
    <s v="Metoprolol 50mg BD; Levothyroxine 50mcg OD; Furosemide 40mg OD; Lisinopril 10mg OD"/>
    <n v="4"/>
    <s v="2823-3"/>
    <s v="Biochemistry"/>
    <s v="Serum potassium"/>
    <x v="0"/>
    <s v="Not Tested"/>
    <n v="121"/>
    <n v="112"/>
    <x v="1"/>
    <s v="121/112"/>
    <n v="98"/>
    <n v="24"/>
    <n v="36.299999999999997"/>
    <n v="17.8"/>
    <s v="Non-Obese"/>
    <n v="91"/>
    <s v="8480-6"/>
    <s v="8462-4"/>
    <s v="8867-4"/>
    <s v="39156-5"/>
    <s v="59408-5"/>
  </r>
  <r>
    <s v="PID-0013"/>
    <s v="ENC-0013-05"/>
    <x v="36"/>
    <x v="3"/>
    <x v="2"/>
    <x v="3"/>
    <s v="Dr. R. Mendes"/>
    <d v="1974-06-09T00:00:00"/>
    <n v="51"/>
    <x v="3"/>
    <x v="1"/>
    <s v="Middle Eastern"/>
    <x v="1"/>
    <x v="2"/>
    <x v="0"/>
    <s v="CA22"/>
    <s v="Respiratory"/>
    <x v="10"/>
    <x v="1"/>
    <s v="Prednisolone 5mg OD"/>
    <n v="1"/>
    <s v="2345-7"/>
    <s v="Biochemistry"/>
    <s v="Serum glucose (fasting)"/>
    <x v="0"/>
    <s v="Not Tested"/>
    <n v="102"/>
    <n v="93"/>
    <x v="1"/>
    <s v="102/93"/>
    <n v="54"/>
    <n v="14"/>
    <n v="37.799999999999997"/>
    <n v="26.2"/>
    <s v="Non-Obese"/>
    <n v="100"/>
    <s v="8480-6"/>
    <s v="8462-4"/>
    <s v="8867-4"/>
    <s v="39156-5"/>
    <s v="59408-5"/>
  </r>
  <r>
    <s v="PID-0014"/>
    <s v="ENC-0014-01"/>
    <x v="37"/>
    <x v="0"/>
    <x v="3"/>
    <x v="5"/>
    <s v="Dr. R. Mendes"/>
    <d v="1950-08-10T00:00:00"/>
    <n v="75"/>
    <x v="2"/>
    <x v="1"/>
    <s v="South Asian"/>
    <x v="1"/>
    <x v="0"/>
    <x v="3"/>
    <s v="8A25"/>
    <s v="Neurological"/>
    <x v="3"/>
    <x v="1"/>
    <s v="Lisinopril 10mg OD; Aspirin 75mg OD; Omeprazole 20mg OD"/>
    <n v="3"/>
    <s v="2777-1"/>
    <s v="Biochemistry"/>
    <s v="Serum phosphate"/>
    <x v="0"/>
    <s v="Not Tested"/>
    <n v="154"/>
    <n v="64"/>
    <x v="1"/>
    <s v="154/64"/>
    <n v="63"/>
    <n v="13"/>
    <n v="36"/>
    <n v="30.3"/>
    <s v="Obese"/>
    <n v="95"/>
    <s v="8480-6"/>
    <s v="8462-4"/>
    <s v="8867-4"/>
    <s v="39156-5"/>
    <s v="59408-5"/>
  </r>
  <r>
    <s v="PID-0014"/>
    <s v="ENC-0014-02"/>
    <x v="38"/>
    <x v="4"/>
    <x v="4"/>
    <x v="3"/>
    <s v="Dr. Y. Kim"/>
    <d v="1950-08-10T00:00:00"/>
    <n v="75"/>
    <x v="2"/>
    <x v="1"/>
    <s v="East Asian"/>
    <x v="1"/>
    <x v="0"/>
    <x v="3"/>
    <s v="8A25"/>
    <s v="Neurological"/>
    <x v="3"/>
    <x v="1"/>
    <s v="Salbutamol 100mcg PRN; Metformin 1g BD; Lisinopril 10mg OD"/>
    <n v="3"/>
    <s v="2951-2"/>
    <s v="Biochemistry"/>
    <s v="Serum sodium"/>
    <x v="2"/>
    <s v="Not Tested"/>
    <n v="166"/>
    <n v="90"/>
    <x v="1"/>
    <s v="166/90"/>
    <n v="110"/>
    <n v="15"/>
    <n v="36.4"/>
    <n v="23.9"/>
    <s v="Non-Obese"/>
    <n v="89"/>
    <s v="8480-6"/>
    <s v="8462-4"/>
    <s v="8867-4"/>
    <s v="39156-5"/>
    <s v="59408-5"/>
  </r>
  <r>
    <s v="PID-0014"/>
    <s v="ENC-0014-03"/>
    <x v="39"/>
    <x v="4"/>
    <x v="2"/>
    <x v="3"/>
    <s v="Dr. A. Mwangi"/>
    <d v="1950-08-10T00:00:00"/>
    <n v="75"/>
    <x v="2"/>
    <x v="1"/>
    <s v="Middle Eastern"/>
    <x v="1"/>
    <x v="0"/>
    <x v="3"/>
    <s v="8A25"/>
    <s v="Neurological"/>
    <x v="3"/>
    <x v="1"/>
    <s v="Levothyroxine 50mcg OD; Bisoprolol 5mg OD; Amlodipine 5mg OD; Metformin 1g BD"/>
    <n v="4"/>
    <s v="14627-4"/>
    <s v="Biochemistry"/>
    <s v="eGFR (CKD-EPI)"/>
    <x v="1"/>
    <s v="Not Tested"/>
    <n v="137"/>
    <n v="73"/>
    <x v="0"/>
    <s v="137/73"/>
    <n v="80"/>
    <n v="16"/>
    <n v="37.700000000000003"/>
    <n v="30"/>
    <s v="Obese"/>
    <n v="95"/>
    <s v="8480-6"/>
    <s v="8462-4"/>
    <s v="8867-4"/>
    <s v="39156-5"/>
    <s v="59408-5"/>
  </r>
  <r>
    <s v="PID-0015"/>
    <s v="ENC-0015-01"/>
    <x v="31"/>
    <x v="3"/>
    <x v="2"/>
    <x v="2"/>
    <s v="NP J. Nakamura"/>
    <d v="2002-03-16T00:00:00"/>
    <n v="23"/>
    <x v="0"/>
    <x v="1"/>
    <s v="Black African"/>
    <x v="3"/>
    <x v="3"/>
    <x v="3"/>
    <s v="BA80,5A11,5A00"/>
    <s v="Multi-system"/>
    <x v="11"/>
    <x v="1"/>
    <s v="Ramipril 5mg OD; Dapagliflozin 10mg OD; Omeprazole 20mg OD"/>
    <n v="3"/>
    <s v="6768-6"/>
    <s v="Biochemistry"/>
    <s v="ALP"/>
    <x v="1"/>
    <s v="Not Tested"/>
    <n v="152"/>
    <n v="85"/>
    <x v="1"/>
    <s v="152/85"/>
    <n v="57"/>
    <n v="18"/>
    <n v="37.1"/>
    <n v="36.6"/>
    <s v="Obese"/>
    <n v="98"/>
    <s v="8480-6"/>
    <s v="8462-4"/>
    <s v="8867-4"/>
    <s v="39156-5"/>
    <s v="59408-5"/>
  </r>
  <r>
    <s v="PID-0015"/>
    <s v="ENC-0015-02"/>
    <x v="40"/>
    <x v="0"/>
    <x v="2"/>
    <x v="9"/>
    <s v="NP J. Nakamura"/>
    <d v="2002-03-16T00:00:00"/>
    <n v="23"/>
    <x v="0"/>
    <x v="1"/>
    <s v="Middle Eastern"/>
    <x v="3"/>
    <x v="3"/>
    <x v="3"/>
    <s v="BA80,5A11,5A00"/>
    <s v="Multi-system"/>
    <x v="11"/>
    <x v="1"/>
    <s v="Ramipril 5mg OD; Lisinopril 10mg OD; Warfarin (variable); Empagliflozin 10mg OD"/>
    <n v="4"/>
    <s v="2093-3"/>
    <s v="Biochemistry"/>
    <s v="Total cholesterol"/>
    <x v="0"/>
    <s v="Not Tested"/>
    <n v="118"/>
    <n v="62"/>
    <x v="0"/>
    <s v="118/62"/>
    <n v="108"/>
    <n v="26"/>
    <n v="38.6"/>
    <n v="17.5"/>
    <s v="Non-Obese"/>
    <n v="98"/>
    <s v="8480-6"/>
    <s v="8462-4"/>
    <s v="8867-4"/>
    <s v="39156-5"/>
    <s v="59408-5"/>
  </r>
  <r>
    <s v="PID-0015"/>
    <s v="ENC-0015-03"/>
    <x v="41"/>
    <x v="2"/>
    <x v="0"/>
    <x v="7"/>
    <s v="Dr. T. Osei"/>
    <d v="2002-03-16T00:00:00"/>
    <n v="23"/>
    <x v="0"/>
    <x v="1"/>
    <s v="Black African"/>
    <x v="3"/>
    <x v="3"/>
    <x v="3"/>
    <s v="BA80,5A11,5A00"/>
    <s v="Multi-system"/>
    <x v="11"/>
    <x v="1"/>
    <s v="Furosemide 40mg OD; Omeprazole 20mg OD"/>
    <n v="2"/>
    <s v="2085-9"/>
    <s v="Biochemistry"/>
    <s v="HDL cholesterol"/>
    <x v="0"/>
    <s v="Not Tested"/>
    <n v="113"/>
    <n v="88"/>
    <x v="0"/>
    <s v="113/88"/>
    <n v="120"/>
    <n v="19"/>
    <n v="38.200000000000003"/>
    <n v="21"/>
    <s v="Non-Obese"/>
    <n v="100"/>
    <s v="8480-6"/>
    <s v="8462-4"/>
    <s v="8867-4"/>
    <s v="39156-5"/>
    <s v="59408-5"/>
  </r>
  <r>
    <s v="PID-0015"/>
    <s v="ENC-0015-04"/>
    <x v="42"/>
    <x v="4"/>
    <x v="3"/>
    <x v="7"/>
    <s v="Dr. L. Patel"/>
    <d v="2002-03-16T00:00:00"/>
    <n v="23"/>
    <x v="0"/>
    <x v="1"/>
    <s v="East Asian"/>
    <x v="3"/>
    <x v="3"/>
    <x v="3"/>
    <s v="BA80,5A11,5A00"/>
    <s v="Multi-system"/>
    <x v="11"/>
    <x v="1"/>
    <s v="Ramipril 5mg OD; Dapagliflozin 10mg OD; Clopidogrel 75mg OD"/>
    <n v="3"/>
    <s v="13457-7"/>
    <s v="Biochemistry"/>
    <s v="LDL cholesterol"/>
    <x v="1"/>
    <s v="Not Tested"/>
    <n v="184"/>
    <n v="110"/>
    <x v="1"/>
    <s v="184/110"/>
    <n v="85"/>
    <n v="14"/>
    <n v="38.700000000000003"/>
    <n v="31.7"/>
    <s v="Obese"/>
    <n v="96"/>
    <s v="8480-6"/>
    <s v="8462-4"/>
    <s v="8867-4"/>
    <s v="39156-5"/>
    <s v="59408-5"/>
  </r>
  <r>
    <s v="PID-0015"/>
    <s v="ENC-0015-05"/>
    <x v="43"/>
    <x v="2"/>
    <x v="2"/>
    <x v="9"/>
    <s v="Dr. L. Patel"/>
    <d v="2002-03-16T00:00:00"/>
    <n v="23"/>
    <x v="0"/>
    <x v="1"/>
    <s v="East Asian"/>
    <x v="3"/>
    <x v="3"/>
    <x v="3"/>
    <s v="BA80,5A11,5A00"/>
    <s v="Multi-system"/>
    <x v="11"/>
    <x v="1"/>
    <s v="Amlodipine 5mg OD; Omeprazole 20mg OD; Clopidogrel 75mg OD"/>
    <n v="3"/>
    <s v="2160-0"/>
    <s v="Biochemistry"/>
    <s v="Serum creatinine"/>
    <x v="0"/>
    <s v="Not Tested"/>
    <n v="178"/>
    <n v="85"/>
    <x v="1"/>
    <s v="178/85"/>
    <n v="116"/>
    <n v="26"/>
    <n v="36.9"/>
    <n v="40"/>
    <s v="Obese"/>
    <n v="92"/>
    <s v="8480-6"/>
    <s v="8462-4"/>
    <s v="8867-4"/>
    <s v="39156-5"/>
    <s v="59408-5"/>
  </r>
  <r>
    <s v="PID-0015"/>
    <s v="ENC-0015-06"/>
    <x v="44"/>
    <x v="4"/>
    <x v="3"/>
    <x v="2"/>
    <s v="Dr. F. Hassan"/>
    <d v="2002-03-16T00:00:00"/>
    <n v="23"/>
    <x v="0"/>
    <x v="1"/>
    <s v="Hispanic/Latino"/>
    <x v="3"/>
    <x v="3"/>
    <x v="3"/>
    <s v="BA80,5A11,5A00"/>
    <s v="Multi-system"/>
    <x v="11"/>
    <x v="1"/>
    <s v="Clopidogrel 75mg OD; Amlodipine 10mg OD"/>
    <n v="2"/>
    <s v="2823-3"/>
    <s v="Biochemistry"/>
    <s v="Serum potassium"/>
    <x v="0"/>
    <s v="Not Tested"/>
    <n v="139"/>
    <n v="75"/>
    <x v="0"/>
    <s v="139/75"/>
    <n v="107"/>
    <n v="18"/>
    <n v="39"/>
    <n v="42.3"/>
    <s v="Obese"/>
    <n v="100"/>
    <s v="8480-6"/>
    <s v="8462-4"/>
    <s v="8867-4"/>
    <s v="39156-5"/>
    <s v="59408-5"/>
  </r>
  <r>
    <s v="PID-0016"/>
    <s v="ENC-0016-01"/>
    <x v="45"/>
    <x v="0"/>
    <x v="2"/>
    <x v="6"/>
    <s v="Dr. F. Hassan"/>
    <d v="1959-07-22T00:00:00"/>
    <n v="66"/>
    <x v="2"/>
    <x v="1"/>
    <s v="Hispanic/Latino"/>
    <x v="1"/>
    <x v="2"/>
    <x v="1"/>
    <s v="JA00"/>
    <s v="Infectious"/>
    <x v="12"/>
    <x v="0"/>
    <s v="Levothyroxine 50mcg OD; Amlodipine 10mg OD; Metformin 1g BD"/>
    <n v="3"/>
    <s v="14627-4"/>
    <s v="Biochemistry"/>
    <s v="eGFR (CKD-EPI)"/>
    <x v="1"/>
    <s v="Not Tested"/>
    <n v="104"/>
    <n v="110"/>
    <x v="1"/>
    <s v="104/110"/>
    <n v="51"/>
    <n v="14"/>
    <n v="38.799999999999997"/>
    <n v="45.1"/>
    <s v="Obese"/>
    <n v="88"/>
    <s v="8480-6"/>
    <s v="8462-4"/>
    <s v="8867-4"/>
    <s v="39156-5"/>
    <s v="59408-5"/>
  </r>
  <r>
    <s v="PID-0016"/>
    <s v="ENC-0016-02"/>
    <x v="46"/>
    <x v="1"/>
    <x v="0"/>
    <x v="9"/>
    <s v="Dr. L. Patel"/>
    <d v="1959-07-22T00:00:00"/>
    <n v="66"/>
    <x v="2"/>
    <x v="1"/>
    <s v="Hispanic/Latino"/>
    <x v="1"/>
    <x v="2"/>
    <x v="1"/>
    <s v="JA00"/>
    <s v="Infectious"/>
    <x v="12"/>
    <x v="0"/>
    <s v="Metformin 1g BD; Ramipril 5mg OD"/>
    <n v="2"/>
    <s v="2093-3"/>
    <s v="Biochemistry"/>
    <s v="Total cholesterol"/>
    <x v="0"/>
    <s v="Not Tested"/>
    <n v="175"/>
    <n v="84"/>
    <x v="1"/>
    <s v="175/84"/>
    <n v="91"/>
    <n v="22"/>
    <n v="36.799999999999997"/>
    <n v="37"/>
    <s v="Obese"/>
    <n v="91"/>
    <s v="8480-6"/>
    <s v="8462-4"/>
    <s v="8867-4"/>
    <s v="39156-5"/>
    <s v="59408-5"/>
  </r>
  <r>
    <s v="PID-0017"/>
    <s v="ENC-0017-01"/>
    <x v="46"/>
    <x v="0"/>
    <x v="3"/>
    <x v="1"/>
    <s v="Dr. A. Mwangi"/>
    <d v="2004-01-11T00:00:00"/>
    <n v="21"/>
    <x v="0"/>
    <x v="1"/>
    <s v="Middle Eastern"/>
    <x v="2"/>
    <x v="3"/>
    <x v="2"/>
    <s v="5A11"/>
    <s v="Endocrine"/>
    <x v="13"/>
    <x v="1"/>
    <s v="Clopidogrel 75mg OD; Salbutamol 100mcg PRN; Aspirin 75mg OD; Metoprolol 50mg BD"/>
    <n v="4"/>
    <s v="6690-2"/>
    <s v="Biochemistry"/>
    <s v="WBC count"/>
    <x v="2"/>
    <s v="Not Tested"/>
    <n v="132"/>
    <s v="Not Recorded"/>
    <x v="2"/>
    <s v="132/Not Recorded"/>
    <n v="64"/>
    <n v="15"/>
    <n v="38"/>
    <n v="28.4"/>
    <s v="Non-Obese"/>
    <n v="96"/>
    <s v="8480-6"/>
    <s v="8462-4"/>
    <s v="8867-4"/>
    <s v="39156-5"/>
    <s v="59408-5"/>
  </r>
  <r>
    <s v="PID-0017"/>
    <s v="ENC-0017-02"/>
    <x v="46"/>
    <x v="3"/>
    <x v="2"/>
    <x v="4"/>
    <s v="Dr. Y. Kim"/>
    <d v="2004-01-11T00:00:00"/>
    <n v="21"/>
    <x v="0"/>
    <x v="1"/>
    <s v="Hispanic/Latino"/>
    <x v="2"/>
    <x v="3"/>
    <x v="2"/>
    <s v="5A11"/>
    <s v="Endocrine"/>
    <x v="13"/>
    <x v="1"/>
    <s v="Aspirin 75mg OD"/>
    <n v="1"/>
    <s v="2093-3"/>
    <s v="Biochemistry"/>
    <s v="Total cholesterol"/>
    <x v="0"/>
    <s v="Not Tested"/>
    <s v="Not Recorded"/>
    <n v="113"/>
    <x v="2"/>
    <s v="Not Recorded/113"/>
    <n v="102"/>
    <n v="19"/>
    <n v="37"/>
    <n v="46"/>
    <s v="Obese"/>
    <n v="98"/>
    <s v="8480-6"/>
    <s v="8462-4"/>
    <s v="8867-4"/>
    <s v="39156-5"/>
    <s v="59408-5"/>
  </r>
  <r>
    <s v="PID-0017"/>
    <s v="ENC-0017-03"/>
    <x v="46"/>
    <x v="4"/>
    <x v="1"/>
    <x v="3"/>
    <s v="Dr. Y. Kim"/>
    <d v="2004-01-11T00:00:00"/>
    <n v="21"/>
    <x v="0"/>
    <x v="1"/>
    <s v="Hispanic/Latino"/>
    <x v="2"/>
    <x v="3"/>
    <x v="2"/>
    <s v="5A11"/>
    <s v="Endocrine"/>
    <x v="13"/>
    <x v="1"/>
    <s v="None; Insulin glargine 20u ON"/>
    <n v="2"/>
    <s v="2823-3"/>
    <s v="Biochemistry"/>
    <s v="Serum potassium"/>
    <x v="0"/>
    <s v="Not Tested"/>
    <n v="165"/>
    <n v="113"/>
    <x v="1"/>
    <s v="165/113"/>
    <n v="118"/>
    <n v="24"/>
    <n v="38.700000000000003"/>
    <s v="Invalid"/>
    <s v="Obese"/>
    <n v="97"/>
    <s v="8480-6"/>
    <s v="8462-4"/>
    <s v="8867-4"/>
    <s v="39156-5"/>
    <s v="59408-5"/>
  </r>
  <r>
    <s v="PID-0018"/>
    <s v="ENC-0018-01"/>
    <x v="47"/>
    <x v="1"/>
    <x v="3"/>
    <x v="5"/>
    <s v="Dr. L. Patel"/>
    <d v="1968-08-02T00:00:00"/>
    <n v="57"/>
    <x v="3"/>
    <x v="0"/>
    <s v="Middle Eastern"/>
    <x v="0"/>
    <x v="0"/>
    <x v="1"/>
    <s v="GC43"/>
    <s v="Mental health"/>
    <x v="14"/>
    <x v="1"/>
    <s v="Dapagliflozin 10mg OD; Omeprazole 20mg OD; Levothyroxine 50mcg OD"/>
    <n v="3"/>
    <s v="2823-3"/>
    <s v="Biochemistry"/>
    <s v="Serum potassium"/>
    <x v="0"/>
    <s v="Not Tested"/>
    <n v="111"/>
    <n v="63"/>
    <x v="0"/>
    <s v="111/63"/>
    <n v="90"/>
    <n v="28"/>
    <n v="37.700000000000003"/>
    <n v="43.5"/>
    <s v="Obese"/>
    <n v="98"/>
    <s v="8480-6"/>
    <s v="8462-4"/>
    <s v="8867-4"/>
    <s v="39156-5"/>
    <s v="59408-5"/>
  </r>
  <r>
    <s v="PID-0018"/>
    <s v="ENC-0018-02"/>
    <x v="48"/>
    <x v="2"/>
    <x v="0"/>
    <x v="9"/>
    <s v="Dr. F. Hassan"/>
    <d v="1968-08-02T00:00:00"/>
    <n v="57"/>
    <x v="3"/>
    <x v="0"/>
    <s v="Hispanic/Latino"/>
    <x v="0"/>
    <x v="0"/>
    <x v="1"/>
    <s v="GC43"/>
    <s v="Mental health"/>
    <x v="14"/>
    <x v="1"/>
    <s v="Bisoprolol 5mg OD"/>
    <n v="1"/>
    <s v="2777-1"/>
    <s v="Biochemistry"/>
    <s v="Serum phosphate"/>
    <x v="0"/>
    <s v="Not Tested"/>
    <n v="172"/>
    <n v="98"/>
    <x v="1"/>
    <s v="172/98"/>
    <n v="123"/>
    <n v="27"/>
    <n v="38.6"/>
    <n v="27.9"/>
    <s v="Non-Obese"/>
    <n v="97"/>
    <s v="8480-6"/>
    <s v="8462-4"/>
    <s v="8867-4"/>
    <s v="39156-5"/>
    <s v="59408-5"/>
  </r>
  <r>
    <s v="PID-0018"/>
    <s v="ENC-0018-03"/>
    <x v="49"/>
    <x v="3"/>
    <x v="4"/>
    <x v="6"/>
    <s v="Dr. S. Okonkwo"/>
    <d v="1968-08-02T00:00:00"/>
    <n v="57"/>
    <x v="3"/>
    <x v="0"/>
    <s v="White European"/>
    <x v="0"/>
    <x v="0"/>
    <x v="1"/>
    <s v="GC43"/>
    <s v="Mental health"/>
    <x v="14"/>
    <x v="1"/>
    <s v="None; Aspirin 75mg OD; Metformin 1g BD"/>
    <n v="3"/>
    <s v="2093-3"/>
    <s v="Biochemistry"/>
    <s v="Total cholesterol"/>
    <x v="0"/>
    <s v="Not Tested"/>
    <n v="156"/>
    <n v="90"/>
    <x v="1"/>
    <s v="156/90"/>
    <n v="112"/>
    <n v="27"/>
    <n v="36.299999999999997"/>
    <n v="24.2"/>
    <s v="Non-Obese"/>
    <n v="87"/>
    <s v="8480-6"/>
    <s v="8462-4"/>
    <s v="8867-4"/>
    <s v="39156-5"/>
    <s v="59408-5"/>
  </r>
  <r>
    <s v="PID-0018"/>
    <s v="ENC-0018-04"/>
    <x v="50"/>
    <x v="3"/>
    <x v="2"/>
    <x v="6"/>
    <s v="Dr. Y. Kim"/>
    <d v="1968-08-02T00:00:00"/>
    <n v="57"/>
    <x v="3"/>
    <x v="0"/>
    <s v="Black African"/>
    <x v="0"/>
    <x v="0"/>
    <x v="1"/>
    <s v="GC43"/>
    <s v="Mental health"/>
    <x v="14"/>
    <x v="1"/>
    <s v="Clopidogrel 75mg OD; Salbutamol 100mcg PRN; Ramipril 5mg OD; Atorvastatin 40mg ON"/>
    <n v="4"/>
    <s v="2085-9"/>
    <s v="Biochemistry"/>
    <s v="HDL cholesterol"/>
    <x v="0"/>
    <s v="Not Tested"/>
    <n v="180"/>
    <n v="73"/>
    <x v="1"/>
    <s v="180/73"/>
    <n v="87"/>
    <n v="14"/>
    <n v="38.799999999999997"/>
    <n v="21.4"/>
    <s v="Non-Obese"/>
    <n v="93"/>
    <s v="8480-6"/>
    <s v="8462-4"/>
    <s v="8867-4"/>
    <s v="39156-5"/>
    <s v="59408-5"/>
  </r>
  <r>
    <s v="PID-0018"/>
    <s v="ENC-0018-05"/>
    <x v="51"/>
    <x v="4"/>
    <x v="0"/>
    <x v="9"/>
    <s v="Dr. S. Okonkwo"/>
    <d v="1968-08-02T00:00:00"/>
    <n v="57"/>
    <x v="3"/>
    <x v="0"/>
    <s v="Hispanic/Latino"/>
    <x v="0"/>
    <x v="0"/>
    <x v="1"/>
    <s v="GC43"/>
    <s v="Mental health"/>
    <x v="14"/>
    <x v="1"/>
    <s v="Lisinopril 10mg OD; Amlodipine 10mg OD; Bisoprolol 5mg OD"/>
    <n v="3"/>
    <s v="17861-6"/>
    <s v="Biochemistry"/>
    <s v="Serum calcium"/>
    <x v="1"/>
    <s v="Not Tested"/>
    <n v="128"/>
    <n v="82"/>
    <x v="0"/>
    <s v="128/82"/>
    <n v="121"/>
    <n v="26"/>
    <n v="36.299999999999997"/>
    <n v="37"/>
    <s v="Obese"/>
    <n v="94"/>
    <s v="8480-6"/>
    <s v="8462-4"/>
    <s v="8867-4"/>
    <s v="39156-5"/>
    <s v="59408-5"/>
  </r>
  <r>
    <s v="PID-0018"/>
    <s v="ENC-0018-06"/>
    <x v="52"/>
    <x v="4"/>
    <x v="2"/>
    <x v="8"/>
    <s v="Dr. R. Mendes"/>
    <d v="1968-08-02T00:00:00"/>
    <n v="57"/>
    <x v="3"/>
    <x v="0"/>
    <s v="South Asian"/>
    <x v="0"/>
    <x v="0"/>
    <x v="1"/>
    <s v="GC43"/>
    <s v="Mental health"/>
    <x v="14"/>
    <x v="1"/>
    <s v="Prednisolone 5mg OD"/>
    <n v="1"/>
    <s v="4548-4"/>
    <s v="Biochemistry"/>
    <s v="HbA1c"/>
    <x v="1"/>
    <s v="High"/>
    <n v="153"/>
    <n v="91"/>
    <x v="1"/>
    <s v="153/91"/>
    <n v="52"/>
    <n v="25"/>
    <n v="36.799999999999997"/>
    <n v="21.1"/>
    <s v="Non-Obese"/>
    <n v="94"/>
    <s v="8480-6"/>
    <s v="8462-4"/>
    <s v="8867-4"/>
    <s v="39156-5"/>
    <s v="59408-5"/>
  </r>
  <r>
    <s v="PID-0019"/>
    <s v="ENC-0019-01"/>
    <x v="53"/>
    <x v="3"/>
    <x v="4"/>
    <x v="7"/>
    <s v="Dr. S. Okonkwo"/>
    <d v="2007-05-28T00:00:00"/>
    <n v="18"/>
    <x v="0"/>
    <x v="0"/>
    <s v="East Asian"/>
    <x v="2"/>
    <x v="2"/>
    <x v="0"/>
    <s v="JA00"/>
    <s v="Infectious"/>
    <x v="12"/>
    <x v="0"/>
    <s v="Empagliflozin 10mg OD; Atorvastatin 40mg ON; Metformin 1g BD; Dapagliflozin 10mg OD"/>
    <n v="4"/>
    <s v="2093-3"/>
    <s v="Biochemistry"/>
    <s v="Total cholesterol"/>
    <x v="0"/>
    <s v="Not Tested"/>
    <n v="107"/>
    <n v="76"/>
    <x v="0"/>
    <s v="107/76"/>
    <n v="109"/>
    <n v="21"/>
    <n v="36.1"/>
    <n v="25.1"/>
    <s v="Non-Obese"/>
    <n v="89"/>
    <s v="8480-6"/>
    <s v="8462-4"/>
    <s v="8867-4"/>
    <s v="39156-5"/>
    <s v="59408-5"/>
  </r>
  <r>
    <s v="PID-0020"/>
    <s v="ENC-0020-01"/>
    <x v="54"/>
    <x v="2"/>
    <x v="4"/>
    <x v="6"/>
    <s v="Dr. Y. Kim"/>
    <d v="2002-12-26T00:00:00"/>
    <n v="23"/>
    <x v="0"/>
    <x v="0"/>
    <s v="East Asian"/>
    <x v="3"/>
    <x v="0"/>
    <x v="0"/>
    <s v="BA80,5A11,5A00"/>
    <s v="Multi-system"/>
    <x v="11"/>
    <x v="1"/>
    <s v="Bisoprolol 5mg OD; Clopidogrel 75mg OD"/>
    <n v="2"/>
    <s v="17861-6"/>
    <s v="Biochemistry"/>
    <s v="Serum calcium"/>
    <x v="1"/>
    <s v="Not Tested"/>
    <n v="133"/>
    <n v="61"/>
    <x v="0"/>
    <s v="133/61"/>
    <n v="103"/>
    <n v="19"/>
    <n v="38.9"/>
    <n v="26.7"/>
    <s v="Non-Obese"/>
    <n v="89"/>
    <s v="8480-6"/>
    <s v="8462-4"/>
    <s v="8867-4"/>
    <s v="39156-5"/>
    <s v="59408-5"/>
  </r>
  <r>
    <s v="PID-0020"/>
    <s v="ENC-0020-02"/>
    <x v="55"/>
    <x v="4"/>
    <x v="3"/>
    <x v="4"/>
    <s v="NP J. Nakamura"/>
    <d v="2002-12-26T00:00:00"/>
    <n v="23"/>
    <x v="0"/>
    <x v="0"/>
    <s v="East Asian"/>
    <x v="3"/>
    <x v="0"/>
    <x v="0"/>
    <s v="BA80,5A11,5A00"/>
    <s v="Multi-system"/>
    <x v="11"/>
    <x v="1"/>
    <s v="Ramipril 5mg OD; Metoprolol 50mg BD"/>
    <n v="2"/>
    <s v="789-8"/>
    <s v="Biochemistry"/>
    <s v="RBC count"/>
    <x v="1"/>
    <s v="Not Tested"/>
    <n v="149"/>
    <n v="61"/>
    <x v="1"/>
    <s v="149/61"/>
    <n v="103"/>
    <n v="26"/>
    <n v="38.1"/>
    <n v="39.4"/>
    <s v="Obese"/>
    <n v="96"/>
    <s v="8480-6"/>
    <s v="8462-4"/>
    <s v="8867-4"/>
    <s v="39156-5"/>
    <s v="59408-5"/>
  </r>
  <r>
    <s v="PID-0020"/>
    <s v="ENC-0020-03"/>
    <x v="47"/>
    <x v="1"/>
    <x v="3"/>
    <x v="5"/>
    <s v="Dr. F. Hassan"/>
    <d v="2002-12-26T00:00:00"/>
    <n v="23"/>
    <x v="0"/>
    <x v="0"/>
    <s v="Middle Eastern"/>
    <x v="3"/>
    <x v="0"/>
    <x v="0"/>
    <s v="BA80,5A11,5A00"/>
    <s v="Multi-system"/>
    <x v="11"/>
    <x v="1"/>
    <s v="Metformin 1g BD"/>
    <n v="1"/>
    <s v="718-7"/>
    <s v="Biochemistry"/>
    <s v="Haemoglobin"/>
    <x v="0"/>
    <s v="Not Tested"/>
    <n v="161"/>
    <n v="74"/>
    <x v="1"/>
    <s v="161/74"/>
    <n v="73"/>
    <n v="16"/>
    <n v="39.1"/>
    <n v="37.1"/>
    <s v="Obese"/>
    <n v="93"/>
    <s v="8480-6"/>
    <s v="8462-4"/>
    <s v="8867-4"/>
    <s v="39156-5"/>
    <s v="59408-5"/>
  </r>
  <r>
    <s v="PID-0021"/>
    <s v="ENC-0021-01"/>
    <x v="56"/>
    <x v="1"/>
    <x v="4"/>
    <x v="7"/>
    <s v="Dr. F. Hassan"/>
    <d v="2000-10-18T00:00:00"/>
    <n v="25"/>
    <x v="0"/>
    <x v="0"/>
    <s v="Black African"/>
    <x v="1"/>
    <x v="1"/>
    <x v="1"/>
    <s v="5A10"/>
    <s v="Endocrine"/>
    <x v="1"/>
    <x v="1"/>
    <s v="Dapagliflozin 10mg OD; Aspirin 75mg OD"/>
    <n v="2"/>
    <s v="2951-2"/>
    <s v="Biochemistry"/>
    <s v="Serum sodium"/>
    <x v="2"/>
    <s v="Not Tested"/>
    <n v="133"/>
    <n v="110"/>
    <x v="1"/>
    <s v="133/110"/>
    <n v="54"/>
    <n v="17"/>
    <n v="37"/>
    <n v="20.5"/>
    <s v="Non-Obese"/>
    <n v="94"/>
    <s v="8480-6"/>
    <s v="8462-4"/>
    <s v="8867-4"/>
    <s v="39156-5"/>
    <s v="59408-5"/>
  </r>
  <r>
    <s v="PID-0021"/>
    <s v="ENC-0021-02"/>
    <x v="6"/>
    <x v="0"/>
    <x v="0"/>
    <x v="0"/>
    <s v="Dr. Y. Kim"/>
    <d v="2000-10-18T00:00:00"/>
    <n v="25"/>
    <x v="0"/>
    <x v="0"/>
    <s v="Hispanic/Latino"/>
    <x v="1"/>
    <x v="1"/>
    <x v="1"/>
    <s v="5A10"/>
    <s v="Endocrine"/>
    <x v="1"/>
    <x v="1"/>
    <s v="None"/>
    <n v="1"/>
    <s v="6768-6"/>
    <s v="Biochemistry"/>
    <s v="ALP"/>
    <x v="1"/>
    <s v="Not Tested"/>
    <n v="120"/>
    <n v="69"/>
    <x v="0"/>
    <s v="120/69"/>
    <n v="82"/>
    <n v="21"/>
    <n v="38.5"/>
    <n v="35.200000000000003"/>
    <s v="Obese"/>
    <n v="96"/>
    <s v="8480-6"/>
    <s v="8462-4"/>
    <s v="8867-4"/>
    <s v="39156-5"/>
    <s v="59408-5"/>
  </r>
  <r>
    <s v="PID-0021"/>
    <s v="ENC-0021-03"/>
    <x v="6"/>
    <x v="2"/>
    <x v="1"/>
    <x v="6"/>
    <s v="Dr. T. Osei"/>
    <d v="2000-10-18T00:00:00"/>
    <n v="25"/>
    <x v="0"/>
    <x v="0"/>
    <s v="East Asian"/>
    <x v="1"/>
    <x v="1"/>
    <x v="1"/>
    <s v="5A10"/>
    <s v="Endocrine"/>
    <x v="1"/>
    <x v="1"/>
    <s v="Metformin 1g BD"/>
    <n v="1"/>
    <s v="6768-6"/>
    <s v="Biochemistry"/>
    <s v="ALP"/>
    <x v="1"/>
    <s v="Not Tested"/>
    <n v="123"/>
    <n v="75"/>
    <x v="0"/>
    <s v="123/75"/>
    <n v="50"/>
    <n v="26"/>
    <n v="37.799999999999997"/>
    <n v="28.9"/>
    <s v="Non-Obese"/>
    <n v="89"/>
    <s v="8480-6"/>
    <s v="8462-4"/>
    <s v="8867-4"/>
    <s v="39156-5"/>
    <s v="59408-5"/>
  </r>
  <r>
    <s v="PID-0021"/>
    <s v="ENC-0021-04"/>
    <x v="57"/>
    <x v="0"/>
    <x v="3"/>
    <x v="6"/>
    <s v="NP J. Nakamura"/>
    <d v="2000-10-18T00:00:00"/>
    <n v="25"/>
    <x v="0"/>
    <x v="0"/>
    <s v="Mixed/Other"/>
    <x v="1"/>
    <x v="1"/>
    <x v="1"/>
    <s v="5A10"/>
    <s v="Endocrine"/>
    <x v="1"/>
    <x v="1"/>
    <s v="Metformin 1g BD"/>
    <n v="1"/>
    <s v="6768-6"/>
    <s v="Biochemistry"/>
    <s v="ALP"/>
    <x v="1"/>
    <s v="Not Tested"/>
    <n v="109"/>
    <n v="74"/>
    <x v="0"/>
    <s v="109/74"/>
    <n v="74"/>
    <n v="27"/>
    <n v="37.9"/>
    <n v="42.7"/>
    <s v="Obese"/>
    <n v="89"/>
    <s v="8480-6"/>
    <s v="8462-4"/>
    <s v="8867-4"/>
    <s v="39156-5"/>
    <s v="59408-5"/>
  </r>
  <r>
    <s v="PID-0021"/>
    <s v="ENC-0021-05"/>
    <x v="58"/>
    <x v="2"/>
    <x v="0"/>
    <x v="2"/>
    <s v="Dr. R. Mendes"/>
    <d v="2000-10-18T00:00:00"/>
    <n v="25"/>
    <x v="0"/>
    <x v="0"/>
    <s v="South Asian"/>
    <x v="1"/>
    <x v="1"/>
    <x v="1"/>
    <s v="5A10"/>
    <s v="Endocrine"/>
    <x v="1"/>
    <x v="1"/>
    <s v="Lisinopril 10mg OD; Aspirin 75mg OD; Amlodipine 10mg OD"/>
    <n v="3"/>
    <s v="2345-7"/>
    <s v="Biochemistry"/>
    <s v="Serum glucose (fasting)"/>
    <x v="0"/>
    <s v="Not Tested"/>
    <n v="132"/>
    <n v="68"/>
    <x v="0"/>
    <s v="132/68"/>
    <n v="88"/>
    <n v="18"/>
    <n v="36.4"/>
    <n v="36.799999999999997"/>
    <s v="Obese"/>
    <n v="95"/>
    <s v="8480-6"/>
    <s v="8462-4"/>
    <s v="8867-4"/>
    <s v="39156-5"/>
    <s v="59408-5"/>
  </r>
  <r>
    <s v="PID-0021"/>
    <s v="ENC-0021-06"/>
    <x v="59"/>
    <x v="0"/>
    <x v="0"/>
    <x v="6"/>
    <s v="Dr. A. Mwangi"/>
    <d v="2000-10-18T00:00:00"/>
    <n v="25"/>
    <x v="0"/>
    <x v="0"/>
    <s v="East Asian"/>
    <x v="1"/>
    <x v="1"/>
    <x v="1"/>
    <s v="5A10"/>
    <s v="Endocrine"/>
    <x v="1"/>
    <x v="1"/>
    <s v="Empagliflozin 10mg OD; Prednisolone 5mg OD"/>
    <n v="2"/>
    <s v="2160-0"/>
    <s v="Biochemistry"/>
    <s v="Serum creatinine"/>
    <x v="0"/>
    <s v="Not Tested"/>
    <n v="164"/>
    <n v="101"/>
    <x v="1"/>
    <s v="164/101"/>
    <n v="72"/>
    <n v="14"/>
    <n v="37.6"/>
    <n v="29.8"/>
    <s v="Non-Obese"/>
    <n v="89"/>
    <s v="8480-6"/>
    <s v="8462-4"/>
    <s v="8867-4"/>
    <s v="39156-5"/>
    <s v="59408-5"/>
  </r>
  <r>
    <s v="PID-0022"/>
    <s v="ENC-0022-01"/>
    <x v="60"/>
    <x v="3"/>
    <x v="2"/>
    <x v="6"/>
    <s v="Dr. S. Okonkwo"/>
    <d v="1949-02-28T00:00:00"/>
    <n v="76"/>
    <x v="2"/>
    <x v="0"/>
    <s v="East Asian"/>
    <x v="3"/>
    <x v="1"/>
    <x v="2"/>
    <s v="5A10"/>
    <s v="Endocrine"/>
    <x v="1"/>
    <x v="1"/>
    <s v="Aspirin 75mg OD"/>
    <n v="1"/>
    <s v="4548-4"/>
    <s v="Biochemistry"/>
    <s v="HbA1c"/>
    <x v="1"/>
    <s v="High"/>
    <n v="97"/>
    <n v="74"/>
    <x v="0"/>
    <s v="97/74"/>
    <n v="110"/>
    <n v="22"/>
    <n v="38.700000000000003"/>
    <n v="43.7"/>
    <s v="Obese"/>
    <n v="88"/>
    <s v="8480-6"/>
    <s v="8462-4"/>
    <s v="8867-4"/>
    <s v="39156-5"/>
    <s v="59408-5"/>
  </r>
  <r>
    <s v="PID-0022"/>
    <s v="ENC-0022-02"/>
    <x v="61"/>
    <x v="1"/>
    <x v="1"/>
    <x v="1"/>
    <s v="Dr. R. Mendes"/>
    <d v="1949-02-28T00:00:00"/>
    <n v="76"/>
    <x v="2"/>
    <x v="0"/>
    <s v="White European"/>
    <x v="3"/>
    <x v="1"/>
    <x v="2"/>
    <s v="5A10"/>
    <s v="Endocrine"/>
    <x v="1"/>
    <x v="1"/>
    <s v="Insulin glargine 20u ON; Salbutamol 100mcg PRN; Aspirin 75mg OD"/>
    <n v="3"/>
    <s v="17861-6"/>
    <s v="Biochemistry"/>
    <s v="Serum calcium"/>
    <x v="1"/>
    <s v="Not Tested"/>
    <n v="162"/>
    <n v="68"/>
    <x v="1"/>
    <s v="162/68"/>
    <n v="108"/>
    <n v="13"/>
    <n v="38"/>
    <n v="32.6"/>
    <s v="Obese"/>
    <n v="90"/>
    <s v="8480-6"/>
    <s v="8462-4"/>
    <s v="8867-4"/>
    <s v="39156-5"/>
    <s v="59408-5"/>
  </r>
  <r>
    <s v="PID-0022"/>
    <s v="ENC-0022-03"/>
    <x v="62"/>
    <x v="3"/>
    <x v="0"/>
    <x v="9"/>
    <s v="NP J. Nakamura"/>
    <d v="1949-02-28T00:00:00"/>
    <n v="76"/>
    <x v="2"/>
    <x v="0"/>
    <s v="Hispanic/Latino"/>
    <x v="3"/>
    <x v="1"/>
    <x v="2"/>
    <s v="5A10"/>
    <s v="Endocrine"/>
    <x v="1"/>
    <x v="1"/>
    <s v="Clopidogrel 75mg OD; Levothyroxine 50mcg OD; None; Salbutamol 100mcg PRN"/>
    <n v="4"/>
    <s v="2777-1"/>
    <s v="Biochemistry"/>
    <s v="Serum phosphate"/>
    <x v="0"/>
    <s v="Not Tested"/>
    <n v="109"/>
    <n v="101"/>
    <x v="1"/>
    <s v="109/101"/>
    <n v="56"/>
    <n v="27"/>
    <n v="38"/>
    <n v="30.7"/>
    <s v="Obese"/>
    <n v="94"/>
    <s v="8480-6"/>
    <s v="8462-4"/>
    <s v="8867-4"/>
    <s v="39156-5"/>
    <s v="59408-5"/>
  </r>
  <r>
    <s v="PID-0022"/>
    <s v="ENC-0022-04"/>
    <x v="63"/>
    <x v="3"/>
    <x v="3"/>
    <x v="3"/>
    <s v="Dr. A. Mwangi"/>
    <d v="1949-02-28T00:00:00"/>
    <n v="76"/>
    <x v="2"/>
    <x v="0"/>
    <s v="East Asian"/>
    <x v="3"/>
    <x v="1"/>
    <x v="2"/>
    <s v="5A10"/>
    <s v="Endocrine"/>
    <x v="1"/>
    <x v="1"/>
    <s v="Metformin 1g BD; None; Empagliflozin 10mg OD"/>
    <n v="3"/>
    <s v="2085-9"/>
    <s v="Biochemistry"/>
    <s v="HDL cholesterol"/>
    <x v="0"/>
    <s v="Not Tested"/>
    <n v="167"/>
    <n v="90"/>
    <x v="1"/>
    <s v="167/90"/>
    <n v="76"/>
    <n v="13"/>
    <n v="37.5"/>
    <n v="18.600000000000001"/>
    <s v="Non-Obese"/>
    <n v="92"/>
    <s v="8480-6"/>
    <s v="8462-4"/>
    <s v="8867-4"/>
    <s v="39156-5"/>
    <s v="59408-5"/>
  </r>
  <r>
    <s v="PID-0022"/>
    <s v="ENC-0022-05"/>
    <x v="64"/>
    <x v="1"/>
    <x v="1"/>
    <x v="9"/>
    <s v="NP J. Nakamura"/>
    <d v="1949-02-28T00:00:00"/>
    <n v="76"/>
    <x v="2"/>
    <x v="0"/>
    <s v="Mixed/Other"/>
    <x v="3"/>
    <x v="1"/>
    <x v="2"/>
    <s v="5A10"/>
    <s v="Endocrine"/>
    <x v="1"/>
    <x v="1"/>
    <s v="Metformin 1g BD; Empagliflozin 10mg OD; Furosemide 40mg OD"/>
    <n v="3"/>
    <s v="2951-2"/>
    <s v="Biochemistry"/>
    <s v="Serum sodium"/>
    <x v="2"/>
    <s v="Not Tested"/>
    <n v="154"/>
    <n v="74"/>
    <x v="1"/>
    <s v="154/74"/>
    <n v="86"/>
    <n v="14"/>
    <n v="36.200000000000003"/>
    <n v="20.399999999999999"/>
    <s v="Non-Obese"/>
    <n v="99"/>
    <s v="8480-6"/>
    <s v="8462-4"/>
    <s v="8867-4"/>
    <s v="39156-5"/>
    <s v="59408-5"/>
  </r>
  <r>
    <s v="PID-0023"/>
    <s v="ENC-0023-01"/>
    <x v="65"/>
    <x v="4"/>
    <x v="4"/>
    <x v="1"/>
    <s v="Dr. T. Osei"/>
    <d v="1961-06-10T00:00:00"/>
    <n v="64"/>
    <x v="3"/>
    <x v="0"/>
    <s v="White European"/>
    <x v="2"/>
    <x v="0"/>
    <x v="1"/>
    <s v="FA24"/>
    <s v="Gastroenterology"/>
    <x v="5"/>
    <x v="1"/>
    <s v="Clopidogrel 75mg OD"/>
    <n v="1"/>
    <s v="2777-1"/>
    <s v="Biochemistry"/>
    <s v="Serum phosphate"/>
    <x v="0"/>
    <s v="Not Tested"/>
    <n v="145"/>
    <n v="78"/>
    <x v="1"/>
    <s v="145/78"/>
    <n v="69"/>
    <n v="26"/>
    <n v="39.1"/>
    <n v="34.700000000000003"/>
    <s v="Obese"/>
    <n v="89"/>
    <s v="8480-6"/>
    <s v="8462-4"/>
    <s v="8867-4"/>
    <s v="39156-5"/>
    <s v="59408-5"/>
  </r>
  <r>
    <s v="PID-0023"/>
    <s v="ENC-0023-02"/>
    <x v="66"/>
    <x v="4"/>
    <x v="1"/>
    <x v="4"/>
    <s v="NP J. Nakamura"/>
    <d v="1961-06-10T00:00:00"/>
    <n v="61.958904109589042"/>
    <x v="3"/>
    <x v="0"/>
    <s v="White European"/>
    <x v="2"/>
    <x v="0"/>
    <x v="1"/>
    <s v="FA24"/>
    <s v="Gastroenterology"/>
    <x v="5"/>
    <x v="1"/>
    <s v="Amlodipine 5mg OD; Insulin glargine 20u ON; Omeprazole 20mg OD"/>
    <n v="3"/>
    <s v="789-8"/>
    <s v="Biochemistry"/>
    <s v="RBC count"/>
    <x v="1"/>
    <s v="Not Tested"/>
    <s v="Not Recorded"/>
    <s v="Not Recorded"/>
    <x v="2"/>
    <s v="Not Recorded/Not Recorded"/>
    <n v="105"/>
    <n v="23"/>
    <n v="37.700000000000003"/>
    <s v="Invalid"/>
    <s v="Obese"/>
    <n v="93"/>
    <s v="8480-6"/>
    <s v="8462-4"/>
    <s v="8867-4"/>
    <s v="39156-5"/>
    <s v="59408-5"/>
  </r>
  <r>
    <s v="PID-0023"/>
    <s v="ENC-0023-03"/>
    <x v="67"/>
    <x v="2"/>
    <x v="1"/>
    <x v="9"/>
    <s v="Dr. A. Mwangi"/>
    <d v="1961-06-10T00:00:00"/>
    <n v="64"/>
    <x v="3"/>
    <x v="0"/>
    <s v="East Asian"/>
    <x v="2"/>
    <x v="0"/>
    <x v="1"/>
    <s v="FA24"/>
    <s v="Gastroenterology"/>
    <x v="5"/>
    <x v="1"/>
    <s v="Furosemide 40mg OD; None"/>
    <n v="2"/>
    <s v="6768-6"/>
    <s v="Biochemistry"/>
    <s v="ALP"/>
    <x v="1"/>
    <s v="Not Tested"/>
    <s v="Not Recorded"/>
    <n v="99"/>
    <x v="2"/>
    <s v="Not Recorded/99"/>
    <n v="89"/>
    <n v="23"/>
    <n v="38.799999999999997"/>
    <n v="35.1"/>
    <s v="Obese"/>
    <n v="95"/>
    <s v="8480-6"/>
    <s v="8462-4"/>
    <s v="8867-4"/>
    <s v="39156-5"/>
    <s v="59408-5"/>
  </r>
  <r>
    <s v="PID-0023"/>
    <s v="ENC-0023-04"/>
    <x v="68"/>
    <x v="2"/>
    <x v="3"/>
    <x v="0"/>
    <s v="Dr. R. Mendes"/>
    <d v="1961-06-10T00:00:00"/>
    <n v="63.8"/>
    <x v="3"/>
    <x v="0"/>
    <s v="Middle Eastern"/>
    <x v="2"/>
    <x v="0"/>
    <x v="1"/>
    <s v="FA24"/>
    <s v="Gastroenterology"/>
    <x v="5"/>
    <x v="1"/>
    <s v="Metoprolol 50mg BD; Omeprazole 20mg OD; Amlodipine 10mg OD; Empagliflozin 10mg OD"/>
    <n v="4"/>
    <s v="2085-9"/>
    <s v="Biochemistry"/>
    <s v="HDL cholesterol"/>
    <x v="0"/>
    <s v="Not Tested"/>
    <n v="135"/>
    <n v="87"/>
    <x v="0"/>
    <s v="135/87"/>
    <n v="73"/>
    <n v="25"/>
    <n v="37.5"/>
    <n v="41.3"/>
    <s v="Obese"/>
    <n v="92"/>
    <s v="8480-6"/>
    <s v="8462-4"/>
    <s v="8867-4"/>
    <s v="39156-5"/>
    <s v="59408-5"/>
  </r>
  <r>
    <s v="PID-0024"/>
    <s v="ENC-0024-01"/>
    <x v="69"/>
    <x v="0"/>
    <x v="1"/>
    <x v="2"/>
    <s v="Dr. F. Hassan"/>
    <d v="1941-02-10T00:00:00"/>
    <n v="84"/>
    <x v="2"/>
    <x v="0"/>
    <s v="Black African"/>
    <x v="2"/>
    <x v="1"/>
    <x v="3"/>
    <s v="CA80"/>
    <s v="Respiratory"/>
    <x v="8"/>
    <x v="1"/>
    <s v="Amlodipine 10mg OD; Metformin 1g BD"/>
    <n v="2"/>
    <s v="2345-7"/>
    <s v="Biochemistry"/>
    <s v="Serum glucose (fasting)"/>
    <x v="0"/>
    <s v="Not Tested"/>
    <n v="180"/>
    <n v="68"/>
    <x v="1"/>
    <s v="180/68"/>
    <n v="84"/>
    <n v="18"/>
    <n v="36.1"/>
    <n v="19"/>
    <s v="Non-Obese"/>
    <n v="94"/>
    <s v="8480-6"/>
    <s v="8462-4"/>
    <s v="8867-4"/>
    <s v="39156-5"/>
    <s v="59408-5"/>
  </r>
  <r>
    <s v="PID-0024"/>
    <s v="ENC-0024-02"/>
    <x v="70"/>
    <x v="0"/>
    <x v="1"/>
    <x v="0"/>
    <s v="Dr. T. Osei"/>
    <d v="1941-02-10T00:00:00"/>
    <n v="84"/>
    <x v="2"/>
    <x v="0"/>
    <s v="Black African"/>
    <x v="2"/>
    <x v="1"/>
    <x v="3"/>
    <s v="CA80"/>
    <s v="Respiratory"/>
    <x v="8"/>
    <x v="1"/>
    <s v="Metoprolol 50mg BD; Amlodipine 5mg OD; Metformin 1g BD; Clopidogrel 75mg OD"/>
    <n v="4"/>
    <s v="4548-4"/>
    <s v="Biochemistry"/>
    <s v="HbA1c"/>
    <x v="1"/>
    <s v="High"/>
    <n v="153"/>
    <n v="102"/>
    <x v="1"/>
    <s v="153/102"/>
    <n v="60"/>
    <n v="17"/>
    <n v="38.700000000000003"/>
    <n v="37.299999999999997"/>
    <s v="Obese"/>
    <n v="89"/>
    <s v="8480-6"/>
    <s v="8462-4"/>
    <s v="8867-4"/>
    <s v="39156-5"/>
    <s v="59408-5"/>
  </r>
  <r>
    <s v="PID-0025"/>
    <s v="ENC-0025-01"/>
    <x v="71"/>
    <x v="4"/>
    <x v="0"/>
    <x v="7"/>
    <s v="Dr. F. Hassan"/>
    <d v="1977-05-04T00:00:00"/>
    <n v="48"/>
    <x v="1"/>
    <x v="1"/>
    <s v="Black African"/>
    <x v="3"/>
    <x v="1"/>
    <x v="0"/>
    <s v="5A11"/>
    <s v="Endocrine"/>
    <x v="13"/>
    <x v="1"/>
    <s v="Clopidogrel 75mg OD; Ramipril 5mg OD"/>
    <n v="2"/>
    <s v="4548-4"/>
    <s v="Biochemistry"/>
    <s v="HbA1c"/>
    <x v="1"/>
    <s v="High"/>
    <n v="149"/>
    <n v="56"/>
    <x v="1"/>
    <s v="149/56"/>
    <n v="89"/>
    <n v="16"/>
    <n v="36.5"/>
    <s v="Invalid"/>
    <s v="Obese"/>
    <n v="95"/>
    <s v="8480-6"/>
    <s v="8462-4"/>
    <s v="8867-4"/>
    <s v="39156-5"/>
    <s v="59408-5"/>
  </r>
  <r>
    <s v="PID-0025"/>
    <s v="ENC-0025-02"/>
    <x v="72"/>
    <x v="0"/>
    <x v="1"/>
    <x v="2"/>
    <s v="Dr. F. Hassan"/>
    <d v="1977-05-04T00:00:00"/>
    <n v="48"/>
    <x v="1"/>
    <x v="1"/>
    <s v="Mixed/Other"/>
    <x v="3"/>
    <x v="1"/>
    <x v="0"/>
    <s v="5A11"/>
    <s v="Endocrine"/>
    <x v="13"/>
    <x v="1"/>
    <s v="Clopidogrel 75mg OD"/>
    <n v="1"/>
    <s v="17861-6"/>
    <s v="Biochemistry"/>
    <s v="Serum calcium"/>
    <x v="1"/>
    <s v="Not Tested"/>
    <s v="Not Recorded"/>
    <n v="78"/>
    <x v="2"/>
    <s v="Not Recorded/78"/>
    <n v="78"/>
    <n v="24"/>
    <n v="37.1"/>
    <n v="19.399999999999999"/>
    <s v="Non-Obese"/>
    <n v="90"/>
    <s v="8480-6"/>
    <s v="8462-4"/>
    <s v="8867-4"/>
    <s v="39156-5"/>
    <s v="59408-5"/>
  </r>
  <r>
    <s v="PID-0026"/>
    <s v="ENC-0026-01"/>
    <x v="73"/>
    <x v="0"/>
    <x v="0"/>
    <x v="4"/>
    <s v="Dr. T. Osei"/>
    <d v="1984-03-03T00:00:00"/>
    <n v="41"/>
    <x v="1"/>
    <x v="1"/>
    <s v="East Asian"/>
    <x v="2"/>
    <x v="2"/>
    <x v="0"/>
    <s v="LA90"/>
    <s v="Renal"/>
    <x v="2"/>
    <x v="1"/>
    <s v="Insulin glargine 20u ON; Lisinopril 10mg OD; Levothyroxine 50mcg OD"/>
    <n v="3"/>
    <s v="789-8"/>
    <s v="Biochemistry"/>
    <s v="RBC count"/>
    <x v="1"/>
    <s v="Not Tested"/>
    <n v="123"/>
    <n v="74"/>
    <x v="0"/>
    <s v="123/74"/>
    <n v="80"/>
    <n v="25"/>
    <n v="37.5"/>
    <n v="18.5"/>
    <s v="Non-Obese"/>
    <n v="95"/>
    <s v="8480-6"/>
    <s v="8462-4"/>
    <s v="8867-4"/>
    <s v="39156-5"/>
    <s v="59408-5"/>
  </r>
  <r>
    <s v="PID-0027"/>
    <s v="ENC-0027-01"/>
    <x v="74"/>
    <x v="4"/>
    <x v="3"/>
    <x v="4"/>
    <s v="NP J. Nakamura"/>
    <d v="1958-06-06T00:00:00"/>
    <n v="67"/>
    <x v="2"/>
    <x v="1"/>
    <s v="Black African"/>
    <x v="3"/>
    <x v="3"/>
    <x v="1"/>
    <s v="BA80,5A11"/>
    <s v="Multi-system"/>
    <x v="6"/>
    <x v="1"/>
    <s v="Omeprazole 20mg OD; Metoprolol 50mg BD; Ramipril 5mg OD"/>
    <n v="3"/>
    <s v="2777-1"/>
    <s v="Biochemistry"/>
    <s v="Serum phosphate"/>
    <x v="0"/>
    <s v="Not Tested"/>
    <n v="133"/>
    <n v="81"/>
    <x v="0"/>
    <s v="133/81"/>
    <n v="125"/>
    <n v="15"/>
    <n v="36.9"/>
    <n v="20.399999999999999"/>
    <s v="Non-Obese"/>
    <n v="91"/>
    <s v="8480-6"/>
    <s v="8462-4"/>
    <s v="8867-4"/>
    <s v="39156-5"/>
    <s v="59408-5"/>
  </r>
  <r>
    <s v="PID-0027"/>
    <s v="ENC-0027-02"/>
    <x v="74"/>
    <x v="4"/>
    <x v="2"/>
    <x v="9"/>
    <s v="Dr. A. Mwangi"/>
    <d v="1958-06-06T00:00:00"/>
    <n v="67"/>
    <x v="2"/>
    <x v="1"/>
    <s v="White European"/>
    <x v="3"/>
    <x v="3"/>
    <x v="1"/>
    <s v="BA80,5A11"/>
    <s v="Multi-system"/>
    <x v="6"/>
    <x v="1"/>
    <s v="Insulin glargine 20u ON; Empagliflozin 10mg OD; Furosemide 40mg OD; Amlodipine 5mg OD"/>
    <n v="4"/>
    <s v="718-7"/>
    <s v="Biochemistry"/>
    <s v="Haemoglobin"/>
    <x v="0"/>
    <s v="Not Tested"/>
    <n v="173"/>
    <n v="76"/>
    <x v="1"/>
    <s v="173/76"/>
    <n v="125"/>
    <n v="16"/>
    <n v="39.1"/>
    <n v="44.5"/>
    <s v="Obese"/>
    <n v="88"/>
    <s v="8480-6"/>
    <s v="8462-4"/>
    <s v="8867-4"/>
    <s v="39156-5"/>
    <s v="59408-5"/>
  </r>
  <r>
    <s v="PID-0027"/>
    <s v="ENC-0027-03"/>
    <x v="75"/>
    <x v="2"/>
    <x v="1"/>
    <x v="7"/>
    <s v="Dr. F. Hassan"/>
    <d v="1958-06-06T00:00:00"/>
    <n v="67"/>
    <x v="2"/>
    <x v="1"/>
    <s v="East Asian"/>
    <x v="3"/>
    <x v="3"/>
    <x v="1"/>
    <s v="BA80,5A11"/>
    <s v="Multi-system"/>
    <x v="6"/>
    <x v="1"/>
    <s v="Insulin glargine 20u ON; Metoprolol 50mg BD; Metformin 1g BD"/>
    <n v="3"/>
    <s v="6768-6"/>
    <s v="Biochemistry"/>
    <s v="ALP"/>
    <x v="1"/>
    <s v="Not Tested"/>
    <n v="116"/>
    <n v="94"/>
    <x v="1"/>
    <s v="116/94"/>
    <n v="77"/>
    <n v="27"/>
    <n v="36.1"/>
    <n v="21.9"/>
    <s v="Non-Obese"/>
    <n v="93"/>
    <s v="8480-6"/>
    <s v="8462-4"/>
    <s v="8867-4"/>
    <s v="39156-5"/>
    <s v="59408-5"/>
  </r>
  <r>
    <s v="PID-0027"/>
    <s v="ENC-0027-04"/>
    <x v="76"/>
    <x v="2"/>
    <x v="4"/>
    <x v="9"/>
    <s v="Dr. R. Mendes"/>
    <d v="1958-06-06T00:00:00"/>
    <n v="67"/>
    <x v="2"/>
    <x v="1"/>
    <s v="Black African"/>
    <x v="3"/>
    <x v="3"/>
    <x v="1"/>
    <s v="BA80,5A11"/>
    <s v="Multi-system"/>
    <x v="6"/>
    <x v="1"/>
    <s v="Bisoprolol 5mg OD; Metoprolol 50mg BD; Warfarin (variable)"/>
    <n v="3"/>
    <s v="6768-6"/>
    <s v="Biochemistry"/>
    <s v="ALP"/>
    <x v="1"/>
    <s v="Not Tested"/>
    <n v="153"/>
    <n v="70"/>
    <x v="1"/>
    <s v="153/70"/>
    <n v="59"/>
    <n v="24"/>
    <n v="37.6"/>
    <n v="28.5"/>
    <s v="Non-Obese"/>
    <n v="94"/>
    <s v="8480-6"/>
    <s v="8462-4"/>
    <s v="8867-4"/>
    <s v="39156-5"/>
    <s v="59408-5"/>
  </r>
  <r>
    <s v="PID-0027"/>
    <s v="ENC-0027-05"/>
    <x v="77"/>
    <x v="2"/>
    <x v="4"/>
    <x v="1"/>
    <s v="Dr. L. Patel"/>
    <d v="1958-06-06T00:00:00"/>
    <n v="67"/>
    <x v="2"/>
    <x v="1"/>
    <s v="Hispanic/Latino"/>
    <x v="3"/>
    <x v="3"/>
    <x v="1"/>
    <s v="BA80,5A11"/>
    <s v="Multi-system"/>
    <x v="6"/>
    <x v="1"/>
    <s v="Insulin glargine 20u ON; Metformin 1g BD; Prednisolone 5mg OD"/>
    <n v="3"/>
    <s v="13457-7"/>
    <s v="Biochemistry"/>
    <s v="LDL cholesterol"/>
    <x v="1"/>
    <s v="Not Tested"/>
    <n v="172"/>
    <n v="82"/>
    <x v="1"/>
    <s v="172/82"/>
    <n v="117"/>
    <n v="19"/>
    <n v="36.299999999999997"/>
    <n v="36.9"/>
    <s v="Obese"/>
    <n v="98"/>
    <s v="8480-6"/>
    <s v="8462-4"/>
    <s v="8867-4"/>
    <s v="39156-5"/>
    <s v="59408-5"/>
  </r>
  <r>
    <s v="PID-0027"/>
    <s v="ENC-0027-06"/>
    <x v="78"/>
    <x v="3"/>
    <x v="2"/>
    <x v="0"/>
    <s v="Dr. S. Okonkwo"/>
    <d v="1958-06-06T00:00:00"/>
    <n v="67"/>
    <x v="2"/>
    <x v="1"/>
    <s v="Black African"/>
    <x v="3"/>
    <x v="3"/>
    <x v="1"/>
    <s v="BA80,5A11"/>
    <s v="Multi-system"/>
    <x v="6"/>
    <x v="1"/>
    <s v="Amlodipine 5mg OD; Insulin glargine 20u ON; Prednisolone 5mg OD; Clopidogrel 75mg OD"/>
    <n v="4"/>
    <s v="2951-2"/>
    <s v="Biochemistry"/>
    <s v="Serum sodium"/>
    <x v="2"/>
    <s v="Not Tested"/>
    <n v="178"/>
    <n v="93"/>
    <x v="1"/>
    <s v="178/93"/>
    <n v="110"/>
    <n v="20"/>
    <n v="36.4"/>
    <n v="23.2"/>
    <s v="Non-Obese"/>
    <n v="89"/>
    <s v="8480-6"/>
    <s v="8462-4"/>
    <s v="8867-4"/>
    <s v="39156-5"/>
    <s v="59408-5"/>
  </r>
  <r>
    <s v="PID-0028"/>
    <s v="ENC-0028-01"/>
    <x v="79"/>
    <x v="2"/>
    <x v="0"/>
    <x v="5"/>
    <s v="Dr. L. Patel"/>
    <d v="1957-12-24T00:00:00"/>
    <n v="68"/>
    <x v="2"/>
    <x v="1"/>
    <s v="South Asian"/>
    <x v="3"/>
    <x v="1"/>
    <x v="0"/>
    <s v="BA80,5A11"/>
    <s v="Multi-system"/>
    <x v="6"/>
    <x v="1"/>
    <s v="Salbutamol 100mcg PRN; Ramipril 5mg OD"/>
    <n v="2"/>
    <s v="4548-4"/>
    <s v="Biochemistry"/>
    <s v="HbA1c"/>
    <x v="1"/>
    <s v="High"/>
    <s v="Not Recorded"/>
    <s v="Not Recorded"/>
    <x v="2"/>
    <s v="Not Recorded/Not Recorded"/>
    <n v="101"/>
    <n v="18"/>
    <n v="38.799999999999997"/>
    <n v="39.700000000000003"/>
    <s v="Obese"/>
    <n v="95"/>
    <s v="8480-6"/>
    <s v="8462-4"/>
    <s v="8867-4"/>
    <s v="39156-5"/>
    <s v="59408-5"/>
  </r>
  <r>
    <s v="PID-0028"/>
    <s v="ENC-0028-02"/>
    <x v="80"/>
    <x v="4"/>
    <x v="1"/>
    <x v="3"/>
    <s v="Dr. F. Hassan"/>
    <d v="1957-12-24T00:00:00"/>
    <n v="68"/>
    <x v="2"/>
    <x v="1"/>
    <s v="Middle Eastern"/>
    <x v="3"/>
    <x v="1"/>
    <x v="0"/>
    <s v="BA80,5A11"/>
    <s v="Multi-system"/>
    <x v="6"/>
    <x v="1"/>
    <s v="Clopidogrel 75mg OD; None"/>
    <n v="2"/>
    <s v="4548-4"/>
    <s v="Biochemistry"/>
    <s v="HbA1c"/>
    <x v="1"/>
    <s v="High"/>
    <n v="171"/>
    <s v="Not Recorded"/>
    <x v="2"/>
    <s v="171/Not Recorded"/>
    <n v="98"/>
    <n v="21"/>
    <n v="36.4"/>
    <n v="26.1"/>
    <s v="Non-Obese"/>
    <n v="94"/>
    <s v="8480-6"/>
    <s v="8462-4"/>
    <s v="8867-4"/>
    <s v="39156-5"/>
    <s v="59408-5"/>
  </r>
  <r>
    <s v="PID-0028"/>
    <s v="ENC-0028-03"/>
    <x v="80"/>
    <x v="3"/>
    <x v="4"/>
    <x v="9"/>
    <s v="Dr. S. Okonkwo"/>
    <d v="1957-12-24T00:00:00"/>
    <n v="68"/>
    <x v="2"/>
    <x v="1"/>
    <s v="Hispanic/Latino"/>
    <x v="3"/>
    <x v="1"/>
    <x v="0"/>
    <s v="BA80,5A11"/>
    <s v="Multi-system"/>
    <x v="6"/>
    <x v="1"/>
    <s v="Omeprazole 20mg OD; Dapagliflozin 10mg OD; Aspirin 75mg OD"/>
    <n v="3"/>
    <s v="14627-4"/>
    <s v="Biochemistry"/>
    <s v="eGFR (CKD-EPI)"/>
    <x v="1"/>
    <s v="Not Tested"/>
    <s v="Not Recorded"/>
    <n v="94"/>
    <x v="2"/>
    <s v="Not Recorded/94"/>
    <n v="108"/>
    <n v="19"/>
    <n v="38"/>
    <n v="31.7"/>
    <s v="Obese"/>
    <n v="95"/>
    <s v="8480-6"/>
    <s v="8462-4"/>
    <s v="8867-4"/>
    <s v="39156-5"/>
    <s v="59408-5"/>
  </r>
  <r>
    <s v="PID-0028"/>
    <s v="ENC-0028-04"/>
    <x v="81"/>
    <x v="4"/>
    <x v="3"/>
    <x v="5"/>
    <s v="Dr. Y. Kim"/>
    <d v="1957-12-24T00:00:00"/>
    <n v="65.942465753424656"/>
    <x v="2"/>
    <x v="1"/>
    <s v="East Asian"/>
    <x v="3"/>
    <x v="1"/>
    <x v="0"/>
    <s v="BA80,5A11"/>
    <s v="Multi-system"/>
    <x v="6"/>
    <x v="1"/>
    <s v="Levothyroxine 50mcg OD"/>
    <n v="1"/>
    <s v="718-7"/>
    <s v="Biochemistry"/>
    <s v="Haemoglobin"/>
    <x v="0"/>
    <s v="Not Tested"/>
    <s v="Not Recorded"/>
    <s v="Not Recorded"/>
    <x v="2"/>
    <s v="Not Recorded/Not Recorded"/>
    <n v="124"/>
    <n v="18"/>
    <n v="37.299999999999997"/>
    <n v="39.200000000000003"/>
    <s v="Obese"/>
    <n v="94"/>
    <s v="8480-6"/>
    <s v="8462-4"/>
    <s v="8867-4"/>
    <s v="39156-5"/>
    <s v="59408-5"/>
  </r>
  <r>
    <s v="PID-0028"/>
    <s v="ENC-0028-05"/>
    <x v="82"/>
    <x v="1"/>
    <x v="3"/>
    <x v="7"/>
    <s v="NP J. Nakamura"/>
    <d v="1957-12-24T00:00:00"/>
    <n v="65.761643835616439"/>
    <x v="2"/>
    <x v="1"/>
    <s v="White European"/>
    <x v="3"/>
    <x v="1"/>
    <x v="0"/>
    <s v="BA80,5A11"/>
    <s v="Multi-system"/>
    <x v="6"/>
    <x v="1"/>
    <s v="Dapagliflozin 10mg OD; Omeprazole 20mg OD; None; Amlodipine 5mg OD"/>
    <n v="4"/>
    <s v="2093-3"/>
    <s v="Biochemistry"/>
    <s v="Total cholesterol"/>
    <x v="0"/>
    <s v="Not Tested"/>
    <s v="Not Recorded"/>
    <s v="Not Recorded"/>
    <x v="2"/>
    <s v="Not Recorded/Not Recorded"/>
    <n v="111"/>
    <n v="27"/>
    <n v="38.299999999999997"/>
    <n v="22.9"/>
    <s v="Non-Obese"/>
    <n v="89"/>
    <s v="8480-6"/>
    <s v="8462-4"/>
    <s v="8867-4"/>
    <s v="39156-5"/>
    <s v="59408-5"/>
  </r>
  <r>
    <s v="PID-0029"/>
    <s v="ENC-0029-01"/>
    <x v="83"/>
    <x v="1"/>
    <x v="3"/>
    <x v="4"/>
    <s v="Dr. F. Hassan"/>
    <d v="1971-09-01T00:00:00"/>
    <n v="54"/>
    <x v="3"/>
    <x v="1"/>
    <s v="Mixed/Other"/>
    <x v="0"/>
    <x v="3"/>
    <x v="1"/>
    <s v="BA41"/>
    <s v="Cardiovascular"/>
    <x v="4"/>
    <x v="0"/>
    <s v="None; Atorvastatin 40mg ON; Salbutamol 100mcg PRN"/>
    <n v="3"/>
    <s v="2345-7"/>
    <s v="Biochemistry"/>
    <s v="Serum glucose (fasting)"/>
    <x v="0"/>
    <s v="Not Tested"/>
    <n v="99"/>
    <n v="58"/>
    <x v="0"/>
    <s v="99/58"/>
    <n v="92"/>
    <n v="18"/>
    <n v="36.9"/>
    <n v="28.5"/>
    <s v="Non-Obese"/>
    <n v="93"/>
    <s v="8480-6"/>
    <s v="8462-4"/>
    <s v="8867-4"/>
    <s v="39156-5"/>
    <s v="59408-5"/>
  </r>
  <r>
    <s v="PID-0029"/>
    <s v="ENC-0029-02"/>
    <x v="83"/>
    <x v="4"/>
    <x v="4"/>
    <x v="3"/>
    <s v="Dr. F. Hassan"/>
    <d v="1971-09-01T00:00:00"/>
    <n v="54"/>
    <x v="3"/>
    <x v="1"/>
    <s v="White European"/>
    <x v="0"/>
    <x v="3"/>
    <x v="1"/>
    <s v="BA41"/>
    <s v="Cardiovascular"/>
    <x v="4"/>
    <x v="0"/>
    <s v="Empagliflozin 10mg OD; Metoprolol 50mg BD; Salbutamol 100mcg PRN; None"/>
    <n v="4"/>
    <s v="2823-3"/>
    <s v="Biochemistry"/>
    <s v="Serum potassium"/>
    <x v="0"/>
    <s v="Not Tested"/>
    <n v="163"/>
    <n v="67"/>
    <x v="1"/>
    <s v="163/67"/>
    <n v="88"/>
    <n v="20"/>
    <n v="36.1"/>
    <n v="21.4"/>
    <s v="Non-Obese"/>
    <n v="91"/>
    <s v="8480-6"/>
    <s v="8462-4"/>
    <s v="8867-4"/>
    <s v="39156-5"/>
    <s v="59408-5"/>
  </r>
  <r>
    <s v="PID-0030"/>
    <s v="ENC-0030-01"/>
    <x v="84"/>
    <x v="2"/>
    <x v="3"/>
    <x v="0"/>
    <s v="Dr. T. Osei"/>
    <d v="1969-10-11T00:00:00"/>
    <n v="56"/>
    <x v="3"/>
    <x v="1"/>
    <s v="White European"/>
    <x v="3"/>
    <x v="3"/>
    <x v="2"/>
    <s v="BA80,5A11,5A00"/>
    <s v="Multi-system"/>
    <x v="11"/>
    <x v="1"/>
    <s v="Bisoprolol 5mg OD; Clopidogrel 75mg OD; Aspirin 75mg OD; Lisinopril 10mg OD"/>
    <n v="4"/>
    <s v="6768-6"/>
    <s v="Biochemistry"/>
    <s v="ALP"/>
    <x v="1"/>
    <s v="Not Tested"/>
    <n v="125"/>
    <n v="62"/>
    <x v="0"/>
    <s v="125/62"/>
    <n v="81"/>
    <n v="17"/>
    <n v="38.9"/>
    <n v="42.4"/>
    <s v="Obese"/>
    <n v="95"/>
    <s v="8480-6"/>
    <s v="8462-4"/>
    <s v="8867-4"/>
    <s v="39156-5"/>
    <s v="59408-5"/>
  </r>
  <r>
    <s v="PID-0030"/>
    <s v="ENC-0030-02"/>
    <x v="85"/>
    <x v="2"/>
    <x v="3"/>
    <x v="2"/>
    <s v="Dr. L. Patel"/>
    <d v="1969-10-11T00:00:00"/>
    <n v="56"/>
    <x v="3"/>
    <x v="1"/>
    <s v="Mixed/Other"/>
    <x v="3"/>
    <x v="3"/>
    <x v="2"/>
    <s v="BA80,5A11,5A00"/>
    <s v="Multi-system"/>
    <x v="11"/>
    <x v="1"/>
    <s v="Ramipril 5mg OD; Empagliflozin 10mg OD"/>
    <n v="2"/>
    <s v="2085-9"/>
    <s v="Biochemistry"/>
    <s v="HDL cholesterol"/>
    <x v="0"/>
    <s v="Not Tested"/>
    <n v="117"/>
    <n v="89"/>
    <x v="0"/>
    <s v="117/89"/>
    <n v="103"/>
    <n v="15"/>
    <n v="37.4"/>
    <n v="29.4"/>
    <s v="Non-Obese"/>
    <n v="92"/>
    <s v="8480-6"/>
    <s v="8462-4"/>
    <s v="8867-4"/>
    <s v="39156-5"/>
    <s v="59408-5"/>
  </r>
  <r>
    <s v="PID-0030"/>
    <s v="ENC-0030-03"/>
    <x v="86"/>
    <x v="4"/>
    <x v="4"/>
    <x v="7"/>
    <s v="Dr. Y. Kim"/>
    <d v="1969-10-11T00:00:00"/>
    <n v="56"/>
    <x v="3"/>
    <x v="1"/>
    <s v="White European"/>
    <x v="3"/>
    <x v="3"/>
    <x v="2"/>
    <s v="BA80,5A11,5A00"/>
    <s v="Multi-system"/>
    <x v="11"/>
    <x v="1"/>
    <s v="Bisoprolol 5mg OD; Dapagliflozin 10mg OD; Warfarin (variable)"/>
    <n v="3"/>
    <s v="6768-6"/>
    <s v="Biochemistry"/>
    <s v="ALP"/>
    <x v="1"/>
    <s v="Not Tested"/>
    <n v="145"/>
    <n v="115"/>
    <x v="1"/>
    <s v="145/115"/>
    <n v="86"/>
    <n v="18"/>
    <n v="39.1"/>
    <n v="30.6"/>
    <s v="Obese"/>
    <n v="94"/>
    <s v="8480-6"/>
    <s v="8462-4"/>
    <s v="8867-4"/>
    <s v="39156-5"/>
    <s v="59408-5"/>
  </r>
  <r>
    <s v="PID-0030"/>
    <s v="ENC-0030-04"/>
    <x v="87"/>
    <x v="3"/>
    <x v="3"/>
    <x v="4"/>
    <s v="Dr. L. Patel"/>
    <d v="1969-10-11T00:00:00"/>
    <n v="56"/>
    <x v="3"/>
    <x v="1"/>
    <s v="South Asian"/>
    <x v="3"/>
    <x v="3"/>
    <x v="2"/>
    <s v="BA80,5A11,5A00"/>
    <s v="Multi-system"/>
    <x v="11"/>
    <x v="1"/>
    <s v="Omeprazole 20mg OD; Atorvastatin 40mg ON; Prednisolone 5mg OD"/>
    <n v="3"/>
    <s v="2345-7"/>
    <s v="Biochemistry"/>
    <s v="Serum glucose (fasting)"/>
    <x v="0"/>
    <s v="Not Tested"/>
    <n v="164"/>
    <n v="97"/>
    <x v="1"/>
    <s v="164/97"/>
    <n v="102"/>
    <n v="20"/>
    <n v="37.5"/>
    <n v="33.5"/>
    <s v="Obese"/>
    <n v="99"/>
    <s v="8480-6"/>
    <s v="8462-4"/>
    <s v="8867-4"/>
    <s v="39156-5"/>
    <s v="59408-5"/>
  </r>
  <r>
    <s v="PID-0030"/>
    <s v="ENC-0030-05"/>
    <x v="88"/>
    <x v="1"/>
    <x v="2"/>
    <x v="3"/>
    <s v="Dr. R. Mendes"/>
    <d v="1969-10-11T00:00:00"/>
    <n v="56"/>
    <x v="3"/>
    <x v="1"/>
    <s v="White European"/>
    <x v="3"/>
    <x v="3"/>
    <x v="2"/>
    <s v="BA80,5A11,5A00"/>
    <s v="Multi-system"/>
    <x v="11"/>
    <x v="1"/>
    <s v="Prednisolone 5mg OD; Bisoprolol 5mg OD; Salbutamol 100mcg PRN"/>
    <n v="3"/>
    <s v="4548-4"/>
    <s v="Biochemistry"/>
    <s v="HbA1c"/>
    <x v="1"/>
    <s v="High"/>
    <n v="121"/>
    <n v="98"/>
    <x v="1"/>
    <s v="121/98"/>
    <n v="76"/>
    <n v="19"/>
    <n v="36.799999999999997"/>
    <n v="31.2"/>
    <s v="Obese"/>
    <n v="90"/>
    <s v="8480-6"/>
    <s v="8462-4"/>
    <s v="8867-4"/>
    <s v="39156-5"/>
    <s v="59408-5"/>
  </r>
  <r>
    <s v="PID-0031"/>
    <s v="ENC-0031-01"/>
    <x v="89"/>
    <x v="0"/>
    <x v="0"/>
    <x v="5"/>
    <s v="Dr. R. Mendes"/>
    <d v="1940-04-21T00:00:00"/>
    <n v="85"/>
    <x v="2"/>
    <x v="0"/>
    <s v="Mixed/Other"/>
    <x v="1"/>
    <x v="1"/>
    <x v="1"/>
    <s v="3A00"/>
    <s v="Haematological"/>
    <x v="0"/>
    <x v="0"/>
    <s v="Dapagliflozin 10mg OD; Warfarin (variable); Omeprazole 20mg OD; Levothyroxine 50mcg OD"/>
    <n v="4"/>
    <s v="2777-1"/>
    <s v="Biochemistry"/>
    <s v="Serum phosphate"/>
    <x v="0"/>
    <s v="Not Tested"/>
    <n v="156"/>
    <n v="63"/>
    <x v="1"/>
    <s v="156/63"/>
    <n v="122"/>
    <n v="28"/>
    <n v="36.5"/>
    <n v="36.1"/>
    <s v="Obese"/>
    <n v="98"/>
    <s v="8480-6"/>
    <s v="8462-4"/>
    <s v="8867-4"/>
    <s v="39156-5"/>
    <s v="59408-5"/>
  </r>
  <r>
    <s v="PID-0032"/>
    <s v="ENC-0032-01"/>
    <x v="90"/>
    <x v="4"/>
    <x v="0"/>
    <x v="4"/>
    <s v="Dr. L. Patel"/>
    <d v="1985-07-27T00:00:00"/>
    <n v="40"/>
    <x v="1"/>
    <x v="0"/>
    <s v="Hispanic/Latino"/>
    <x v="3"/>
    <x v="1"/>
    <x v="3"/>
    <s v="5A00"/>
    <s v="Endocrine"/>
    <x v="15"/>
    <x v="1"/>
    <s v="Salbutamol 100mcg PRN; Empagliflozin 10mg OD; Metoprolol 50mg BD; Bisoprolol 5mg OD"/>
    <n v="4"/>
    <s v="789-8"/>
    <s v="Biochemistry"/>
    <s v="RBC count"/>
    <x v="1"/>
    <s v="Not Tested"/>
    <n v="174"/>
    <n v="56"/>
    <x v="1"/>
    <s v="174/56"/>
    <n v="93"/>
    <n v="14"/>
    <n v="39.1"/>
    <n v="25.6"/>
    <s v="Non-Obese"/>
    <n v="100"/>
    <s v="8480-6"/>
    <s v="8462-4"/>
    <s v="8867-4"/>
    <s v="39156-5"/>
    <s v="59408-5"/>
  </r>
  <r>
    <s v="PID-0033"/>
    <s v="ENC-0033-01"/>
    <x v="91"/>
    <x v="3"/>
    <x v="1"/>
    <x v="9"/>
    <s v="Dr. Y. Kim"/>
    <d v="1975-12-06T00:00:00"/>
    <n v="50"/>
    <x v="3"/>
    <x v="1"/>
    <s v="South Asian"/>
    <x v="2"/>
    <x v="3"/>
    <x v="3"/>
    <s v="BA80"/>
    <s v="Cardiovascular"/>
    <x v="16"/>
    <x v="1"/>
    <s v="Aspirin 75mg OD; Amlodipine 5mg OD; Bisoprolol 5mg OD"/>
    <n v="3"/>
    <s v="2160-0"/>
    <s v="Biochemistry"/>
    <s v="Serum creatinine"/>
    <x v="0"/>
    <s v="Not Tested"/>
    <n v="176"/>
    <n v="105"/>
    <x v="1"/>
    <s v="176/105"/>
    <n v="89"/>
    <n v="13"/>
    <n v="38.1"/>
    <n v="22.8"/>
    <s v="Non-Obese"/>
    <n v="89"/>
    <s v="8480-6"/>
    <s v="8462-4"/>
    <s v="8867-4"/>
    <s v="39156-5"/>
    <s v="59408-5"/>
  </r>
  <r>
    <s v="PID-0033"/>
    <s v="ENC-0033-02"/>
    <x v="92"/>
    <x v="0"/>
    <x v="0"/>
    <x v="1"/>
    <s v="Dr. F. Hassan"/>
    <d v="1975-12-06T00:00:00"/>
    <n v="50"/>
    <x v="3"/>
    <x v="1"/>
    <s v="Mixed/Other"/>
    <x v="2"/>
    <x v="3"/>
    <x v="3"/>
    <s v="BA80"/>
    <s v="Cardiovascular"/>
    <x v="16"/>
    <x v="1"/>
    <s v="Amlodipine 10mg OD; Empagliflozin 10mg OD"/>
    <n v="2"/>
    <s v="2093-3"/>
    <s v="Biochemistry"/>
    <s v="Total cholesterol"/>
    <x v="0"/>
    <s v="Not Tested"/>
    <n v="147"/>
    <n v="89"/>
    <x v="1"/>
    <s v="147/89"/>
    <n v="70"/>
    <n v="18"/>
    <n v="36.799999999999997"/>
    <n v="36.5"/>
    <s v="Obese"/>
    <n v="93"/>
    <s v="8480-6"/>
    <s v="8462-4"/>
    <s v="8867-4"/>
    <s v="39156-5"/>
    <s v="59408-5"/>
  </r>
  <r>
    <s v="PID-0033"/>
    <s v="ENC-0033-03"/>
    <x v="93"/>
    <x v="2"/>
    <x v="3"/>
    <x v="7"/>
    <s v="Dr. F. Hassan"/>
    <d v="1975-12-06T00:00:00"/>
    <n v="50"/>
    <x v="3"/>
    <x v="1"/>
    <s v="Black African"/>
    <x v="2"/>
    <x v="3"/>
    <x v="3"/>
    <s v="BA80"/>
    <s v="Cardiovascular"/>
    <x v="16"/>
    <x v="1"/>
    <s v="Prednisolone 5mg OD; Warfarin (variable); Aspirin 75mg OD; Metformin 1g BD"/>
    <n v="4"/>
    <s v="718-7"/>
    <s v="Biochemistry"/>
    <s v="Haemoglobin"/>
    <x v="0"/>
    <s v="Not Tested"/>
    <n v="115"/>
    <n v="63"/>
    <x v="0"/>
    <s v="115/63"/>
    <n v="61"/>
    <n v="24"/>
    <n v="37.9"/>
    <n v="29.4"/>
    <s v="Non-Obese"/>
    <n v="94"/>
    <s v="8480-6"/>
    <s v="8462-4"/>
    <s v="8867-4"/>
    <s v="39156-5"/>
    <s v="59408-5"/>
  </r>
  <r>
    <s v="PID-0033"/>
    <s v="ENC-0033-04"/>
    <x v="94"/>
    <x v="2"/>
    <x v="3"/>
    <x v="2"/>
    <s v="NP J. Nakamura"/>
    <d v="1975-12-06T00:00:00"/>
    <n v="50"/>
    <x v="3"/>
    <x v="1"/>
    <s v="White European"/>
    <x v="2"/>
    <x v="3"/>
    <x v="3"/>
    <s v="BA80"/>
    <s v="Cardiovascular"/>
    <x v="16"/>
    <x v="1"/>
    <s v="Atorvastatin 40mg ON; Warfarin (variable); Dapagliflozin 10mg OD; Metformin 1g BD"/>
    <n v="4"/>
    <s v="2951-2"/>
    <s v="Biochemistry"/>
    <s v="Serum sodium"/>
    <x v="2"/>
    <s v="Not Tested"/>
    <n v="105"/>
    <n v="105"/>
    <x v="1"/>
    <s v="105/105"/>
    <n v="118"/>
    <n v="15"/>
    <n v="37.700000000000003"/>
    <n v="22.2"/>
    <s v="Non-Obese"/>
    <n v="98"/>
    <s v="8480-6"/>
    <s v="8462-4"/>
    <s v="8867-4"/>
    <s v="39156-5"/>
    <s v="59408-5"/>
  </r>
  <r>
    <s v="PID-0033"/>
    <s v="ENC-0033-05"/>
    <x v="95"/>
    <x v="2"/>
    <x v="0"/>
    <x v="2"/>
    <s v="Dr. T. Osei"/>
    <d v="1975-12-06T00:00:00"/>
    <n v="50"/>
    <x v="3"/>
    <x v="1"/>
    <s v="South Asian"/>
    <x v="2"/>
    <x v="3"/>
    <x v="3"/>
    <s v="BA80"/>
    <s v="Cardiovascular"/>
    <x v="16"/>
    <x v="1"/>
    <s v="Warfarin (variable)"/>
    <n v="1"/>
    <s v="2085-9"/>
    <s v="Biochemistry"/>
    <s v="HDL cholesterol"/>
    <x v="0"/>
    <s v="Not Tested"/>
    <n v="132"/>
    <n v="89"/>
    <x v="0"/>
    <s v="132/89"/>
    <n v="92"/>
    <n v="23"/>
    <n v="37"/>
    <n v="18.100000000000001"/>
    <s v="Non-Obese"/>
    <n v="90"/>
    <s v="8480-6"/>
    <s v="8462-4"/>
    <s v="8867-4"/>
    <s v="39156-5"/>
    <s v="59408-5"/>
  </r>
  <r>
    <s v="PID-0033"/>
    <s v="ENC-0033-06"/>
    <x v="96"/>
    <x v="3"/>
    <x v="3"/>
    <x v="6"/>
    <s v="Dr. T. Osei"/>
    <d v="1975-12-06T00:00:00"/>
    <n v="50"/>
    <x v="3"/>
    <x v="1"/>
    <s v="Black African"/>
    <x v="2"/>
    <x v="3"/>
    <x v="3"/>
    <s v="BA80"/>
    <s v="Cardiovascular"/>
    <x v="16"/>
    <x v="1"/>
    <s v="Ramipril 5mg OD; Insulin glargine 20u ON"/>
    <n v="2"/>
    <s v="4548-4"/>
    <s v="Biochemistry"/>
    <s v="HbA1c"/>
    <x v="1"/>
    <s v="High"/>
    <n v="101"/>
    <n v="115"/>
    <x v="1"/>
    <s v="101/115"/>
    <n v="120"/>
    <n v="13"/>
    <n v="39"/>
    <n v="18.399999999999999"/>
    <s v="Non-Obese"/>
    <n v="92"/>
    <s v="8480-6"/>
    <s v="8462-4"/>
    <s v="8867-4"/>
    <s v="39156-5"/>
    <s v="59408-5"/>
  </r>
  <r>
    <s v="PID-0034"/>
    <s v="ENC-0034-01"/>
    <x v="97"/>
    <x v="3"/>
    <x v="2"/>
    <x v="2"/>
    <s v="Dr. R. Mendes"/>
    <d v="1963-02-06T00:00:00"/>
    <n v="62"/>
    <x v="3"/>
    <x v="0"/>
    <s v="White European"/>
    <x v="0"/>
    <x v="2"/>
    <x v="0"/>
    <s v="FA24"/>
    <s v="Gastroenterology"/>
    <x v="5"/>
    <x v="1"/>
    <s v="Atorvastatin 40mg ON; Lisinopril 10mg OD"/>
    <n v="2"/>
    <s v="2085-9"/>
    <s v="Biochemistry"/>
    <s v="HDL cholesterol"/>
    <x v="0"/>
    <s v="Not Tested"/>
    <n v="137"/>
    <n v="98"/>
    <x v="1"/>
    <s v="137/98"/>
    <n v="82"/>
    <n v="18"/>
    <n v="36.700000000000003"/>
    <n v="30.6"/>
    <s v="Obese"/>
    <n v="89"/>
    <s v="8480-6"/>
    <s v="8462-4"/>
    <s v="8867-4"/>
    <s v="39156-5"/>
    <s v="59408-5"/>
  </r>
  <r>
    <s v="PID-0034"/>
    <s v="ENC-0034-02"/>
    <x v="75"/>
    <x v="1"/>
    <x v="1"/>
    <x v="7"/>
    <s v="Dr. Y. Kim"/>
    <d v="1963-02-06T00:00:00"/>
    <n v="62"/>
    <x v="3"/>
    <x v="0"/>
    <s v="White European"/>
    <x v="0"/>
    <x v="2"/>
    <x v="0"/>
    <s v="FA24"/>
    <s v="Gastroenterology"/>
    <x v="5"/>
    <x v="1"/>
    <s v="Prednisolone 5mg OD; Warfarin (variable)"/>
    <n v="2"/>
    <s v="6690-2"/>
    <s v="Biochemistry"/>
    <s v="WBC count"/>
    <x v="2"/>
    <s v="Not Tested"/>
    <n v="104"/>
    <n v="57"/>
    <x v="0"/>
    <s v="104/57"/>
    <n v="95"/>
    <n v="23"/>
    <n v="36.200000000000003"/>
    <n v="38.6"/>
    <s v="Obese"/>
    <n v="92"/>
    <s v="8480-6"/>
    <s v="8462-4"/>
    <s v="8867-4"/>
    <s v="39156-5"/>
    <s v="59408-5"/>
  </r>
  <r>
    <s v="PID-0034"/>
    <s v="ENC-0034-03"/>
    <x v="98"/>
    <x v="0"/>
    <x v="0"/>
    <x v="7"/>
    <s v="Dr. L. Patel"/>
    <d v="1963-02-06T00:00:00"/>
    <n v="62"/>
    <x v="3"/>
    <x v="0"/>
    <s v="Hispanic/Latino"/>
    <x v="0"/>
    <x v="2"/>
    <x v="0"/>
    <s v="FA24"/>
    <s v="Gastroenterology"/>
    <x v="5"/>
    <x v="1"/>
    <s v="Ramipril 5mg OD; Omeprazole 20mg OD"/>
    <n v="2"/>
    <s v="2085-9"/>
    <s v="Biochemistry"/>
    <s v="HDL cholesterol"/>
    <x v="0"/>
    <s v="Not Tested"/>
    <n v="147"/>
    <n v="90"/>
    <x v="1"/>
    <s v="147/90"/>
    <n v="108"/>
    <n v="25"/>
    <n v="36.799999999999997"/>
    <n v="42.5"/>
    <s v="Obese"/>
    <n v="100"/>
    <s v="8480-6"/>
    <s v="8462-4"/>
    <s v="8867-4"/>
    <s v="39156-5"/>
    <s v="59408-5"/>
  </r>
  <r>
    <s v="PID-0034"/>
    <s v="ENC-0034-04"/>
    <x v="99"/>
    <x v="4"/>
    <x v="2"/>
    <x v="9"/>
    <s v="Dr. R. Mendes"/>
    <d v="1963-02-06T00:00:00"/>
    <n v="62"/>
    <x v="3"/>
    <x v="0"/>
    <s v="Middle Eastern"/>
    <x v="0"/>
    <x v="2"/>
    <x v="0"/>
    <s v="FA24"/>
    <s v="Gastroenterology"/>
    <x v="5"/>
    <x v="1"/>
    <s v="Ramipril 5mg OD; Salbutamol 100mcg PRN; Omeprazole 20mg OD; Amlodipine 10mg OD"/>
    <n v="4"/>
    <s v="17861-6"/>
    <s v="Biochemistry"/>
    <s v="Serum calcium"/>
    <x v="1"/>
    <s v="Not Tested"/>
    <n v="133"/>
    <n v="85"/>
    <x v="0"/>
    <s v="133/85"/>
    <n v="123"/>
    <n v="27"/>
    <n v="38.1"/>
    <n v="39.9"/>
    <s v="Obese"/>
    <n v="91"/>
    <s v="8480-6"/>
    <s v="8462-4"/>
    <s v="8867-4"/>
    <s v="39156-5"/>
    <s v="59408-5"/>
  </r>
  <r>
    <s v="PID-0034"/>
    <s v="ENC-0034-05"/>
    <x v="42"/>
    <x v="0"/>
    <x v="1"/>
    <x v="4"/>
    <s v="Dr. S. Okonkwo"/>
    <d v="1963-02-06T00:00:00"/>
    <n v="62"/>
    <x v="3"/>
    <x v="0"/>
    <s v="East Asian"/>
    <x v="0"/>
    <x v="2"/>
    <x v="0"/>
    <s v="FA24"/>
    <s v="Gastroenterology"/>
    <x v="5"/>
    <x v="1"/>
    <s v="Amlodipine 10mg OD; Aspirin 75mg OD"/>
    <n v="2"/>
    <s v="2345-7"/>
    <s v="Biochemistry"/>
    <s v="Serum glucose (fasting)"/>
    <x v="0"/>
    <s v="Not Tested"/>
    <n v="122"/>
    <n v="97"/>
    <x v="1"/>
    <s v="122/97"/>
    <n v="110"/>
    <n v="27"/>
    <n v="37.799999999999997"/>
    <n v="45.1"/>
    <s v="Obese"/>
    <n v="94"/>
    <s v="8480-6"/>
    <s v="8462-4"/>
    <s v="8867-4"/>
    <s v="39156-5"/>
    <s v="59408-5"/>
  </r>
  <r>
    <s v="PID-0035"/>
    <s v="ENC-0035-01"/>
    <x v="100"/>
    <x v="4"/>
    <x v="0"/>
    <x v="9"/>
    <s v="Dr. R. Mendes"/>
    <d v="1996-09-24T00:00:00"/>
    <n v="29"/>
    <x v="0"/>
    <x v="1"/>
    <s v="Hispanic/Latino"/>
    <x v="2"/>
    <x v="1"/>
    <x v="0"/>
    <s v="8A00"/>
    <s v="Neurological"/>
    <x v="9"/>
    <x v="0"/>
    <s v="Warfarin (variable)"/>
    <n v="1"/>
    <s v="14627-4"/>
    <s v="Biochemistry"/>
    <s v="eGFR (CKD-EPI)"/>
    <x v="1"/>
    <s v="Not Tested"/>
    <n v="167"/>
    <n v="90"/>
    <x v="1"/>
    <s v="167/90"/>
    <n v="100"/>
    <n v="15"/>
    <n v="36.700000000000003"/>
    <n v="43.4"/>
    <s v="Obese"/>
    <n v="91"/>
    <s v="8480-6"/>
    <s v="8462-4"/>
    <s v="8867-4"/>
    <s v="39156-5"/>
    <s v="59408-5"/>
  </r>
  <r>
    <s v="PID-0036"/>
    <s v="ENC-0036-01"/>
    <x v="101"/>
    <x v="2"/>
    <x v="1"/>
    <x v="0"/>
    <s v="Dr. A. Mwangi"/>
    <d v="1957-04-18T00:00:00"/>
    <n v="68"/>
    <x v="2"/>
    <x v="0"/>
    <s v="South Asian"/>
    <x v="3"/>
    <x v="1"/>
    <x v="1"/>
    <s v="5A10"/>
    <s v="Endocrine"/>
    <x v="1"/>
    <x v="1"/>
    <s v="Levothyroxine 50mcg OD; Ramipril 5mg OD; Lisinopril 10mg OD"/>
    <n v="3"/>
    <s v="789-8"/>
    <s v="Biochemistry"/>
    <s v="RBC count"/>
    <x v="1"/>
    <s v="Not Tested"/>
    <n v="141"/>
    <n v="85"/>
    <x v="1"/>
    <s v="141/85"/>
    <n v="57"/>
    <n v="28"/>
    <n v="37.5"/>
    <n v="41.4"/>
    <s v="Obese"/>
    <n v="99"/>
    <s v="8480-6"/>
    <s v="8462-4"/>
    <s v="8867-4"/>
    <s v="39156-5"/>
    <s v="59408-5"/>
  </r>
  <r>
    <s v="PID-0036"/>
    <s v="ENC-0036-02"/>
    <x v="35"/>
    <x v="3"/>
    <x v="3"/>
    <x v="0"/>
    <s v="Dr. F. Hassan"/>
    <d v="1957-04-18T00:00:00"/>
    <n v="68"/>
    <x v="2"/>
    <x v="0"/>
    <s v="White European"/>
    <x v="3"/>
    <x v="1"/>
    <x v="1"/>
    <s v="5A10"/>
    <s v="Endocrine"/>
    <x v="1"/>
    <x v="1"/>
    <s v="Prednisolone 5mg OD; Levothyroxine 50mcg OD; Bisoprolol 5mg OD; Dapagliflozin 10mg OD"/>
    <n v="4"/>
    <s v="6768-6"/>
    <s v="Biochemistry"/>
    <s v="ALP"/>
    <x v="1"/>
    <s v="Not Tested"/>
    <n v="179"/>
    <n v="90"/>
    <x v="1"/>
    <s v="179/90"/>
    <n v="81"/>
    <n v="14"/>
    <n v="37.1"/>
    <n v="28.3"/>
    <s v="Non-Obese"/>
    <n v="98"/>
    <s v="8480-6"/>
    <s v="8462-4"/>
    <s v="8867-4"/>
    <s v="39156-5"/>
    <s v="59408-5"/>
  </r>
  <r>
    <s v="PID-0036"/>
    <s v="ENC-0036-03"/>
    <x v="102"/>
    <x v="1"/>
    <x v="3"/>
    <x v="0"/>
    <s v="Dr. R. Mendes"/>
    <d v="1957-04-18T00:00:00"/>
    <n v="68"/>
    <x v="2"/>
    <x v="0"/>
    <s v="Black African"/>
    <x v="3"/>
    <x v="1"/>
    <x v="1"/>
    <s v="5A10"/>
    <s v="Endocrine"/>
    <x v="1"/>
    <x v="1"/>
    <s v="Lisinopril 10mg OD"/>
    <n v="1"/>
    <s v="2345-7"/>
    <s v="Biochemistry"/>
    <s v="Serum glucose (fasting)"/>
    <x v="0"/>
    <s v="Not Tested"/>
    <n v="160"/>
    <n v="84"/>
    <x v="1"/>
    <s v="160/84"/>
    <n v="119"/>
    <n v="21"/>
    <n v="38.1"/>
    <n v="19.2"/>
    <s v="Non-Obese"/>
    <n v="87"/>
    <s v="8480-6"/>
    <s v="8462-4"/>
    <s v="8867-4"/>
    <s v="39156-5"/>
    <s v="59408-5"/>
  </r>
  <r>
    <s v="PID-0037"/>
    <s v="ENC-0037-01"/>
    <x v="103"/>
    <x v="4"/>
    <x v="1"/>
    <x v="8"/>
    <s v="Dr. Y. Kim"/>
    <d v="2006-04-17T00:00:00"/>
    <n v="18.210958904109589"/>
    <x v="0"/>
    <x v="0"/>
    <s v="Middle Eastern"/>
    <x v="1"/>
    <x v="1"/>
    <x v="2"/>
    <s v="LA90"/>
    <s v="Renal"/>
    <x v="2"/>
    <x v="1"/>
    <s v="Furosemide 40mg OD; Atorvastatin 40mg ON; Clopidogrel 75mg OD; Empagliflozin 10mg OD"/>
    <n v="4"/>
    <s v="2823-3"/>
    <s v="Biochemistry"/>
    <s v="Serum potassium"/>
    <x v="0"/>
    <s v="Not Tested"/>
    <s v="Not Recorded"/>
    <n v="56"/>
    <x v="2"/>
    <s v="Not Recorded/56"/>
    <n v="90"/>
    <n v="16"/>
    <n v="39.1"/>
    <n v="18"/>
    <s v="Non-Obese"/>
    <n v="98"/>
    <s v="8480-6"/>
    <s v="8462-4"/>
    <s v="8867-4"/>
    <s v="39156-5"/>
    <s v="59408-5"/>
  </r>
  <r>
    <s v="PID-0037"/>
    <s v="ENC-0037-02"/>
    <x v="104"/>
    <x v="3"/>
    <x v="3"/>
    <x v="7"/>
    <s v="NP J. Nakamura"/>
    <d v="2006-04-17T00:00:00"/>
    <n v="17.402739726027399"/>
    <x v="4"/>
    <x v="0"/>
    <s v="Black African"/>
    <x v="1"/>
    <x v="1"/>
    <x v="2"/>
    <s v="LA90"/>
    <s v="Renal"/>
    <x v="2"/>
    <x v="1"/>
    <s v="Amlodipine 10mg OD"/>
    <n v="1"/>
    <s v="2777-1"/>
    <s v="Biochemistry"/>
    <s v="Serum phosphate"/>
    <x v="0"/>
    <s v="Not Tested"/>
    <n v="184"/>
    <n v="69"/>
    <x v="1"/>
    <s v="184/69"/>
    <n v="101"/>
    <n v="26"/>
    <n v="38.1"/>
    <n v="42"/>
    <s v="Obese"/>
    <n v="97"/>
    <s v="8480-6"/>
    <s v="8462-4"/>
    <s v="8867-4"/>
    <s v="39156-5"/>
    <s v="59408-5"/>
  </r>
  <r>
    <s v="PID-0037"/>
    <s v="ENC-0037-03"/>
    <x v="105"/>
    <x v="2"/>
    <x v="2"/>
    <x v="2"/>
    <s v="Dr. L. Patel"/>
    <d v="2006-04-17T00:00:00"/>
    <n v="19"/>
    <x v="0"/>
    <x v="0"/>
    <s v="Middle Eastern"/>
    <x v="1"/>
    <x v="1"/>
    <x v="2"/>
    <s v="LA90"/>
    <s v="Renal"/>
    <x v="2"/>
    <x v="1"/>
    <s v="Bisoprolol 5mg OD; Lisinopril 10mg OD; Metformin 1g BD; None"/>
    <n v="4"/>
    <s v="13457-7"/>
    <s v="Biochemistry"/>
    <s v="LDL cholesterol"/>
    <x v="1"/>
    <s v="Not Tested"/>
    <s v="Not Recorded"/>
    <n v="106"/>
    <x v="2"/>
    <s v="Not Recorded/106"/>
    <n v="57"/>
    <n v="20"/>
    <n v="36.1"/>
    <n v="23.5"/>
    <s v="Non-Obese"/>
    <n v="98"/>
    <s v="8480-6"/>
    <s v="8462-4"/>
    <s v="8867-4"/>
    <s v="39156-5"/>
    <s v="59408-5"/>
  </r>
  <r>
    <s v="PID-0038"/>
    <s v="ENC-0038-01"/>
    <x v="102"/>
    <x v="2"/>
    <x v="2"/>
    <x v="3"/>
    <s v="Dr. T. Osei"/>
    <d v="1998-05-06T00:00:00"/>
    <n v="27"/>
    <x v="0"/>
    <x v="1"/>
    <s v="Middle Eastern"/>
    <x v="3"/>
    <x v="3"/>
    <x v="2"/>
    <s v="3A00"/>
    <s v="Haematological"/>
    <x v="0"/>
    <x v="0"/>
    <s v="Levothyroxine 50mcg OD"/>
    <n v="1"/>
    <s v="2093-3"/>
    <s v="Biochemistry"/>
    <s v="Total cholesterol"/>
    <x v="0"/>
    <s v="Not Tested"/>
    <n v="166"/>
    <n v="96"/>
    <x v="1"/>
    <s v="166/96"/>
    <n v="56"/>
    <n v="24"/>
    <n v="37.1"/>
    <n v="20.3"/>
    <s v="Non-Obese"/>
    <n v="90"/>
    <s v="8480-6"/>
    <s v="8462-4"/>
    <s v="8867-4"/>
    <s v="39156-5"/>
    <s v="59408-5"/>
  </r>
  <r>
    <s v="PID-0038"/>
    <s v="ENC-0038-02"/>
    <x v="106"/>
    <x v="1"/>
    <x v="4"/>
    <x v="0"/>
    <s v="Dr. T. Osei"/>
    <d v="1998-05-06T00:00:00"/>
    <n v="27"/>
    <x v="0"/>
    <x v="1"/>
    <s v="Hispanic/Latino"/>
    <x v="3"/>
    <x v="3"/>
    <x v="2"/>
    <s v="3A00"/>
    <s v="Haematological"/>
    <x v="0"/>
    <x v="0"/>
    <s v="Metformin 1g BD; Omeprazole 20mg OD; Aspirin 75mg OD; None"/>
    <n v="4"/>
    <s v="2085-9"/>
    <s v="Biochemistry"/>
    <s v="HDL cholesterol"/>
    <x v="0"/>
    <s v="Not Tested"/>
    <n v="98"/>
    <n v="71"/>
    <x v="0"/>
    <s v="98/71"/>
    <n v="124"/>
    <n v="20"/>
    <n v="37.1"/>
    <n v="44.3"/>
    <s v="Obese"/>
    <n v="93"/>
    <s v="8480-6"/>
    <s v="8462-4"/>
    <s v="8867-4"/>
    <s v="39156-5"/>
    <s v="59408-5"/>
  </r>
  <r>
    <s v="PID-0038"/>
    <s v="ENC-0038-03"/>
    <x v="68"/>
    <x v="4"/>
    <x v="3"/>
    <x v="9"/>
    <s v="Dr. T. Osei"/>
    <d v="1998-05-06T00:00:00"/>
    <n v="27"/>
    <x v="0"/>
    <x v="1"/>
    <s v="Black African"/>
    <x v="3"/>
    <x v="3"/>
    <x v="2"/>
    <s v="3A00"/>
    <s v="Haematological"/>
    <x v="0"/>
    <x v="0"/>
    <s v="Atorvastatin 40mg ON; Salbutamol 100mcg PRN; Metformin 1g BD"/>
    <n v="3"/>
    <s v="2823-3"/>
    <s v="Biochemistry"/>
    <s v="Serum potassium"/>
    <x v="0"/>
    <s v="Not Tested"/>
    <n v="152"/>
    <n v="99"/>
    <x v="1"/>
    <s v="152/99"/>
    <n v="74"/>
    <n v="14"/>
    <n v="36"/>
    <n v="26.3"/>
    <s v="Non-Obese"/>
    <n v="92"/>
    <s v="8480-6"/>
    <s v="8462-4"/>
    <s v="8867-4"/>
    <s v="39156-5"/>
    <s v="59408-5"/>
  </r>
  <r>
    <s v="PID-0039"/>
    <s v="ENC-0039-01"/>
    <x v="107"/>
    <x v="0"/>
    <x v="4"/>
    <x v="9"/>
    <s v="Dr. L. Patel"/>
    <d v="1996-06-18T00:00:00"/>
    <n v="29"/>
    <x v="0"/>
    <x v="0"/>
    <s v="Black African"/>
    <x v="2"/>
    <x v="1"/>
    <x v="0"/>
    <s v="CA80"/>
    <s v="Respiratory"/>
    <x v="8"/>
    <x v="1"/>
    <s v="Salbutamol 100mcg PRN; Bisoprolol 5mg OD"/>
    <n v="2"/>
    <s v="789-8"/>
    <s v="Biochemistry"/>
    <s v="RBC count"/>
    <x v="1"/>
    <s v="Not Tested"/>
    <n v="165"/>
    <n v="98"/>
    <x v="1"/>
    <s v="165/98"/>
    <n v="92"/>
    <n v="28"/>
    <n v="36.799999999999997"/>
    <n v="32.4"/>
    <s v="Obese"/>
    <n v="96"/>
    <s v="8480-6"/>
    <s v="8462-4"/>
    <s v="8867-4"/>
    <s v="39156-5"/>
    <s v="59408-5"/>
  </r>
  <r>
    <s v="PID-0039"/>
    <s v="ENC-0039-02"/>
    <x v="108"/>
    <x v="4"/>
    <x v="4"/>
    <x v="2"/>
    <s v="Dr. T. Osei"/>
    <d v="1996-06-18T00:00:00"/>
    <n v="29"/>
    <x v="0"/>
    <x v="0"/>
    <s v="South Asian"/>
    <x v="2"/>
    <x v="1"/>
    <x v="0"/>
    <s v="CA80"/>
    <s v="Respiratory"/>
    <x v="8"/>
    <x v="1"/>
    <s v="Metoprolol 50mg BD; Atorvastatin 40mg ON"/>
    <n v="2"/>
    <s v="14627-4"/>
    <s v="Biochemistry"/>
    <s v="eGFR (CKD-EPI)"/>
    <x v="1"/>
    <s v="Not Tested"/>
    <n v="134"/>
    <n v="80"/>
    <x v="0"/>
    <s v="134/80"/>
    <n v="86"/>
    <n v="13"/>
    <n v="36.799999999999997"/>
    <n v="24.5"/>
    <s v="Non-Obese"/>
    <n v="95"/>
    <s v="8480-6"/>
    <s v="8462-4"/>
    <s v="8867-4"/>
    <s v="39156-5"/>
    <s v="59408-5"/>
  </r>
  <r>
    <s v="PID-0039"/>
    <s v="ENC-0039-03"/>
    <x v="109"/>
    <x v="0"/>
    <x v="1"/>
    <x v="6"/>
    <s v="Dr. F. Hassan"/>
    <d v="1996-06-18T00:00:00"/>
    <n v="29"/>
    <x v="0"/>
    <x v="0"/>
    <s v="South Asian"/>
    <x v="2"/>
    <x v="1"/>
    <x v="0"/>
    <s v="CA80"/>
    <s v="Respiratory"/>
    <x v="8"/>
    <x v="1"/>
    <s v="Levothyroxine 50mcg OD; Warfarin (variable); Dapagliflozin 10mg OD"/>
    <n v="3"/>
    <s v="17861-6"/>
    <s v="Biochemistry"/>
    <s v="Serum calcium"/>
    <x v="1"/>
    <s v="Not Tested"/>
    <n v="129"/>
    <n v="107"/>
    <x v="1"/>
    <s v="129/107"/>
    <n v="83"/>
    <n v="19"/>
    <n v="38.6"/>
    <n v="36.1"/>
    <s v="Obese"/>
    <n v="95"/>
    <s v="8480-6"/>
    <s v="8462-4"/>
    <s v="8867-4"/>
    <s v="39156-5"/>
    <s v="59408-5"/>
  </r>
  <r>
    <s v="PID-0039"/>
    <s v="ENC-0039-04"/>
    <x v="110"/>
    <x v="4"/>
    <x v="2"/>
    <x v="7"/>
    <s v="Dr. L. Patel"/>
    <d v="1996-06-18T00:00:00"/>
    <n v="29"/>
    <x v="0"/>
    <x v="0"/>
    <s v="Hispanic/Latino"/>
    <x v="2"/>
    <x v="1"/>
    <x v="0"/>
    <s v="CA80"/>
    <s v="Respiratory"/>
    <x v="8"/>
    <x v="1"/>
    <s v="Clopidogrel 75mg OD"/>
    <n v="1"/>
    <s v="6768-6"/>
    <s v="Biochemistry"/>
    <s v="ALP"/>
    <x v="1"/>
    <s v="Not Tested"/>
    <n v="158"/>
    <n v="84"/>
    <x v="1"/>
    <s v="158/84"/>
    <n v="93"/>
    <n v="16"/>
    <n v="37.200000000000003"/>
    <n v="40.799999999999997"/>
    <s v="Obese"/>
    <n v="92"/>
    <s v="8480-6"/>
    <s v="8462-4"/>
    <s v="8867-4"/>
    <s v="39156-5"/>
    <s v="59408-5"/>
  </r>
  <r>
    <s v="PID-0039"/>
    <s v="ENC-0039-05"/>
    <x v="111"/>
    <x v="0"/>
    <x v="1"/>
    <x v="6"/>
    <s v="Dr. T. Osei"/>
    <d v="1996-06-18T00:00:00"/>
    <n v="29"/>
    <x v="0"/>
    <x v="0"/>
    <s v="Black African"/>
    <x v="2"/>
    <x v="1"/>
    <x v="0"/>
    <s v="CA80"/>
    <s v="Respiratory"/>
    <x v="8"/>
    <x v="1"/>
    <s v="Dapagliflozin 10mg OD; Salbutamol 100mcg PRN; Omeprazole 20mg OD; Aspirin 75mg OD"/>
    <n v="4"/>
    <s v="17861-6"/>
    <s v="Biochemistry"/>
    <s v="Serum calcium"/>
    <x v="1"/>
    <s v="Not Tested"/>
    <n v="145"/>
    <n v="112"/>
    <x v="1"/>
    <s v="145/112"/>
    <n v="85"/>
    <n v="23"/>
    <n v="37.4"/>
    <n v="25.8"/>
    <s v="Non-Obese"/>
    <n v="96"/>
    <s v="8480-6"/>
    <s v="8462-4"/>
    <s v="8867-4"/>
    <s v="39156-5"/>
    <s v="59408-5"/>
  </r>
  <r>
    <s v="PID-0040"/>
    <s v="ENC-0040-01"/>
    <x v="112"/>
    <x v="1"/>
    <x v="4"/>
    <x v="8"/>
    <s v="Dr. R. Mendes"/>
    <d v="1946-10-13T00:00:00"/>
    <n v="79"/>
    <x v="2"/>
    <x v="1"/>
    <s v="East Asian"/>
    <x v="3"/>
    <x v="0"/>
    <x v="1"/>
    <s v="BA80,5A11,5A00"/>
    <s v="Multi-system"/>
    <x v="11"/>
    <x v="1"/>
    <s v="Levothyroxine 50mcg OD; Ramipril 5mg OD; Atorvastatin 40mg ON; Amlodipine 5mg OD"/>
    <n v="4"/>
    <s v="2951-2"/>
    <s v="Biochemistry"/>
    <s v="Serum sodium"/>
    <x v="2"/>
    <s v="Not Tested"/>
    <n v="148"/>
    <n v="110"/>
    <x v="1"/>
    <s v="148/110"/>
    <n v="58"/>
    <n v="16"/>
    <n v="38.1"/>
    <n v="22.2"/>
    <s v="Non-Obese"/>
    <n v="95"/>
    <s v="8480-6"/>
    <s v="8462-4"/>
    <s v="8867-4"/>
    <s v="39156-5"/>
    <s v="59408-5"/>
  </r>
  <r>
    <s v="PID-0040"/>
    <s v="ENC-0040-02"/>
    <x v="113"/>
    <x v="0"/>
    <x v="4"/>
    <x v="9"/>
    <s v="Dr. R. Mendes"/>
    <d v="1946-10-13T00:00:00"/>
    <n v="79"/>
    <x v="2"/>
    <x v="1"/>
    <s v="Mixed/Other"/>
    <x v="3"/>
    <x v="0"/>
    <x v="1"/>
    <s v="BA80,5A11,5A00"/>
    <s v="Multi-system"/>
    <x v="11"/>
    <x v="1"/>
    <s v="Metformin 1g BD; Atorvastatin 40mg ON; Salbutamol 100mcg PRN; Insulin glargine 20u ON"/>
    <n v="4"/>
    <s v="2085-9"/>
    <s v="Biochemistry"/>
    <s v="HDL cholesterol"/>
    <x v="0"/>
    <s v="Not Tested"/>
    <n v="130"/>
    <n v="101"/>
    <x v="1"/>
    <s v="130/101"/>
    <n v="94"/>
    <n v="20"/>
    <n v="37.1"/>
    <n v="18.2"/>
    <s v="Non-Obese"/>
    <n v="88"/>
    <s v="8480-6"/>
    <s v="8462-4"/>
    <s v="8867-4"/>
    <s v="39156-5"/>
    <s v="59408-5"/>
  </r>
  <r>
    <s v="PID-0040"/>
    <s v="ENC-0040-03"/>
    <x v="114"/>
    <x v="1"/>
    <x v="1"/>
    <x v="8"/>
    <s v="Dr. L. Patel"/>
    <d v="1946-10-13T00:00:00"/>
    <n v="79"/>
    <x v="2"/>
    <x v="1"/>
    <s v="Mixed/Other"/>
    <x v="3"/>
    <x v="0"/>
    <x v="1"/>
    <s v="BA80,5A11,5A00"/>
    <s v="Multi-system"/>
    <x v="11"/>
    <x v="1"/>
    <s v="Levothyroxine 50mcg OD"/>
    <n v="1"/>
    <s v="14627-4"/>
    <s v="Biochemistry"/>
    <s v="eGFR (CKD-EPI)"/>
    <x v="1"/>
    <s v="Not Tested"/>
    <n v="126"/>
    <n v="61"/>
    <x v="0"/>
    <s v="126/61"/>
    <n v="104"/>
    <n v="19"/>
    <n v="36.200000000000003"/>
    <n v="18.8"/>
    <s v="Non-Obese"/>
    <n v="96"/>
    <s v="8480-6"/>
    <s v="8462-4"/>
    <s v="8867-4"/>
    <s v="39156-5"/>
    <s v="59408-5"/>
  </r>
  <r>
    <s v="PID-0040"/>
    <s v="ENC-0040-04"/>
    <x v="115"/>
    <x v="3"/>
    <x v="0"/>
    <x v="8"/>
    <s v="Dr. R. Mendes"/>
    <d v="1946-10-13T00:00:00"/>
    <n v="79"/>
    <x v="2"/>
    <x v="1"/>
    <s v="South Asian"/>
    <x v="3"/>
    <x v="0"/>
    <x v="1"/>
    <s v="BA80,5A11,5A00"/>
    <s v="Multi-system"/>
    <x v="11"/>
    <x v="1"/>
    <s v="Amlodipine 5mg OD; Warfarin (variable); Metoprolol 50mg BD; Ramipril 5mg OD"/>
    <n v="4"/>
    <s v="6768-6"/>
    <s v="Biochemistry"/>
    <s v="ALP"/>
    <x v="1"/>
    <s v="Not Tested"/>
    <n v="125"/>
    <n v="81"/>
    <x v="0"/>
    <s v="125/81"/>
    <n v="85"/>
    <n v="25"/>
    <n v="38"/>
    <n v="22.8"/>
    <s v="Non-Obese"/>
    <n v="96"/>
    <s v="8480-6"/>
    <s v="8462-4"/>
    <s v="8867-4"/>
    <s v="39156-5"/>
    <s v="59408-5"/>
  </r>
  <r>
    <s v="PID-0040"/>
    <s v="ENC-0040-05"/>
    <x v="116"/>
    <x v="3"/>
    <x v="2"/>
    <x v="4"/>
    <s v="Dr. T. Osei"/>
    <d v="1946-10-13T00:00:00"/>
    <n v="79"/>
    <x v="2"/>
    <x v="1"/>
    <s v="Mixed/Other"/>
    <x v="3"/>
    <x v="0"/>
    <x v="1"/>
    <s v="BA80,5A11,5A00"/>
    <s v="Multi-system"/>
    <x v="11"/>
    <x v="1"/>
    <s v="Bisoprolol 5mg OD"/>
    <n v="1"/>
    <s v="4548-4"/>
    <s v="Biochemistry"/>
    <s v="HbA1c"/>
    <x v="1"/>
    <s v="High"/>
    <n v="158"/>
    <n v="103"/>
    <x v="1"/>
    <s v="158/103"/>
    <n v="93"/>
    <n v="25"/>
    <n v="37.700000000000003"/>
    <n v="27.9"/>
    <s v="Non-Obese"/>
    <n v="90"/>
    <s v="8480-6"/>
    <s v="8462-4"/>
    <s v="8867-4"/>
    <s v="39156-5"/>
    <s v="59408-5"/>
  </r>
  <r>
    <s v="PID-0040"/>
    <s v="ENC-0040-06"/>
    <x v="117"/>
    <x v="0"/>
    <x v="0"/>
    <x v="8"/>
    <s v="Dr. Y. Kim"/>
    <d v="1946-10-13T00:00:00"/>
    <n v="79"/>
    <x v="2"/>
    <x v="1"/>
    <s v="Black African"/>
    <x v="3"/>
    <x v="0"/>
    <x v="1"/>
    <s v="BA80,5A11,5A00"/>
    <s v="Multi-system"/>
    <x v="11"/>
    <x v="1"/>
    <s v="Salbutamol 100mcg PRN"/>
    <n v="1"/>
    <s v="17861-6"/>
    <s v="Biochemistry"/>
    <s v="Serum calcium"/>
    <x v="1"/>
    <s v="Not Tested"/>
    <n v="148"/>
    <n v="76"/>
    <x v="1"/>
    <s v="148/76"/>
    <n v="113"/>
    <n v="22"/>
    <n v="38.6"/>
    <n v="37.6"/>
    <s v="Obese"/>
    <n v="91"/>
    <s v="8480-6"/>
    <s v="8462-4"/>
    <s v="8867-4"/>
    <s v="39156-5"/>
    <s v="59408-5"/>
  </r>
  <r>
    <s v="PID-0041"/>
    <s v="ENC-0041-01"/>
    <x v="118"/>
    <x v="1"/>
    <x v="3"/>
    <x v="0"/>
    <s v="Dr. R. Mendes"/>
    <d v="1960-12-05T00:00:00"/>
    <n v="65"/>
    <x v="2"/>
    <x v="0"/>
    <s v="Middle Eastern"/>
    <x v="3"/>
    <x v="2"/>
    <x v="2"/>
    <s v="BA80,5A11,5A00"/>
    <s v="Multi-system"/>
    <x v="11"/>
    <x v="1"/>
    <s v="Metoprolol 50mg BD; Lisinopril 10mg OD; Insulin glargine 20u ON"/>
    <n v="3"/>
    <s v="17861-6"/>
    <s v="Biochemistry"/>
    <s v="Serum calcium"/>
    <x v="1"/>
    <s v="Not Tested"/>
    <n v="152"/>
    <n v="97"/>
    <x v="1"/>
    <s v="152/97"/>
    <n v="98"/>
    <n v="28"/>
    <n v="37.799999999999997"/>
    <n v="31.5"/>
    <s v="Obese"/>
    <n v="89"/>
    <s v="8480-6"/>
    <s v="8462-4"/>
    <s v="8867-4"/>
    <s v="39156-5"/>
    <s v="59408-5"/>
  </r>
  <r>
    <s v="PID-0041"/>
    <s v="ENC-0041-02"/>
    <x v="119"/>
    <x v="1"/>
    <x v="1"/>
    <x v="1"/>
    <s v="Dr. A. Mwangi"/>
    <d v="1960-12-05T00:00:00"/>
    <n v="65"/>
    <x v="2"/>
    <x v="0"/>
    <s v="South Asian"/>
    <x v="3"/>
    <x v="2"/>
    <x v="2"/>
    <s v="BA80,5A11,5A00"/>
    <s v="Multi-system"/>
    <x v="11"/>
    <x v="1"/>
    <s v="Clopidogrel 75mg OD"/>
    <n v="1"/>
    <s v="6768-6"/>
    <s v="Biochemistry"/>
    <s v="ALP"/>
    <x v="1"/>
    <s v="Not Tested"/>
    <n v="182"/>
    <n v="85"/>
    <x v="1"/>
    <s v="182/85"/>
    <n v="87"/>
    <n v="23"/>
    <n v="37.299999999999997"/>
    <n v="41.4"/>
    <s v="Obese"/>
    <n v="93"/>
    <s v="8480-6"/>
    <s v="8462-4"/>
    <s v="8867-4"/>
    <s v="39156-5"/>
    <s v="59408-5"/>
  </r>
  <r>
    <s v="PID-0041"/>
    <s v="ENC-0041-03"/>
    <x v="42"/>
    <x v="2"/>
    <x v="4"/>
    <x v="7"/>
    <s v="Dr. A. Mwangi"/>
    <d v="1960-12-05T00:00:00"/>
    <n v="65"/>
    <x v="2"/>
    <x v="0"/>
    <s v="Middle Eastern"/>
    <x v="3"/>
    <x v="2"/>
    <x v="2"/>
    <s v="BA80,5A11,5A00"/>
    <s v="Multi-system"/>
    <x v="11"/>
    <x v="1"/>
    <s v="Bisoprolol 5mg OD"/>
    <n v="1"/>
    <s v="17861-6"/>
    <s v="Biochemistry"/>
    <s v="Serum calcium"/>
    <x v="1"/>
    <s v="Not Tested"/>
    <n v="143"/>
    <n v="65"/>
    <x v="1"/>
    <s v="143/65"/>
    <n v="84"/>
    <n v="24"/>
    <n v="38.5"/>
    <n v="33.200000000000003"/>
    <s v="Obese"/>
    <n v="88"/>
    <s v="8480-6"/>
    <s v="8462-4"/>
    <s v="8867-4"/>
    <s v="39156-5"/>
    <s v="59408-5"/>
  </r>
  <r>
    <s v="PID-0041"/>
    <s v="ENC-0041-04"/>
    <x v="120"/>
    <x v="0"/>
    <x v="4"/>
    <x v="5"/>
    <s v="NP J. Nakamura"/>
    <d v="1960-12-05T00:00:00"/>
    <n v="65"/>
    <x v="2"/>
    <x v="0"/>
    <s v="Middle Eastern"/>
    <x v="3"/>
    <x v="2"/>
    <x v="2"/>
    <s v="BA80,5A11,5A00"/>
    <s v="Multi-system"/>
    <x v="11"/>
    <x v="1"/>
    <s v="Metoprolol 50mg BD"/>
    <n v="1"/>
    <s v="2951-2"/>
    <s v="Biochemistry"/>
    <s v="Serum sodium"/>
    <x v="2"/>
    <s v="Not Tested"/>
    <n v="135"/>
    <n v="68"/>
    <x v="0"/>
    <s v="135/68"/>
    <n v="82"/>
    <n v="24"/>
    <n v="38.1"/>
    <n v="24.6"/>
    <s v="Non-Obese"/>
    <n v="98"/>
    <s v="8480-6"/>
    <s v="8462-4"/>
    <s v="8867-4"/>
    <s v="39156-5"/>
    <s v="59408-5"/>
  </r>
  <r>
    <s v="PID-0042"/>
    <s v="ENC-0042-01"/>
    <x v="121"/>
    <x v="3"/>
    <x v="0"/>
    <x v="1"/>
    <s v="Dr. L. Patel"/>
    <d v="1977-04-26T00:00:00"/>
    <n v="48"/>
    <x v="1"/>
    <x v="0"/>
    <s v="Hispanic/Latino"/>
    <x v="3"/>
    <x v="2"/>
    <x v="3"/>
    <s v="GC43"/>
    <s v="Mental health"/>
    <x v="14"/>
    <x v="1"/>
    <s v="Empagliflozin 10mg OD; Atorvastatin 40mg ON; Salbutamol 100mcg PRN"/>
    <n v="3"/>
    <s v="6768-6"/>
    <s v="Biochemistry"/>
    <s v="ALP"/>
    <x v="1"/>
    <s v="Not Tested"/>
    <n v="167"/>
    <n v="89"/>
    <x v="1"/>
    <s v="167/89"/>
    <n v="90"/>
    <n v="22"/>
    <n v="36.5"/>
    <n v="45.4"/>
    <s v="Obese"/>
    <n v="91"/>
    <s v="8480-6"/>
    <s v="8462-4"/>
    <s v="8867-4"/>
    <s v="39156-5"/>
    <s v="59408-5"/>
  </r>
  <r>
    <s v="PID-0042"/>
    <s v="ENC-0042-02"/>
    <x v="122"/>
    <x v="1"/>
    <x v="0"/>
    <x v="6"/>
    <s v="Dr. Y. Kim"/>
    <d v="1977-04-26T00:00:00"/>
    <n v="48"/>
    <x v="1"/>
    <x v="0"/>
    <s v="Hispanic/Latino"/>
    <x v="3"/>
    <x v="2"/>
    <x v="3"/>
    <s v="GC43"/>
    <s v="Mental health"/>
    <x v="14"/>
    <x v="1"/>
    <s v="Ramipril 5mg OD; Amlodipine 10mg OD; Metoprolol 50mg BD"/>
    <n v="3"/>
    <s v="4548-4"/>
    <s v="Biochemistry"/>
    <s v="HbA1c"/>
    <x v="1"/>
    <s v="High"/>
    <n v="117"/>
    <n v="98"/>
    <x v="1"/>
    <s v="117/98"/>
    <n v="112"/>
    <n v="24"/>
    <n v="38.200000000000003"/>
    <n v="31.4"/>
    <s v="Obese"/>
    <n v="95"/>
    <s v="8480-6"/>
    <s v="8462-4"/>
    <s v="8867-4"/>
    <s v="39156-5"/>
    <s v="59408-5"/>
  </r>
  <r>
    <s v="PID-0042"/>
    <s v="ENC-0042-03"/>
    <x v="84"/>
    <x v="4"/>
    <x v="3"/>
    <x v="8"/>
    <s v="NP J. Nakamura"/>
    <d v="1977-04-26T00:00:00"/>
    <n v="48"/>
    <x v="1"/>
    <x v="0"/>
    <s v="South Asian"/>
    <x v="3"/>
    <x v="2"/>
    <x v="3"/>
    <s v="GC43"/>
    <s v="Mental health"/>
    <x v="14"/>
    <x v="1"/>
    <s v="Metformin 1g BD; Prednisolone 5mg OD; Amlodipine 10mg OD"/>
    <n v="3"/>
    <s v="6768-6"/>
    <s v="Biochemistry"/>
    <s v="ALP"/>
    <x v="1"/>
    <s v="Not Tested"/>
    <n v="136"/>
    <n v="84"/>
    <x v="0"/>
    <s v="136/84"/>
    <n v="94"/>
    <n v="26"/>
    <n v="38.700000000000003"/>
    <n v="20.2"/>
    <s v="Non-Obese"/>
    <n v="100"/>
    <s v="8480-6"/>
    <s v="8462-4"/>
    <s v="8867-4"/>
    <s v="39156-5"/>
    <s v="59408-5"/>
  </r>
  <r>
    <s v="PID-0042"/>
    <s v="ENC-0042-04"/>
    <x v="123"/>
    <x v="1"/>
    <x v="3"/>
    <x v="2"/>
    <s v="Dr. S. Okonkwo"/>
    <d v="1977-04-26T00:00:00"/>
    <n v="48"/>
    <x v="1"/>
    <x v="0"/>
    <s v="Middle Eastern"/>
    <x v="3"/>
    <x v="2"/>
    <x v="3"/>
    <s v="GC43"/>
    <s v="Mental health"/>
    <x v="14"/>
    <x v="1"/>
    <s v="Lisinopril 10mg OD"/>
    <n v="1"/>
    <s v="2160-0"/>
    <s v="Biochemistry"/>
    <s v="Serum creatinine"/>
    <x v="0"/>
    <s v="Not Tested"/>
    <n v="170"/>
    <n v="75"/>
    <x v="1"/>
    <s v="170/75"/>
    <n v="93"/>
    <n v="21"/>
    <n v="37.6"/>
    <n v="27.3"/>
    <s v="Non-Obese"/>
    <n v="96"/>
    <s v="8480-6"/>
    <s v="8462-4"/>
    <s v="8867-4"/>
    <s v="39156-5"/>
    <s v="59408-5"/>
  </r>
  <r>
    <s v="PID-0042"/>
    <s v="ENC-0042-05"/>
    <x v="124"/>
    <x v="0"/>
    <x v="4"/>
    <x v="5"/>
    <s v="Dr. F. Hassan"/>
    <d v="1977-04-26T00:00:00"/>
    <n v="48"/>
    <x v="1"/>
    <x v="0"/>
    <s v="Hispanic/Latino"/>
    <x v="3"/>
    <x v="2"/>
    <x v="3"/>
    <s v="GC43"/>
    <s v="Mental health"/>
    <x v="14"/>
    <x v="1"/>
    <s v="Bisoprolol 5mg OD; Metformin 1g BD"/>
    <n v="2"/>
    <s v="14627-4"/>
    <s v="Biochemistry"/>
    <s v="eGFR (CKD-EPI)"/>
    <x v="1"/>
    <s v="Not Tested"/>
    <n v="135"/>
    <n v="55"/>
    <x v="0"/>
    <s v="135/55"/>
    <n v="122"/>
    <n v="15"/>
    <n v="38.200000000000003"/>
    <n v="21.3"/>
    <s v="Non-Obese"/>
    <n v="95"/>
    <s v="8480-6"/>
    <s v="8462-4"/>
    <s v="8867-4"/>
    <s v="39156-5"/>
    <s v="59408-5"/>
  </r>
  <r>
    <s v="PID-0042"/>
    <s v="ENC-0042-06"/>
    <x v="125"/>
    <x v="3"/>
    <x v="0"/>
    <x v="0"/>
    <s v="Dr. R. Mendes"/>
    <d v="1977-04-26T00:00:00"/>
    <n v="48"/>
    <x v="1"/>
    <x v="0"/>
    <s v="Mixed/Other"/>
    <x v="3"/>
    <x v="2"/>
    <x v="3"/>
    <s v="GC43"/>
    <s v="Mental health"/>
    <x v="14"/>
    <x v="1"/>
    <s v="Warfarin (variable)"/>
    <n v="1"/>
    <s v="2823-3"/>
    <s v="Biochemistry"/>
    <s v="Serum potassium"/>
    <x v="0"/>
    <s v="Not Tested"/>
    <n v="110"/>
    <n v="79"/>
    <x v="0"/>
    <s v="110/79"/>
    <n v="73"/>
    <n v="23"/>
    <n v="36.700000000000003"/>
    <n v="36.200000000000003"/>
    <s v="Obese"/>
    <n v="96"/>
    <s v="8480-6"/>
    <s v="8462-4"/>
    <s v="8867-4"/>
    <s v="39156-5"/>
    <s v="59408-5"/>
  </r>
  <r>
    <s v="PID-0043"/>
    <s v="ENC-0043-01"/>
    <x v="126"/>
    <x v="2"/>
    <x v="2"/>
    <x v="2"/>
    <s v="Dr. L. Patel"/>
    <d v="2006-01-23T00:00:00"/>
    <n v="19"/>
    <x v="0"/>
    <x v="1"/>
    <s v="East Asian"/>
    <x v="3"/>
    <x v="2"/>
    <x v="2"/>
    <s v="5A10"/>
    <s v="Endocrine"/>
    <x v="1"/>
    <x v="1"/>
    <s v="Salbutamol 100mcg PRN; Metformin 1g BD"/>
    <n v="2"/>
    <s v="6768-6"/>
    <s v="Biochemistry"/>
    <s v="ALP"/>
    <x v="1"/>
    <s v="Not Tested"/>
    <s v="Not Recorded"/>
    <s v="Not Recorded"/>
    <x v="2"/>
    <s v="Not Recorded/Not Recorded"/>
    <n v="58"/>
    <n v="18"/>
    <n v="37"/>
    <n v="28.4"/>
    <s v="Non-Obese"/>
    <n v="98"/>
    <s v="8480-6"/>
    <s v="8462-4"/>
    <s v="8867-4"/>
    <s v="39156-5"/>
    <s v="59408-5"/>
  </r>
  <r>
    <s v="PID-0044"/>
    <s v="ENC-0044-01"/>
    <x v="102"/>
    <x v="4"/>
    <x v="2"/>
    <x v="3"/>
    <s v="Dr. R. Mendes"/>
    <d v="1980-02-04T00:00:00"/>
    <n v="45"/>
    <x v="1"/>
    <x v="1"/>
    <s v="Hispanic/Latino"/>
    <x v="3"/>
    <x v="3"/>
    <x v="2"/>
    <s v="JA00"/>
    <s v="Infectious"/>
    <x v="12"/>
    <x v="0"/>
    <s v="Omeprazole 20mg OD"/>
    <n v="1"/>
    <s v="17861-6"/>
    <s v="Biochemistry"/>
    <s v="Serum calcium"/>
    <x v="1"/>
    <s v="Not Tested"/>
    <n v="117"/>
    <n v="94"/>
    <x v="1"/>
    <s v="117/94"/>
    <n v="69"/>
    <n v="22"/>
    <n v="38.299999999999997"/>
    <n v="25.6"/>
    <s v="Non-Obese"/>
    <n v="99"/>
    <s v="8480-6"/>
    <s v="8462-4"/>
    <s v="8867-4"/>
    <s v="39156-5"/>
    <s v="59408-5"/>
  </r>
  <r>
    <s v="PID-0045"/>
    <s v="ENC-0045-01"/>
    <x v="127"/>
    <x v="1"/>
    <x v="0"/>
    <x v="3"/>
    <s v="Dr. S. Okonkwo"/>
    <d v="1970-11-02T00:00:00"/>
    <n v="55"/>
    <x v="3"/>
    <x v="1"/>
    <s v="Black African"/>
    <x v="3"/>
    <x v="0"/>
    <x v="3"/>
    <s v="3A00"/>
    <s v="Haematological"/>
    <x v="0"/>
    <x v="0"/>
    <s v="Insulin glargine 20u ON; Prednisolone 5mg OD; Furosemide 40mg OD; Dapagliflozin 10mg OD"/>
    <n v="4"/>
    <s v="2777-1"/>
    <s v="Biochemistry"/>
    <s v="Serum phosphate"/>
    <x v="0"/>
    <s v="Not Tested"/>
    <n v="101"/>
    <n v="108"/>
    <x v="1"/>
    <s v="101/108"/>
    <n v="51"/>
    <n v="18"/>
    <n v="37"/>
    <n v="28.5"/>
    <s v="Non-Obese"/>
    <n v="98"/>
    <s v="8480-6"/>
    <s v="8462-4"/>
    <s v="8867-4"/>
    <s v="39156-5"/>
    <s v="59408-5"/>
  </r>
  <r>
    <s v="PID-0045"/>
    <s v="ENC-0045-02"/>
    <x v="128"/>
    <x v="0"/>
    <x v="0"/>
    <x v="1"/>
    <s v="Dr. S. Okonkwo"/>
    <d v="1970-11-02T00:00:00"/>
    <n v="55"/>
    <x v="3"/>
    <x v="1"/>
    <s v="Mixed/Other"/>
    <x v="3"/>
    <x v="0"/>
    <x v="3"/>
    <s v="3A00"/>
    <s v="Haematological"/>
    <x v="0"/>
    <x v="0"/>
    <s v="Amlodipine 10mg OD; Metformin 1g BD; Prednisolone 5mg OD; Salbutamol 100mcg PRN"/>
    <n v="4"/>
    <s v="14627-4"/>
    <s v="Biochemistry"/>
    <s v="eGFR (CKD-EPI)"/>
    <x v="1"/>
    <s v="Not Tested"/>
    <n v="114"/>
    <n v="110"/>
    <x v="1"/>
    <s v="114/110"/>
    <n v="121"/>
    <n v="18"/>
    <n v="36.9"/>
    <n v="37.799999999999997"/>
    <s v="Obese"/>
    <n v="97"/>
    <s v="8480-6"/>
    <s v="8462-4"/>
    <s v="8867-4"/>
    <s v="39156-5"/>
    <s v="59408-5"/>
  </r>
  <r>
    <s v="PID-0046"/>
    <s v="ENC-0046-01"/>
    <x v="129"/>
    <x v="4"/>
    <x v="0"/>
    <x v="0"/>
    <s v="NP J. Nakamura"/>
    <d v="1988-09-11T00:00:00"/>
    <n v="37"/>
    <x v="1"/>
    <x v="0"/>
    <s v="South Asian"/>
    <x v="1"/>
    <x v="3"/>
    <x v="2"/>
    <s v="FA24"/>
    <s v="Gastroenterology"/>
    <x v="5"/>
    <x v="1"/>
    <s v="Atorvastatin 40mg ON; Amlodipine 5mg OD"/>
    <n v="2"/>
    <s v="2085-9"/>
    <s v="Biochemistry"/>
    <s v="HDL cholesterol"/>
    <x v="0"/>
    <s v="Not Tested"/>
    <n v="100"/>
    <n v="60"/>
    <x v="0"/>
    <s v="100/60"/>
    <n v="83"/>
    <n v="19"/>
    <n v="37.9"/>
    <n v="26.3"/>
    <s v="Non-Obese"/>
    <n v="97"/>
    <s v="8480-6"/>
    <s v="8462-4"/>
    <s v="8867-4"/>
    <s v="39156-5"/>
    <s v="59408-5"/>
  </r>
  <r>
    <s v="PID-0046"/>
    <s v="ENC-0046-02"/>
    <x v="130"/>
    <x v="0"/>
    <x v="3"/>
    <x v="1"/>
    <s v="Dr. S. Okonkwo"/>
    <d v="1988-09-11T00:00:00"/>
    <n v="37"/>
    <x v="1"/>
    <x v="0"/>
    <s v="South Asian"/>
    <x v="1"/>
    <x v="3"/>
    <x v="2"/>
    <s v="FA24"/>
    <s v="Gastroenterology"/>
    <x v="5"/>
    <x v="1"/>
    <s v="Amlodipine 5mg OD"/>
    <n v="1"/>
    <s v="2160-0"/>
    <s v="Biochemistry"/>
    <s v="Serum creatinine"/>
    <x v="0"/>
    <s v="Not Tested"/>
    <n v="142"/>
    <n v="104"/>
    <x v="1"/>
    <s v="142/104"/>
    <n v="69"/>
    <n v="18"/>
    <n v="38.4"/>
    <n v="42.4"/>
    <s v="Obese"/>
    <n v="97"/>
    <s v="8480-6"/>
    <s v="8462-4"/>
    <s v="8867-4"/>
    <s v="39156-5"/>
    <s v="59408-5"/>
  </r>
  <r>
    <s v="PID-0046"/>
    <s v="ENC-0046-03"/>
    <x v="131"/>
    <x v="2"/>
    <x v="0"/>
    <x v="8"/>
    <s v="Dr. A. Mwangi"/>
    <d v="1988-09-11T00:00:00"/>
    <n v="37"/>
    <x v="1"/>
    <x v="0"/>
    <s v="Black African"/>
    <x v="1"/>
    <x v="3"/>
    <x v="2"/>
    <s v="FA24"/>
    <s v="Gastroenterology"/>
    <x v="5"/>
    <x v="1"/>
    <s v="Bisoprolol 5mg OD; Atorvastatin 40mg ON"/>
    <n v="2"/>
    <s v="2951-2"/>
    <s v="Biochemistry"/>
    <s v="Serum sodium"/>
    <x v="2"/>
    <s v="Not Tested"/>
    <n v="183"/>
    <n v="93"/>
    <x v="1"/>
    <s v="183/93"/>
    <n v="87"/>
    <n v="20"/>
    <n v="36.200000000000003"/>
    <n v="42"/>
    <s v="Obese"/>
    <n v="89"/>
    <s v="8480-6"/>
    <s v="8462-4"/>
    <s v="8867-4"/>
    <s v="39156-5"/>
    <s v="59408-5"/>
  </r>
  <r>
    <s v="PID-0046"/>
    <s v="ENC-0046-04"/>
    <x v="132"/>
    <x v="0"/>
    <x v="4"/>
    <x v="5"/>
    <s v="Dr. F. Hassan"/>
    <d v="1988-09-11T00:00:00"/>
    <n v="37"/>
    <x v="1"/>
    <x v="0"/>
    <s v="Black African"/>
    <x v="1"/>
    <x v="3"/>
    <x v="2"/>
    <s v="FA24"/>
    <s v="Gastroenterology"/>
    <x v="5"/>
    <x v="1"/>
    <s v="Aspirin 75mg OD; Levothyroxine 50mcg OD; None; Ramipril 5mg OD"/>
    <n v="4"/>
    <s v="6768-6"/>
    <s v="Biochemistry"/>
    <s v="ALP"/>
    <x v="1"/>
    <s v="Not Tested"/>
    <n v="117"/>
    <n v="83"/>
    <x v="0"/>
    <s v="117/83"/>
    <n v="79"/>
    <n v="14"/>
    <n v="39"/>
    <n v="41.9"/>
    <s v="Obese"/>
    <n v="94"/>
    <s v="8480-6"/>
    <s v="8462-4"/>
    <s v="8867-4"/>
    <s v="39156-5"/>
    <s v="59408-5"/>
  </r>
  <r>
    <s v="PID-0046"/>
    <s v="ENC-0046-05"/>
    <x v="133"/>
    <x v="2"/>
    <x v="3"/>
    <x v="2"/>
    <s v="Dr. F. Hassan"/>
    <d v="1988-09-11T00:00:00"/>
    <n v="37"/>
    <x v="1"/>
    <x v="0"/>
    <s v="White European"/>
    <x v="1"/>
    <x v="3"/>
    <x v="2"/>
    <s v="FA24"/>
    <s v="Gastroenterology"/>
    <x v="5"/>
    <x v="1"/>
    <s v="Omeprazole 20mg OD; Levothyroxine 50mcg OD; Metformin 1g BD"/>
    <n v="3"/>
    <s v="2085-9"/>
    <s v="Biochemistry"/>
    <s v="HDL cholesterol"/>
    <x v="0"/>
    <s v="Not Tested"/>
    <n v="156"/>
    <n v="58"/>
    <x v="1"/>
    <s v="156/58"/>
    <n v="67"/>
    <n v="20"/>
    <n v="36.1"/>
    <n v="28.9"/>
    <s v="Non-Obese"/>
    <n v="98"/>
    <s v="8480-6"/>
    <s v="8462-4"/>
    <s v="8867-4"/>
    <s v="39156-5"/>
    <s v="59408-5"/>
  </r>
  <r>
    <s v="PID-0047"/>
    <s v="ENC-0047-01"/>
    <x v="134"/>
    <x v="1"/>
    <x v="3"/>
    <x v="1"/>
    <s v="Dr. S. Okonkwo"/>
    <d v="1969-12-20T00:00:00"/>
    <n v="56"/>
    <x v="3"/>
    <x v="1"/>
    <s v="White European"/>
    <x v="2"/>
    <x v="1"/>
    <x v="3"/>
    <s v="3A00"/>
    <s v="Haematological"/>
    <x v="0"/>
    <x v="0"/>
    <s v="Levothyroxine 50mcg OD"/>
    <n v="1"/>
    <s v="4548-4"/>
    <s v="Biochemistry"/>
    <s v="HbA1c"/>
    <x v="1"/>
    <s v="High"/>
    <n v="163"/>
    <n v="70"/>
    <x v="1"/>
    <s v="163/70"/>
    <n v="50"/>
    <n v="19"/>
    <n v="36.700000000000003"/>
    <n v="27.4"/>
    <s v="Non-Obese"/>
    <n v="98"/>
    <s v="8480-6"/>
    <s v="8462-4"/>
    <s v="8867-4"/>
    <s v="39156-5"/>
    <s v="59408-5"/>
  </r>
  <r>
    <s v="PID-0047"/>
    <s v="ENC-0047-02"/>
    <x v="135"/>
    <x v="0"/>
    <x v="3"/>
    <x v="5"/>
    <s v="Dr. S. Okonkwo"/>
    <d v="1969-12-20T00:00:00"/>
    <n v="56"/>
    <x v="3"/>
    <x v="1"/>
    <s v="Mixed/Other"/>
    <x v="2"/>
    <x v="1"/>
    <x v="3"/>
    <s v="3A00"/>
    <s v="Haematological"/>
    <x v="0"/>
    <x v="0"/>
    <s v="Empagliflozin 10mg OD; Ramipril 5mg OD"/>
    <n v="2"/>
    <s v="2160-0"/>
    <s v="Biochemistry"/>
    <s v="Serum creatinine"/>
    <x v="0"/>
    <s v="Not Tested"/>
    <n v="183"/>
    <n v="80"/>
    <x v="1"/>
    <s v="183/80"/>
    <n v="122"/>
    <n v="28"/>
    <n v="36.5"/>
    <n v="25.5"/>
    <s v="Non-Obese"/>
    <n v="88"/>
    <s v="8480-6"/>
    <s v="8462-4"/>
    <s v="8867-4"/>
    <s v="39156-5"/>
    <s v="59408-5"/>
  </r>
  <r>
    <s v="PID-0048"/>
    <s v="ENC-0048-01"/>
    <x v="40"/>
    <x v="4"/>
    <x v="0"/>
    <x v="0"/>
    <s v="NP J. Nakamura"/>
    <d v="1957-02-19T00:00:00"/>
    <n v="68"/>
    <x v="2"/>
    <x v="0"/>
    <s v="East Asian"/>
    <x v="0"/>
    <x v="2"/>
    <x v="1"/>
    <s v="5A11"/>
    <s v="Endocrine"/>
    <x v="13"/>
    <x v="1"/>
    <s v="Clopidogrel 75mg OD; Atorvastatin 40mg ON"/>
    <n v="2"/>
    <s v="4548-4"/>
    <s v="Biochemistry"/>
    <s v="HbA1c"/>
    <x v="1"/>
    <s v="High"/>
    <n v="178"/>
    <n v="79"/>
    <x v="1"/>
    <s v="178/79"/>
    <n v="112"/>
    <n v="17"/>
    <n v="37.4"/>
    <n v="24.2"/>
    <s v="Non-Obese"/>
    <n v="99"/>
    <s v="8480-6"/>
    <s v="8462-4"/>
    <s v="8867-4"/>
    <s v="39156-5"/>
    <s v="59408-5"/>
  </r>
  <r>
    <s v="PID-0048"/>
    <s v="ENC-0048-02"/>
    <x v="76"/>
    <x v="4"/>
    <x v="4"/>
    <x v="0"/>
    <s v="Dr. S. Okonkwo"/>
    <d v="1957-02-19T00:00:00"/>
    <n v="68"/>
    <x v="2"/>
    <x v="0"/>
    <s v="Hispanic/Latino"/>
    <x v="0"/>
    <x v="2"/>
    <x v="1"/>
    <s v="5A11"/>
    <s v="Endocrine"/>
    <x v="13"/>
    <x v="1"/>
    <s v="Omeprazole 20mg OD; Lisinopril 10mg OD"/>
    <n v="2"/>
    <s v="2951-2"/>
    <s v="Biochemistry"/>
    <s v="Serum sodium"/>
    <x v="2"/>
    <s v="Not Tested"/>
    <n v="132"/>
    <n v="87"/>
    <x v="0"/>
    <s v="132/87"/>
    <n v="122"/>
    <n v="15"/>
    <n v="37"/>
    <n v="25.1"/>
    <s v="Non-Obese"/>
    <n v="89"/>
    <s v="8480-6"/>
    <s v="8462-4"/>
    <s v="8867-4"/>
    <s v="39156-5"/>
    <s v="59408-5"/>
  </r>
  <r>
    <s v="PID-0048"/>
    <s v="ENC-0048-03"/>
    <x v="82"/>
    <x v="3"/>
    <x v="0"/>
    <x v="0"/>
    <s v="Dr. S. Okonkwo"/>
    <d v="1957-02-19T00:00:00"/>
    <n v="68"/>
    <x v="2"/>
    <x v="0"/>
    <s v="Black African"/>
    <x v="0"/>
    <x v="2"/>
    <x v="1"/>
    <s v="5A11"/>
    <s v="Endocrine"/>
    <x v="13"/>
    <x v="1"/>
    <s v="Prednisolone 5mg OD; None; Aspirin 75mg OD; Atorvastatin 40mg ON"/>
    <n v="4"/>
    <s v="17861-6"/>
    <s v="Biochemistry"/>
    <s v="Serum calcium"/>
    <x v="1"/>
    <s v="Not Tested"/>
    <n v="182"/>
    <n v="79"/>
    <x v="1"/>
    <s v="182/79"/>
    <n v="54"/>
    <n v="17"/>
    <n v="38.6"/>
    <n v="22.5"/>
    <s v="Non-Obese"/>
    <n v="99"/>
    <s v="8480-6"/>
    <s v="8462-4"/>
    <s v="8867-4"/>
    <s v="39156-5"/>
    <s v="59408-5"/>
  </r>
  <r>
    <s v="PID-0048"/>
    <s v="ENC-0048-04"/>
    <x v="136"/>
    <x v="4"/>
    <x v="3"/>
    <x v="0"/>
    <s v="Dr. S. Okonkwo"/>
    <d v="1957-02-19T00:00:00"/>
    <n v="68"/>
    <x v="2"/>
    <x v="0"/>
    <s v="Middle Eastern"/>
    <x v="0"/>
    <x v="2"/>
    <x v="1"/>
    <s v="5A11"/>
    <s v="Endocrine"/>
    <x v="13"/>
    <x v="1"/>
    <s v="Metformin 1g BD; Amlodipine 5mg OD; None"/>
    <n v="3"/>
    <s v="17861-6"/>
    <s v="Biochemistry"/>
    <s v="Serum calcium"/>
    <x v="1"/>
    <s v="Not Tested"/>
    <n v="170"/>
    <n v="114"/>
    <x v="1"/>
    <s v="170/114"/>
    <n v="60"/>
    <n v="25"/>
    <n v="37.200000000000003"/>
    <n v="35.5"/>
    <s v="Obese"/>
    <n v="95"/>
    <s v="8480-6"/>
    <s v="8462-4"/>
    <s v="8867-4"/>
    <s v="39156-5"/>
    <s v="59408-5"/>
  </r>
  <r>
    <s v="PID-0049"/>
    <s v="ENC-0049-01"/>
    <x v="137"/>
    <x v="3"/>
    <x v="2"/>
    <x v="9"/>
    <s v="Dr. A. Mwangi"/>
    <d v="1992-01-15T00:00:00"/>
    <n v="32.898630136986299"/>
    <x v="0"/>
    <x v="1"/>
    <s v="Black African"/>
    <x v="3"/>
    <x v="1"/>
    <x v="2"/>
    <s v="5A11"/>
    <s v="Endocrine"/>
    <x v="13"/>
    <x v="1"/>
    <s v="Omeprazole 20mg OD; Dapagliflozin 10mg OD"/>
    <n v="2"/>
    <s v="2085-9"/>
    <s v="Biochemistry"/>
    <s v="HDL cholesterol"/>
    <x v="0"/>
    <s v="Not Tested"/>
    <s v="Not Recorded"/>
    <s v="Not Recorded"/>
    <x v="2"/>
    <s v="Not Recorded/Not Recorded"/>
    <n v="118"/>
    <n v="16"/>
    <n v="37.4"/>
    <n v="21.7"/>
    <s v="Non-Obese"/>
    <n v="95"/>
    <s v="8480-6"/>
    <s v="8462-4"/>
    <s v="8867-4"/>
    <s v="39156-5"/>
    <s v="59408-5"/>
  </r>
  <r>
    <s v="PID-0049"/>
    <s v="ENC-0049-02"/>
    <x v="120"/>
    <x v="3"/>
    <x v="4"/>
    <x v="0"/>
    <s v="Dr. A. Mwangi"/>
    <d v="1992-01-15T00:00:00"/>
    <n v="33"/>
    <x v="0"/>
    <x v="1"/>
    <s v="South Asian"/>
    <x v="3"/>
    <x v="1"/>
    <x v="2"/>
    <s v="5A11"/>
    <s v="Endocrine"/>
    <x v="13"/>
    <x v="1"/>
    <s v="Clopidogrel 75mg OD; Empagliflozin 10mg OD; Levothyroxine 50mcg OD"/>
    <n v="3"/>
    <s v="13457-7"/>
    <s v="Biochemistry"/>
    <s v="LDL cholesterol"/>
    <x v="1"/>
    <s v="Not Tested"/>
    <n v="184"/>
    <s v="Not Recorded"/>
    <x v="2"/>
    <s v="184/Not Recorded"/>
    <n v="51"/>
    <n v="18"/>
    <n v="38.299999999999997"/>
    <n v="31.2"/>
    <s v="Obese"/>
    <n v="97"/>
    <s v="8480-6"/>
    <s v="8462-4"/>
    <s v="8867-4"/>
    <s v="39156-5"/>
    <s v="59408-5"/>
  </r>
  <r>
    <s v="PID-0050"/>
    <s v="ENC-0050-01"/>
    <x v="138"/>
    <x v="2"/>
    <x v="4"/>
    <x v="4"/>
    <s v="Dr. A. Mwangi"/>
    <d v="1940-06-25T00:00:00"/>
    <n v="85"/>
    <x v="2"/>
    <x v="1"/>
    <s v="Hispanic/Latino"/>
    <x v="1"/>
    <x v="2"/>
    <x v="3"/>
    <s v="3A00"/>
    <s v="Haematological"/>
    <x v="0"/>
    <x v="0"/>
    <s v="Furosemide 40mg OD; Aspirin 75mg OD"/>
    <n v="2"/>
    <s v="2160-0"/>
    <s v="Biochemistry"/>
    <s v="Serum creatinine"/>
    <x v="0"/>
    <s v="Not Tested"/>
    <n v="178"/>
    <n v="58"/>
    <x v="1"/>
    <s v="178/58"/>
    <n v="125"/>
    <n v="16"/>
    <n v="38.700000000000003"/>
    <n v="40.200000000000003"/>
    <s v="Obese"/>
    <n v="92"/>
    <s v="8480-6"/>
    <s v="8462-4"/>
    <s v="8867-4"/>
    <s v="39156-5"/>
    <s v="59408-5"/>
  </r>
  <r>
    <s v="PID-0051"/>
    <s v="ENC-0051-01"/>
    <x v="139"/>
    <x v="1"/>
    <x v="1"/>
    <x v="3"/>
    <s v="Dr. L. Patel"/>
    <d v="1989-10-07T00:00:00"/>
    <n v="36"/>
    <x v="1"/>
    <x v="1"/>
    <s v="Middle Eastern"/>
    <x v="2"/>
    <x v="2"/>
    <x v="2"/>
    <s v="BA80,5A11"/>
    <s v="Multi-system"/>
    <x v="6"/>
    <x v="1"/>
    <s v="Levothyroxine 50mcg OD; Lisinopril 10mg OD"/>
    <n v="2"/>
    <s v="2823-3"/>
    <s v="Biochemistry"/>
    <s v="Serum potassium"/>
    <x v="0"/>
    <s v="Not Tested"/>
    <s v="Not Recorded"/>
    <n v="68"/>
    <x v="2"/>
    <s v="Not Recorded/68"/>
    <n v="89"/>
    <n v="12"/>
    <n v="38.9"/>
    <n v="23.2"/>
    <s v="Non-Obese"/>
    <n v="89"/>
    <s v="8480-6"/>
    <s v="8462-4"/>
    <s v="8867-4"/>
    <s v="39156-5"/>
    <s v="59408-5"/>
  </r>
  <r>
    <s v="PID-0051"/>
    <s v="ENC-0051-03"/>
    <x v="140"/>
    <x v="3"/>
    <x v="1"/>
    <x v="4"/>
    <s v="Dr. S. Okonkwo"/>
    <d v="1989-10-07T00:00:00"/>
    <n v="36"/>
    <x v="1"/>
    <x v="1"/>
    <s v="White European"/>
    <x v="2"/>
    <x v="2"/>
    <x v="2"/>
    <s v="BA80,5A11"/>
    <s v="Multi-system"/>
    <x v="6"/>
    <x v="1"/>
    <s v="Clopidogrel 75mg OD; Atorvastatin 40mg ON"/>
    <n v="2"/>
    <s v="6768-6"/>
    <s v="Biochemistry"/>
    <s v="ALP"/>
    <x v="1"/>
    <s v="Not Tested"/>
    <s v="Not Recorded"/>
    <s v="Not Recorded"/>
    <x v="2"/>
    <s v="Not Recorded/Not Recorded"/>
    <n v="122"/>
    <n v="13"/>
    <n v="37.9"/>
    <n v="43.7"/>
    <s v="Obese"/>
    <n v="100"/>
    <s v="8480-6"/>
    <s v="8462-4"/>
    <s v="8867-4"/>
    <s v="39156-5"/>
    <s v="59408-5"/>
  </r>
  <r>
    <s v="PID-0051"/>
    <s v="ENC-0051-04"/>
    <x v="2"/>
    <x v="1"/>
    <x v="3"/>
    <x v="9"/>
    <s v="Dr. T. Osei"/>
    <d v="1989-10-07T00:00:00"/>
    <n v="36"/>
    <x v="1"/>
    <x v="1"/>
    <s v="White European"/>
    <x v="2"/>
    <x v="2"/>
    <x v="2"/>
    <s v="BA80,5A11"/>
    <s v="Multi-system"/>
    <x v="6"/>
    <x v="1"/>
    <s v="Amlodipine 5mg OD"/>
    <n v="1"/>
    <s v="6690-2"/>
    <s v="Biochemistry"/>
    <s v="WBC count"/>
    <x v="2"/>
    <s v="Not Tested"/>
    <n v="153"/>
    <n v="108"/>
    <x v="1"/>
    <s v="153/108"/>
    <n v="83"/>
    <n v="16"/>
    <n v="36.799999999999997"/>
    <s v="Invalid"/>
    <s v="Obese"/>
    <n v="90"/>
    <s v="8480-6"/>
    <s v="8462-4"/>
    <s v="8867-4"/>
    <s v="39156-5"/>
    <s v="59408-5"/>
  </r>
  <r>
    <s v="PID-0052"/>
    <s v="ENC-0052-01"/>
    <x v="105"/>
    <x v="3"/>
    <x v="2"/>
    <x v="7"/>
    <s v="NP J. Nakamura"/>
    <d v="1946-12-01T00:00:00"/>
    <n v="77.06575342465753"/>
    <x v="2"/>
    <x v="1"/>
    <s v="White European"/>
    <x v="0"/>
    <x v="1"/>
    <x v="3"/>
    <s v="8A25"/>
    <s v="Neurological"/>
    <x v="3"/>
    <x v="1"/>
    <s v="Atorvastatin 40mg ON; Lisinopril 10mg OD"/>
    <n v="2"/>
    <s v="2345-7"/>
    <s v="Biochemistry"/>
    <s v="Serum glucose (fasting)"/>
    <x v="0"/>
    <s v="Not Tested"/>
    <s v="Not Recorded"/>
    <s v="Not Recorded"/>
    <x v="2"/>
    <s v="Not Recorded/Not Recorded"/>
    <n v="102"/>
    <n v="24"/>
    <n v="38.299999999999997"/>
    <n v="25.1"/>
    <s v="Non-Obese"/>
    <n v="91"/>
    <s v="8480-6"/>
    <s v="8462-4"/>
    <s v="8867-4"/>
    <s v="39156-5"/>
    <s v="59408-5"/>
  </r>
  <r>
    <s v="PID-0052"/>
    <s v="ENC-0052-02"/>
    <x v="141"/>
    <x v="2"/>
    <x v="3"/>
    <x v="0"/>
    <s v="Dr. F. Hassan"/>
    <d v="1946-12-01T00:00:00"/>
    <n v="77.482191780821921"/>
    <x v="2"/>
    <x v="1"/>
    <s v="East Asian"/>
    <x v="0"/>
    <x v="1"/>
    <x v="3"/>
    <s v="8A25"/>
    <s v="Neurological"/>
    <x v="3"/>
    <x v="1"/>
    <s v="Dapagliflozin 10mg OD; None; Bisoprolol 5mg OD; Metformin 1g BD"/>
    <n v="4"/>
    <s v="2345-7"/>
    <s v="Biochemistry"/>
    <s v="Serum glucose (fasting)"/>
    <x v="0"/>
    <s v="Not Tested"/>
    <s v="Not Recorded"/>
    <n v="57"/>
    <x v="2"/>
    <s v="Not Recorded/57"/>
    <n v="63"/>
    <n v="17"/>
    <n v="36.299999999999997"/>
    <s v="Invalid"/>
    <s v="Obese"/>
    <n v="91"/>
    <s v="8480-6"/>
    <s v="8462-4"/>
    <s v="8867-4"/>
    <s v="39156-5"/>
    <s v="59408-5"/>
  </r>
  <r>
    <s v="PID-0052"/>
    <s v="ENC-0052-03"/>
    <x v="142"/>
    <x v="3"/>
    <x v="2"/>
    <x v="6"/>
    <s v="NP J. Nakamura"/>
    <d v="1946-12-01T00:00:00"/>
    <n v="76.890410958904113"/>
    <x v="2"/>
    <x v="1"/>
    <s v="Mixed/Other"/>
    <x v="0"/>
    <x v="1"/>
    <x v="3"/>
    <s v="8A25"/>
    <s v="Neurological"/>
    <x v="3"/>
    <x v="1"/>
    <s v="Prednisolone 5mg OD; Lisinopril 10mg OD"/>
    <n v="2"/>
    <s v="2951-2"/>
    <s v="Biochemistry"/>
    <s v="Serum sodium"/>
    <x v="2"/>
    <s v="Not Tested"/>
    <n v="146"/>
    <n v="64"/>
    <x v="1"/>
    <s v="146/64"/>
    <n v="102"/>
    <n v="14"/>
    <n v="38.1"/>
    <n v="40.5"/>
    <s v="Obese"/>
    <n v="92"/>
    <s v="8480-6"/>
    <s v="8462-4"/>
    <s v="8867-4"/>
    <s v="39156-5"/>
    <s v="59408-5"/>
  </r>
  <r>
    <s v="PID-0052"/>
    <s v="ENC-0052-04"/>
    <x v="133"/>
    <x v="4"/>
    <x v="0"/>
    <x v="6"/>
    <s v="Dr. S. Okonkwo"/>
    <d v="1946-12-01T00:00:00"/>
    <n v="79"/>
    <x v="2"/>
    <x v="1"/>
    <s v="Hispanic/Latino"/>
    <x v="0"/>
    <x v="1"/>
    <x v="3"/>
    <s v="8A25"/>
    <s v="Neurological"/>
    <x v="3"/>
    <x v="1"/>
    <s v="Warfarin (variable); None"/>
    <n v="2"/>
    <s v="17861-6"/>
    <s v="Biochemistry"/>
    <s v="Serum calcium"/>
    <x v="1"/>
    <s v="Not Tested"/>
    <n v="146"/>
    <n v="86"/>
    <x v="1"/>
    <s v="146/86"/>
    <n v="93"/>
    <n v="28"/>
    <n v="36.5"/>
    <s v="Invalid"/>
    <s v="Obese"/>
    <n v="93"/>
    <s v="8480-6"/>
    <s v="8462-4"/>
    <s v="8867-4"/>
    <s v="39156-5"/>
    <s v="59408-5"/>
  </r>
  <r>
    <s v="PID-0052"/>
    <s v="ENC-0052-05"/>
    <x v="74"/>
    <x v="2"/>
    <x v="2"/>
    <x v="6"/>
    <s v="Dr. S. Okonkwo"/>
    <d v="1946-12-01T00:00:00"/>
    <n v="79"/>
    <x v="2"/>
    <x v="1"/>
    <s v="East Asian"/>
    <x v="0"/>
    <x v="1"/>
    <x v="3"/>
    <s v="8A25"/>
    <s v="Neurological"/>
    <x v="3"/>
    <x v="1"/>
    <s v="None"/>
    <n v="1"/>
    <s v="2085-9"/>
    <s v="Biochemistry"/>
    <s v="HDL cholesterol"/>
    <x v="0"/>
    <s v="Not Tested"/>
    <s v="Not Recorded"/>
    <n v="59"/>
    <x v="2"/>
    <s v="Not Recorded/59"/>
    <n v="79"/>
    <n v="18"/>
    <n v="37"/>
    <s v="Invalid"/>
    <s v="Obese"/>
    <n v="93"/>
    <s v="8480-6"/>
    <s v="8462-4"/>
    <s v="8867-4"/>
    <s v="39156-5"/>
    <s v="59408-5"/>
  </r>
  <r>
    <s v="PID-0052"/>
    <s v="ENC-0052-06"/>
    <x v="143"/>
    <x v="0"/>
    <x v="3"/>
    <x v="0"/>
    <s v="Dr. T. Osei"/>
    <d v="1946-12-01T00:00:00"/>
    <n v="79"/>
    <x v="2"/>
    <x v="1"/>
    <s v="Black African"/>
    <x v="0"/>
    <x v="1"/>
    <x v="3"/>
    <s v="8A25"/>
    <s v="Neurological"/>
    <x v="3"/>
    <x v="1"/>
    <s v="Clopidogrel 75mg OD; Dapagliflozin 10mg OD; Lisinopril 10mg OD; Furosemide 40mg OD"/>
    <n v="4"/>
    <s v="4548-4"/>
    <s v="Biochemistry"/>
    <s v="HbA1c"/>
    <x v="1"/>
    <s v="High"/>
    <s v="Not Recorded"/>
    <n v="61"/>
    <x v="2"/>
    <s v="Not Recorded/61"/>
    <n v="71"/>
    <n v="21"/>
    <n v="37.1"/>
    <n v="29.2"/>
    <s v="Non-Obese"/>
    <n v="92"/>
    <s v="8480-6"/>
    <s v="8462-4"/>
    <s v="8867-4"/>
    <s v="39156-5"/>
    <s v="59408-5"/>
  </r>
  <r>
    <s v="PID-0053"/>
    <s v="ENC-0053-01"/>
    <x v="144"/>
    <x v="3"/>
    <x v="3"/>
    <x v="7"/>
    <s v="Dr. F. Hassan"/>
    <d v="1960-01-11T00:00:00"/>
    <n v="65"/>
    <x v="2"/>
    <x v="1"/>
    <s v="Middle Eastern"/>
    <x v="2"/>
    <x v="1"/>
    <x v="0"/>
    <s v="LD27"/>
    <s v="Genitourinary"/>
    <x v="7"/>
    <x v="0"/>
    <s v="Metoprolol 50mg BD; Warfarin (variable)"/>
    <n v="2"/>
    <s v="2160-0"/>
    <s v="Biochemistry"/>
    <s v="Serum creatinine"/>
    <x v="0"/>
    <s v="Not Tested"/>
    <n v="107"/>
    <n v="113"/>
    <x v="1"/>
    <s v="107/113"/>
    <n v="83"/>
    <n v="25"/>
    <n v="36.9"/>
    <n v="29.4"/>
    <s v="Non-Obese"/>
    <n v="95"/>
    <s v="8480-6"/>
    <s v="8462-4"/>
    <s v="8867-4"/>
    <s v="39156-5"/>
    <s v="59408-5"/>
  </r>
  <r>
    <s v="PID-0053"/>
    <s v="ENC-0053-02"/>
    <x v="145"/>
    <x v="4"/>
    <x v="1"/>
    <x v="2"/>
    <s v="Dr. R. Mendes"/>
    <d v="1960-01-11T00:00:00"/>
    <n v="65"/>
    <x v="2"/>
    <x v="1"/>
    <s v="Black African"/>
    <x v="2"/>
    <x v="1"/>
    <x v="0"/>
    <s v="LD27"/>
    <s v="Genitourinary"/>
    <x v="7"/>
    <x v="0"/>
    <s v="Furosemide 40mg OD"/>
    <n v="1"/>
    <s v="2345-7"/>
    <s v="Biochemistry"/>
    <s v="Serum glucose (fasting)"/>
    <x v="0"/>
    <s v="Not Tested"/>
    <n v="141"/>
    <n v="65"/>
    <x v="1"/>
    <s v="141/65"/>
    <n v="73"/>
    <n v="20"/>
    <n v="36.4"/>
    <n v="41.8"/>
    <s v="Obese"/>
    <n v="98"/>
    <s v="8480-6"/>
    <s v="8462-4"/>
    <s v="8867-4"/>
    <s v="39156-5"/>
    <s v="59408-5"/>
  </r>
  <r>
    <s v="PID-0054"/>
    <s v="ENC-0054-01"/>
    <x v="146"/>
    <x v="0"/>
    <x v="0"/>
    <x v="6"/>
    <s v="Dr. A. Mwangi"/>
    <d v="2001-06-23T00:00:00"/>
    <n v="24"/>
    <x v="0"/>
    <x v="1"/>
    <s v="White European"/>
    <x v="2"/>
    <x v="1"/>
    <x v="2"/>
    <s v="8A00"/>
    <s v="Neurological"/>
    <x v="9"/>
    <x v="0"/>
    <s v="Furosemide 40mg OD; Bisoprolol 5mg OD; Metformin 1g BD"/>
    <n v="3"/>
    <s v="13457-7"/>
    <s v="Biochemistry"/>
    <s v="LDL cholesterol"/>
    <x v="1"/>
    <s v="Not Tested"/>
    <n v="156"/>
    <n v="70"/>
    <x v="1"/>
    <s v="156/70"/>
    <n v="87"/>
    <n v="19"/>
    <n v="39.1"/>
    <n v="31"/>
    <s v="Obese"/>
    <n v="94"/>
    <s v="8480-6"/>
    <s v="8462-4"/>
    <s v="8867-4"/>
    <s v="39156-5"/>
    <s v="59408-5"/>
  </r>
  <r>
    <s v="PID-0054"/>
    <s v="ENC-0054-02"/>
    <x v="64"/>
    <x v="4"/>
    <x v="1"/>
    <x v="3"/>
    <s v="Dr. A. Mwangi"/>
    <d v="2001-06-23T00:00:00"/>
    <n v="24"/>
    <x v="0"/>
    <x v="1"/>
    <s v="White European"/>
    <x v="2"/>
    <x v="1"/>
    <x v="2"/>
    <s v="8A00"/>
    <s v="Neurological"/>
    <x v="9"/>
    <x v="0"/>
    <s v="Dapagliflozin 10mg OD"/>
    <n v="1"/>
    <s v="2345-7"/>
    <s v="Biochemistry"/>
    <s v="Serum glucose (fasting)"/>
    <x v="0"/>
    <s v="Not Tested"/>
    <n v="165"/>
    <n v="68"/>
    <x v="1"/>
    <s v="165/68"/>
    <n v="67"/>
    <n v="16"/>
    <n v="36.700000000000003"/>
    <n v="36.1"/>
    <s v="Obese"/>
    <n v="94"/>
    <s v="8480-6"/>
    <s v="8462-4"/>
    <s v="8867-4"/>
    <s v="39156-5"/>
    <s v="59408-5"/>
  </r>
  <r>
    <s v="PID-0055"/>
    <s v="ENC-0055-01"/>
    <x v="147"/>
    <x v="1"/>
    <x v="3"/>
    <x v="5"/>
    <s v="Dr. F. Hassan"/>
    <d v="1968-12-23T00:00:00"/>
    <n v="57"/>
    <x v="3"/>
    <x v="1"/>
    <s v="South Asian"/>
    <x v="3"/>
    <x v="3"/>
    <x v="2"/>
    <s v="CA22"/>
    <s v="Respiratory"/>
    <x v="10"/>
    <x v="1"/>
    <s v="Prednisolone 5mg OD; Omeprazole 20mg OD; Clopidogrel 75mg OD"/>
    <n v="3"/>
    <s v="718-7"/>
    <s v="Biochemistry"/>
    <s v="Haemoglobin"/>
    <x v="0"/>
    <s v="Not Tested"/>
    <n v="122"/>
    <n v="86"/>
    <x v="0"/>
    <s v="122/86"/>
    <n v="97"/>
    <n v="21"/>
    <n v="36"/>
    <n v="46"/>
    <s v="Obese"/>
    <n v="100"/>
    <s v="8480-6"/>
    <s v="8462-4"/>
    <s v="8867-4"/>
    <s v="39156-5"/>
    <s v="59408-5"/>
  </r>
  <r>
    <s v="PID-0055"/>
    <s v="ENC-0055-02"/>
    <x v="148"/>
    <x v="0"/>
    <x v="1"/>
    <x v="2"/>
    <s v="NP J. Nakamura"/>
    <d v="1968-12-23T00:00:00"/>
    <n v="57"/>
    <x v="3"/>
    <x v="1"/>
    <s v="South Asian"/>
    <x v="3"/>
    <x v="3"/>
    <x v="2"/>
    <s v="CA22"/>
    <s v="Respiratory"/>
    <x v="10"/>
    <x v="1"/>
    <s v="Lisinopril 10mg OD; Amlodipine 10mg OD"/>
    <n v="2"/>
    <s v="2823-3"/>
    <s v="Biochemistry"/>
    <s v="Serum potassium"/>
    <x v="0"/>
    <s v="Not Tested"/>
    <n v="124"/>
    <n v="72"/>
    <x v="0"/>
    <s v="124/72"/>
    <n v="99"/>
    <n v="27"/>
    <n v="38.1"/>
    <n v="22.9"/>
    <s v="Non-Obese"/>
    <n v="94"/>
    <s v="8480-6"/>
    <s v="8462-4"/>
    <s v="8867-4"/>
    <s v="39156-5"/>
    <s v="59408-5"/>
  </r>
  <r>
    <s v="PID-0055"/>
    <s v="ENC-0055-03"/>
    <x v="149"/>
    <x v="0"/>
    <x v="2"/>
    <x v="1"/>
    <s v="Dr. L. Patel"/>
    <d v="1968-12-23T00:00:00"/>
    <n v="57"/>
    <x v="3"/>
    <x v="1"/>
    <s v="Middle Eastern"/>
    <x v="3"/>
    <x v="3"/>
    <x v="2"/>
    <s v="CA22"/>
    <s v="Respiratory"/>
    <x v="10"/>
    <x v="1"/>
    <s v="Prednisolone 5mg OD; Dapagliflozin 10mg OD"/>
    <n v="2"/>
    <s v="2951-2"/>
    <s v="Biochemistry"/>
    <s v="Serum sodium"/>
    <x v="2"/>
    <s v="Not Tested"/>
    <n v="177"/>
    <n v="79"/>
    <x v="1"/>
    <s v="177/79"/>
    <n v="105"/>
    <n v="21"/>
    <n v="39.200000000000003"/>
    <n v="40.799999999999997"/>
    <s v="Obese"/>
    <n v="91"/>
    <s v="8480-6"/>
    <s v="8462-4"/>
    <s v="8867-4"/>
    <s v="39156-5"/>
    <s v="59408-5"/>
  </r>
  <r>
    <s v="PID-0055"/>
    <s v="ENC-0055-04"/>
    <x v="150"/>
    <x v="4"/>
    <x v="4"/>
    <x v="8"/>
    <s v="Dr. Y. Kim"/>
    <d v="1968-12-23T00:00:00"/>
    <n v="57"/>
    <x v="3"/>
    <x v="1"/>
    <s v="East Asian"/>
    <x v="3"/>
    <x v="3"/>
    <x v="2"/>
    <s v="CA22"/>
    <s v="Respiratory"/>
    <x v="10"/>
    <x v="1"/>
    <s v="Levothyroxine 50mcg OD; Metformin 1g BD"/>
    <n v="2"/>
    <s v="4548-4"/>
    <s v="Biochemistry"/>
    <s v="HbA1c"/>
    <x v="1"/>
    <s v="High"/>
    <n v="174"/>
    <n v="66"/>
    <x v="1"/>
    <s v="174/66"/>
    <n v="57"/>
    <n v="14"/>
    <n v="36.799999999999997"/>
    <n v="40.5"/>
    <s v="Obese"/>
    <n v="97"/>
    <s v="8480-6"/>
    <s v="8462-4"/>
    <s v="8867-4"/>
    <s v="39156-5"/>
    <s v="59408-5"/>
  </r>
  <r>
    <s v="PID-0056"/>
    <s v="ENC-0056-01"/>
    <x v="151"/>
    <x v="0"/>
    <x v="3"/>
    <x v="3"/>
    <s v="NP J. Nakamura"/>
    <d v="1960-05-19T00:00:00"/>
    <n v="65"/>
    <x v="2"/>
    <x v="1"/>
    <s v="White European"/>
    <x v="1"/>
    <x v="1"/>
    <x v="0"/>
    <s v="LD27"/>
    <s v="Genitourinary"/>
    <x v="7"/>
    <x v="0"/>
    <s v="Lisinopril 10mg OD; Salbutamol 100mcg PRN; Clopidogrel 75mg OD; Warfarin (variable)"/>
    <n v="4"/>
    <s v="789-8"/>
    <s v="Biochemistry"/>
    <s v="RBC count"/>
    <x v="1"/>
    <s v="Not Tested"/>
    <n v="147"/>
    <n v="92"/>
    <x v="1"/>
    <s v="147/92"/>
    <n v="85"/>
    <n v="15"/>
    <n v="36.4"/>
    <n v="36.9"/>
    <s v="Obese"/>
    <n v="94"/>
    <s v="8480-6"/>
    <s v="8462-4"/>
    <s v="8867-4"/>
    <s v="39156-5"/>
    <s v="59408-5"/>
  </r>
  <r>
    <s v="PID-0056"/>
    <s v="ENC-0056-02"/>
    <x v="152"/>
    <x v="3"/>
    <x v="0"/>
    <x v="0"/>
    <s v="Dr. T. Osei"/>
    <d v="1960-05-19T00:00:00"/>
    <n v="65"/>
    <x v="2"/>
    <x v="1"/>
    <s v="Hispanic/Latino"/>
    <x v="1"/>
    <x v="1"/>
    <x v="0"/>
    <s v="LD27"/>
    <s v="Genitourinary"/>
    <x v="7"/>
    <x v="0"/>
    <s v="Bisoprolol 5mg OD; Warfarin (variable); Furosemide 40mg OD; Prednisolone 5mg OD"/>
    <n v="4"/>
    <s v="2160-0"/>
    <s v="Biochemistry"/>
    <s v="Serum creatinine"/>
    <x v="0"/>
    <s v="Not Tested"/>
    <n v="173"/>
    <n v="66"/>
    <x v="1"/>
    <s v="173/66"/>
    <n v="56"/>
    <n v="17"/>
    <n v="39.200000000000003"/>
    <n v="26.4"/>
    <s v="Non-Obese"/>
    <n v="88"/>
    <s v="8480-6"/>
    <s v="8462-4"/>
    <s v="8867-4"/>
    <s v="39156-5"/>
    <s v="59408-5"/>
  </r>
  <r>
    <s v="PID-0057"/>
    <s v="ENC-0057-01"/>
    <x v="153"/>
    <x v="2"/>
    <x v="2"/>
    <x v="1"/>
    <s v="Dr. L. Patel"/>
    <d v="1956-07-16T00:00:00"/>
    <n v="69"/>
    <x v="2"/>
    <x v="1"/>
    <s v="Black African"/>
    <x v="1"/>
    <x v="2"/>
    <x v="1"/>
    <s v="FA24"/>
    <s v="Gastroenterology"/>
    <x v="5"/>
    <x v="1"/>
    <s v="Salbutamol 100mcg PRN; Atorvastatin 40mg ON; Amlodipine 10mg OD"/>
    <n v="3"/>
    <s v="13457-7"/>
    <s v="Biochemistry"/>
    <s v="LDL cholesterol"/>
    <x v="1"/>
    <s v="Not Tested"/>
    <n v="163"/>
    <n v="87"/>
    <x v="1"/>
    <s v="163/87"/>
    <n v="51"/>
    <n v="12"/>
    <n v="38.299999999999997"/>
    <n v="23.9"/>
    <s v="Non-Obese"/>
    <n v="98"/>
    <s v="8480-6"/>
    <s v="8462-4"/>
    <s v="8867-4"/>
    <s v="39156-5"/>
    <s v="59408-5"/>
  </r>
  <r>
    <s v="PID-0058"/>
    <s v="ENC-0058-01"/>
    <x v="154"/>
    <x v="2"/>
    <x v="2"/>
    <x v="0"/>
    <s v="Dr. S. Okonkwo"/>
    <d v="1969-05-15T00:00:00"/>
    <n v="56"/>
    <x v="3"/>
    <x v="0"/>
    <s v="South Asian"/>
    <x v="2"/>
    <x v="1"/>
    <x v="3"/>
    <s v="BA80,5A11,5A00"/>
    <s v="Multi-system"/>
    <x v="11"/>
    <x v="1"/>
    <s v="Warfarin (variable); Amlodipine 5mg OD"/>
    <n v="2"/>
    <s v="17861-6"/>
    <s v="Biochemistry"/>
    <s v="Serum calcium"/>
    <x v="1"/>
    <s v="Not Tested"/>
    <n v="127"/>
    <n v="66"/>
    <x v="0"/>
    <s v="127/66"/>
    <n v="121"/>
    <n v="27"/>
    <n v="37.299999999999997"/>
    <n v="24"/>
    <s v="Non-Obese"/>
    <n v="96"/>
    <s v="8480-6"/>
    <s v="8462-4"/>
    <s v="8867-4"/>
    <s v="39156-5"/>
    <s v="59408-5"/>
  </r>
  <r>
    <s v="PID-0058"/>
    <s v="ENC-0058-02"/>
    <x v="155"/>
    <x v="1"/>
    <x v="0"/>
    <x v="6"/>
    <s v="NP J. Nakamura"/>
    <d v="1969-05-15T00:00:00"/>
    <n v="56"/>
    <x v="3"/>
    <x v="0"/>
    <s v="East Asian"/>
    <x v="2"/>
    <x v="1"/>
    <x v="3"/>
    <s v="BA80,5A11,5A00"/>
    <s v="Multi-system"/>
    <x v="11"/>
    <x v="1"/>
    <s v="Amlodipine 5mg OD"/>
    <n v="1"/>
    <s v="17861-6"/>
    <s v="Biochemistry"/>
    <s v="Serum calcium"/>
    <x v="1"/>
    <s v="Not Tested"/>
    <n v="154"/>
    <n v="57"/>
    <x v="1"/>
    <s v="154/57"/>
    <n v="116"/>
    <n v="16"/>
    <n v="37.700000000000003"/>
    <n v="18.899999999999999"/>
    <s v="Non-Obese"/>
    <n v="100"/>
    <s v="8480-6"/>
    <s v="8462-4"/>
    <s v="8867-4"/>
    <s v="39156-5"/>
    <s v="59408-5"/>
  </r>
  <r>
    <s v="PID-0058"/>
    <s v="ENC-0058-03"/>
    <x v="146"/>
    <x v="1"/>
    <x v="2"/>
    <x v="3"/>
    <s v="Dr. S. Okonkwo"/>
    <d v="1969-05-15T00:00:00"/>
    <n v="56"/>
    <x v="3"/>
    <x v="0"/>
    <s v="South Asian"/>
    <x v="2"/>
    <x v="1"/>
    <x v="3"/>
    <s v="BA80,5A11,5A00"/>
    <s v="Multi-system"/>
    <x v="11"/>
    <x v="1"/>
    <s v="None; Salbutamol 100mcg PRN; Ramipril 5mg OD"/>
    <n v="3"/>
    <s v="2823-3"/>
    <s v="Biochemistry"/>
    <s v="Serum potassium"/>
    <x v="0"/>
    <s v="Not Tested"/>
    <n v="144"/>
    <n v="83"/>
    <x v="1"/>
    <s v="144/83"/>
    <n v="61"/>
    <n v="23"/>
    <n v="38"/>
    <n v="26.1"/>
    <s v="Non-Obese"/>
    <n v="96"/>
    <s v="8480-6"/>
    <s v="8462-4"/>
    <s v="8867-4"/>
    <s v="39156-5"/>
    <s v="59408-5"/>
  </r>
  <r>
    <s v="PID-0058"/>
    <s v="ENC-0058-04"/>
    <x v="156"/>
    <x v="4"/>
    <x v="3"/>
    <x v="4"/>
    <s v="Dr. R. Mendes"/>
    <d v="1969-05-15T00:00:00"/>
    <n v="56"/>
    <x v="3"/>
    <x v="0"/>
    <s v="Black African"/>
    <x v="2"/>
    <x v="1"/>
    <x v="3"/>
    <s v="BA80,5A11,5A00"/>
    <s v="Multi-system"/>
    <x v="11"/>
    <x v="1"/>
    <s v="Omeprazole 20mg OD; Furosemide 40mg OD; Lisinopril 10mg OD; Dapagliflozin 10mg OD"/>
    <n v="4"/>
    <s v="2951-2"/>
    <s v="Biochemistry"/>
    <s v="Serum sodium"/>
    <x v="2"/>
    <s v="Not Tested"/>
    <n v="166"/>
    <n v="85"/>
    <x v="1"/>
    <s v="166/85"/>
    <n v="96"/>
    <n v="24"/>
    <n v="38.700000000000003"/>
    <n v="45.2"/>
    <s v="Obese"/>
    <n v="92"/>
    <s v="8480-6"/>
    <s v="8462-4"/>
    <s v="8867-4"/>
    <s v="39156-5"/>
    <s v="59408-5"/>
  </r>
  <r>
    <s v="PID-0058"/>
    <s v="ENC-0058-05"/>
    <x v="157"/>
    <x v="4"/>
    <x v="3"/>
    <x v="1"/>
    <s v="Dr. Y. Kim"/>
    <d v="1969-05-15T00:00:00"/>
    <n v="56"/>
    <x v="3"/>
    <x v="0"/>
    <s v="East Asian"/>
    <x v="2"/>
    <x v="1"/>
    <x v="3"/>
    <s v="BA80,5A11,5A00"/>
    <s v="Multi-system"/>
    <x v="11"/>
    <x v="1"/>
    <s v="Bisoprolol 5mg OD"/>
    <n v="1"/>
    <s v="789-8"/>
    <s v="Biochemistry"/>
    <s v="RBC count"/>
    <x v="1"/>
    <s v="Not Tested"/>
    <n v="155"/>
    <n v="109"/>
    <x v="1"/>
    <s v="155/109"/>
    <n v="113"/>
    <n v="23"/>
    <n v="36.5"/>
    <n v="20.100000000000001"/>
    <s v="Non-Obese"/>
    <n v="94"/>
    <s v="8480-6"/>
    <s v="8462-4"/>
    <s v="8867-4"/>
    <s v="39156-5"/>
    <s v="59408-5"/>
  </r>
  <r>
    <s v="PID-0059"/>
    <s v="ENC-0059-01"/>
    <x v="158"/>
    <x v="4"/>
    <x v="0"/>
    <x v="6"/>
    <s v="Dr. T. Osei"/>
    <d v="1995-03-28T00:00:00"/>
    <n v="30"/>
    <x v="0"/>
    <x v="0"/>
    <s v="East Asian"/>
    <x v="2"/>
    <x v="3"/>
    <x v="2"/>
    <s v="5A11"/>
    <s v="Endocrine"/>
    <x v="13"/>
    <x v="1"/>
    <s v="Metformin 1g BD; Insulin glargine 20u ON; Levothyroxine 50mcg OD"/>
    <n v="3"/>
    <s v="14627-4"/>
    <s v="Biochemistry"/>
    <s v="eGFR (CKD-EPI)"/>
    <x v="1"/>
    <s v="Not Tested"/>
    <n v="172"/>
    <n v="108"/>
    <x v="1"/>
    <s v="172/108"/>
    <n v="51"/>
    <n v="14"/>
    <n v="38.1"/>
    <n v="26.9"/>
    <s v="Non-Obese"/>
    <n v="99"/>
    <s v="8480-6"/>
    <s v="8462-4"/>
    <s v="8867-4"/>
    <s v="39156-5"/>
    <s v="59408-5"/>
  </r>
  <r>
    <s v="PID-0059"/>
    <s v="ENC-0059-02"/>
    <x v="159"/>
    <x v="1"/>
    <x v="3"/>
    <x v="3"/>
    <s v="NP J. Nakamura"/>
    <d v="1995-03-28T00:00:00"/>
    <n v="30"/>
    <x v="0"/>
    <x v="0"/>
    <s v="Middle Eastern"/>
    <x v="2"/>
    <x v="3"/>
    <x v="2"/>
    <s v="5A11"/>
    <s v="Endocrine"/>
    <x v="13"/>
    <x v="1"/>
    <s v="Furosemide 40mg OD"/>
    <n v="1"/>
    <s v="14627-4"/>
    <s v="Biochemistry"/>
    <s v="eGFR (CKD-EPI)"/>
    <x v="1"/>
    <s v="Not Tested"/>
    <n v="170"/>
    <n v="96"/>
    <x v="1"/>
    <s v="170/96"/>
    <n v="86"/>
    <n v="19"/>
    <n v="38.799999999999997"/>
    <n v="22.3"/>
    <s v="Non-Obese"/>
    <n v="89"/>
    <s v="8480-6"/>
    <s v="8462-4"/>
    <s v="8867-4"/>
    <s v="39156-5"/>
    <s v="59408-5"/>
  </r>
  <r>
    <s v="PID-0059"/>
    <s v="ENC-0059-03"/>
    <x v="160"/>
    <x v="1"/>
    <x v="3"/>
    <x v="9"/>
    <s v="Dr. A. Mwangi"/>
    <d v="1995-03-28T00:00:00"/>
    <n v="30"/>
    <x v="0"/>
    <x v="0"/>
    <s v="Black African"/>
    <x v="2"/>
    <x v="3"/>
    <x v="2"/>
    <s v="5A11"/>
    <s v="Endocrine"/>
    <x v="13"/>
    <x v="1"/>
    <s v="Dapagliflozin 10mg OD; None"/>
    <n v="2"/>
    <s v="2777-1"/>
    <s v="Biochemistry"/>
    <s v="Serum phosphate"/>
    <x v="0"/>
    <s v="Not Tested"/>
    <n v="156"/>
    <n v="66"/>
    <x v="1"/>
    <s v="156/66"/>
    <n v="78"/>
    <n v="18"/>
    <n v="36.1"/>
    <n v="37"/>
    <s v="Obese"/>
    <n v="98"/>
    <s v="8480-6"/>
    <s v="8462-4"/>
    <s v="8867-4"/>
    <s v="39156-5"/>
    <s v="59408-5"/>
  </r>
  <r>
    <s v="PID-0060"/>
    <s v="ENC-0060-01"/>
    <x v="74"/>
    <x v="4"/>
    <x v="2"/>
    <x v="9"/>
    <s v="NP J. Nakamura"/>
    <d v="1967-01-23T00:00:00"/>
    <n v="58"/>
    <x v="3"/>
    <x v="1"/>
    <s v="Middle Eastern"/>
    <x v="0"/>
    <x v="3"/>
    <x v="0"/>
    <s v="BA80,5A11,5A00"/>
    <s v="Multi-system"/>
    <x v="11"/>
    <x v="1"/>
    <s v="Amlodipine 5mg OD"/>
    <n v="1"/>
    <s v="4548-4"/>
    <s v="Biochemistry"/>
    <s v="HbA1c"/>
    <x v="1"/>
    <s v="High"/>
    <n v="117"/>
    <n v="76"/>
    <x v="0"/>
    <s v="117/76"/>
    <n v="101"/>
    <n v="18"/>
    <n v="38.700000000000003"/>
    <n v="33.4"/>
    <s v="Obese"/>
    <n v="100"/>
    <s v="8480-6"/>
    <s v="8462-4"/>
    <s v="8867-4"/>
    <s v="39156-5"/>
    <s v="59408-5"/>
  </r>
  <r>
    <s v="PID-0060"/>
    <s v="ENC-0060-02"/>
    <x v="161"/>
    <x v="2"/>
    <x v="3"/>
    <x v="5"/>
    <s v="NP J. Nakamura"/>
    <d v="1967-01-23T00:00:00"/>
    <n v="58"/>
    <x v="3"/>
    <x v="1"/>
    <s v="East Asian"/>
    <x v="0"/>
    <x v="3"/>
    <x v="0"/>
    <s v="BA80,5A11,5A00"/>
    <s v="Multi-system"/>
    <x v="11"/>
    <x v="1"/>
    <s v="Aspirin 75mg OD; Metformin 1g BD; Metoprolol 50mg BD; Prednisolone 5mg OD"/>
    <n v="4"/>
    <s v="14627-4"/>
    <s v="Biochemistry"/>
    <s v="eGFR (CKD-EPI)"/>
    <x v="1"/>
    <s v="Not Tested"/>
    <n v="102"/>
    <n v="84"/>
    <x v="0"/>
    <s v="102/84"/>
    <n v="68"/>
    <n v="28"/>
    <n v="36.200000000000003"/>
    <n v="23.8"/>
    <s v="Non-Obese"/>
    <n v="95"/>
    <s v="8480-6"/>
    <s v="8462-4"/>
    <s v="8867-4"/>
    <s v="39156-5"/>
    <s v="59408-5"/>
  </r>
  <r>
    <s v="PID-0060"/>
    <s v="ENC-0060-03"/>
    <x v="152"/>
    <x v="2"/>
    <x v="4"/>
    <x v="7"/>
    <s v="Dr. R. Mendes"/>
    <d v="1967-01-23T00:00:00"/>
    <n v="58"/>
    <x v="3"/>
    <x v="1"/>
    <s v="Hispanic/Latino"/>
    <x v="0"/>
    <x v="3"/>
    <x v="0"/>
    <s v="BA80,5A11,5A00"/>
    <s v="Multi-system"/>
    <x v="11"/>
    <x v="1"/>
    <s v="None"/>
    <n v="1"/>
    <s v="17861-6"/>
    <s v="Biochemistry"/>
    <s v="Serum calcium"/>
    <x v="1"/>
    <s v="Not Tested"/>
    <n v="106"/>
    <n v="85"/>
    <x v="0"/>
    <s v="106/85"/>
    <n v="99"/>
    <n v="14"/>
    <n v="37.299999999999997"/>
    <n v="33.4"/>
    <s v="Obese"/>
    <n v="87"/>
    <s v="8480-6"/>
    <s v="8462-4"/>
    <s v="8867-4"/>
    <s v="39156-5"/>
    <s v="59408-5"/>
  </r>
  <r>
    <s v="PID-0060"/>
    <s v="ENC-0060-04"/>
    <x v="162"/>
    <x v="4"/>
    <x v="0"/>
    <x v="4"/>
    <s v="Dr. F. Hassan"/>
    <d v="1967-01-23T00:00:00"/>
    <n v="58"/>
    <x v="3"/>
    <x v="1"/>
    <s v="Middle Eastern"/>
    <x v="0"/>
    <x v="3"/>
    <x v="0"/>
    <s v="BA80,5A11,5A00"/>
    <s v="Multi-system"/>
    <x v="11"/>
    <x v="1"/>
    <s v="Insulin glargine 20u ON; Metoprolol 50mg BD; Atorvastatin 40mg ON; Prednisolone 5mg OD"/>
    <n v="4"/>
    <s v="2160-0"/>
    <s v="Biochemistry"/>
    <s v="Serum creatinine"/>
    <x v="0"/>
    <s v="Not Tested"/>
    <n v="136"/>
    <n v="75"/>
    <x v="0"/>
    <s v="136/75"/>
    <n v="112"/>
    <n v="25"/>
    <n v="38.700000000000003"/>
    <n v="27"/>
    <s v="Non-Obese"/>
    <n v="97"/>
    <s v="8480-6"/>
    <s v="8462-4"/>
    <s v="8867-4"/>
    <s v="39156-5"/>
    <s v="59408-5"/>
  </r>
  <r>
    <s v="PID-0060"/>
    <s v="ENC-0060-05"/>
    <x v="163"/>
    <x v="1"/>
    <x v="3"/>
    <x v="8"/>
    <s v="NP J. Nakamura"/>
    <d v="1967-01-23T00:00:00"/>
    <n v="58"/>
    <x v="3"/>
    <x v="1"/>
    <s v="Middle Eastern"/>
    <x v="0"/>
    <x v="3"/>
    <x v="0"/>
    <s v="BA80,5A11,5A00"/>
    <s v="Multi-system"/>
    <x v="11"/>
    <x v="1"/>
    <s v="Atorvastatin 40mg ON; Bisoprolol 5mg OD; Warfarin (variable); Prednisolone 5mg OD"/>
    <n v="4"/>
    <s v="2160-0"/>
    <s v="Biochemistry"/>
    <s v="Serum creatinine"/>
    <x v="0"/>
    <s v="Not Tested"/>
    <n v="182"/>
    <n v="73"/>
    <x v="1"/>
    <s v="182/73"/>
    <n v="89"/>
    <n v="23"/>
    <n v="36.1"/>
    <n v="22.2"/>
    <s v="Non-Obese"/>
    <n v="89"/>
    <s v="8480-6"/>
    <s v="8462-4"/>
    <s v="8867-4"/>
    <s v="39156-5"/>
    <s v="59408-5"/>
  </r>
  <r>
    <s v="PID-0060"/>
    <s v="ENC-0060-06"/>
    <x v="164"/>
    <x v="3"/>
    <x v="0"/>
    <x v="7"/>
    <s v="Dr. A. Mwangi"/>
    <d v="1967-01-23T00:00:00"/>
    <n v="58"/>
    <x v="3"/>
    <x v="1"/>
    <s v="Mixed/Other"/>
    <x v="0"/>
    <x v="3"/>
    <x v="0"/>
    <s v="BA80,5A11,5A00"/>
    <s v="Multi-system"/>
    <x v="11"/>
    <x v="1"/>
    <s v="Metoprolol 50mg BD; Clopidogrel 75mg OD; Empagliflozin 10mg OD; Salbutamol 100mcg PRN"/>
    <n v="4"/>
    <s v="2093-3"/>
    <s v="Biochemistry"/>
    <s v="Total cholesterol"/>
    <x v="0"/>
    <s v="Not Tested"/>
    <n v="112"/>
    <n v="75"/>
    <x v="0"/>
    <s v="112/75"/>
    <n v="107"/>
    <n v="13"/>
    <n v="38"/>
    <n v="36.700000000000003"/>
    <s v="Obese"/>
    <n v="89"/>
    <s v="8480-6"/>
    <s v="8462-4"/>
    <s v="8867-4"/>
    <s v="39156-5"/>
    <s v="59408-5"/>
  </r>
  <r>
    <s v="PID-0061"/>
    <s v="ENC-0061-01"/>
    <x v="165"/>
    <x v="4"/>
    <x v="3"/>
    <x v="3"/>
    <s v="Dr. Y. Kim"/>
    <d v="1946-09-25T00:00:00"/>
    <n v="79"/>
    <x v="2"/>
    <x v="1"/>
    <s v="Middle Eastern"/>
    <x v="0"/>
    <x v="2"/>
    <x v="0"/>
    <s v="5A00"/>
    <s v="Endocrine"/>
    <x v="15"/>
    <x v="1"/>
    <s v="Levothyroxine 50mcg OD; Omeprazole 20mg OD; Metoprolol 50mg BD; Salbutamol 100mcg PRN"/>
    <n v="4"/>
    <s v="6768-6"/>
    <s v="Biochemistry"/>
    <s v="ALP"/>
    <x v="1"/>
    <s v="Not Tested"/>
    <n v="150"/>
    <n v="74"/>
    <x v="1"/>
    <s v="150/74"/>
    <n v="116"/>
    <n v="19"/>
    <n v="37.9"/>
    <n v="37.200000000000003"/>
    <s v="Obese"/>
    <n v="90"/>
    <s v="8480-6"/>
    <s v="8462-4"/>
    <s v="8867-4"/>
    <s v="39156-5"/>
    <s v="59408-5"/>
  </r>
  <r>
    <s v="PID-0061"/>
    <s v="ENC-0061-02"/>
    <x v="166"/>
    <x v="2"/>
    <x v="4"/>
    <x v="5"/>
    <s v="Dr. F. Hassan"/>
    <d v="1946-09-25T00:00:00"/>
    <n v="79"/>
    <x v="2"/>
    <x v="1"/>
    <s v="Mixed/Other"/>
    <x v="0"/>
    <x v="2"/>
    <x v="0"/>
    <s v="5A00"/>
    <s v="Endocrine"/>
    <x v="15"/>
    <x v="1"/>
    <s v="Salbutamol 100mcg PRN; Furosemide 40mg OD; Empagliflozin 10mg OD"/>
    <n v="3"/>
    <s v="2085-9"/>
    <s v="Biochemistry"/>
    <s v="HDL cholesterol"/>
    <x v="0"/>
    <s v="Not Tested"/>
    <n v="144"/>
    <n v="74"/>
    <x v="1"/>
    <s v="144/74"/>
    <n v="105"/>
    <n v="21"/>
    <n v="36.700000000000003"/>
    <n v="23.5"/>
    <s v="Non-Obese"/>
    <n v="96"/>
    <s v="8480-6"/>
    <s v="8462-4"/>
    <s v="8867-4"/>
    <s v="39156-5"/>
    <s v="59408-5"/>
  </r>
  <r>
    <s v="PID-0061"/>
    <s v="ENC-0061-03"/>
    <x v="141"/>
    <x v="3"/>
    <x v="1"/>
    <x v="2"/>
    <s v="Dr. A. Mwangi"/>
    <d v="1946-09-25T00:00:00"/>
    <n v="79"/>
    <x v="2"/>
    <x v="1"/>
    <s v="White European"/>
    <x v="0"/>
    <x v="2"/>
    <x v="0"/>
    <s v="5A00"/>
    <s v="Endocrine"/>
    <x v="15"/>
    <x v="1"/>
    <s v="Amlodipine 5mg OD; Empagliflozin 10mg OD; Atorvastatin 40mg ON; None"/>
    <n v="4"/>
    <s v="13457-7"/>
    <s v="Biochemistry"/>
    <s v="LDL cholesterol"/>
    <x v="1"/>
    <s v="Not Tested"/>
    <n v="147"/>
    <n v="112"/>
    <x v="1"/>
    <s v="147/112"/>
    <n v="103"/>
    <n v="23"/>
    <n v="38.9"/>
    <n v="32.700000000000003"/>
    <s v="Obese"/>
    <n v="98"/>
    <s v="8480-6"/>
    <s v="8462-4"/>
    <s v="8867-4"/>
    <s v="39156-5"/>
    <s v="59408-5"/>
  </r>
  <r>
    <s v="PID-0061"/>
    <s v="ENC-0061-04"/>
    <x v="167"/>
    <x v="3"/>
    <x v="0"/>
    <x v="3"/>
    <s v="Dr. R. Mendes"/>
    <d v="1946-09-25T00:00:00"/>
    <n v="79"/>
    <x v="2"/>
    <x v="1"/>
    <s v="Hispanic/Latino"/>
    <x v="0"/>
    <x v="2"/>
    <x v="0"/>
    <s v="5A00"/>
    <s v="Endocrine"/>
    <x v="15"/>
    <x v="1"/>
    <s v="Insulin glargine 20u ON"/>
    <n v="1"/>
    <s v="2951-2"/>
    <s v="Biochemistry"/>
    <s v="Serum sodium"/>
    <x v="2"/>
    <s v="Not Tested"/>
    <n v="163"/>
    <n v="65"/>
    <x v="1"/>
    <s v="163/65"/>
    <n v="71"/>
    <n v="16"/>
    <n v="38.700000000000003"/>
    <n v="37.200000000000003"/>
    <s v="Obese"/>
    <n v="91"/>
    <s v="8480-6"/>
    <s v="8462-4"/>
    <s v="8867-4"/>
    <s v="39156-5"/>
    <s v="59408-5"/>
  </r>
  <r>
    <s v="PID-0061"/>
    <s v="ENC-0061-05"/>
    <x v="168"/>
    <x v="1"/>
    <x v="4"/>
    <x v="8"/>
    <s v="NP J. Nakamura"/>
    <d v="1946-09-25T00:00:00"/>
    <n v="79"/>
    <x v="2"/>
    <x v="1"/>
    <s v="Middle Eastern"/>
    <x v="0"/>
    <x v="2"/>
    <x v="0"/>
    <s v="5A00"/>
    <s v="Endocrine"/>
    <x v="15"/>
    <x v="1"/>
    <s v="Ramipril 5mg OD; Levothyroxine 50mcg OD; Prednisolone 5mg OD; Lisinopril 10mg OD"/>
    <n v="4"/>
    <s v="17861-6"/>
    <s v="Biochemistry"/>
    <s v="Serum calcium"/>
    <x v="1"/>
    <s v="Not Tested"/>
    <n v="146"/>
    <n v="69"/>
    <x v="1"/>
    <s v="146/69"/>
    <n v="109"/>
    <n v="25"/>
    <n v="36.9"/>
    <n v="36.4"/>
    <s v="Obese"/>
    <n v="99"/>
    <s v="8480-6"/>
    <s v="8462-4"/>
    <s v="8867-4"/>
    <s v="39156-5"/>
    <s v="59408-5"/>
  </r>
  <r>
    <s v="PID-0061"/>
    <s v="ENC-0061-06"/>
    <x v="42"/>
    <x v="4"/>
    <x v="0"/>
    <x v="0"/>
    <s v="Dr. L. Patel"/>
    <d v="1946-09-25T00:00:00"/>
    <n v="79"/>
    <x v="2"/>
    <x v="1"/>
    <s v="Hispanic/Latino"/>
    <x v="0"/>
    <x v="2"/>
    <x v="0"/>
    <s v="5A00"/>
    <s v="Endocrine"/>
    <x v="15"/>
    <x v="1"/>
    <s v="Omeprazole 20mg OD; Metoprolol 50mg BD"/>
    <n v="2"/>
    <s v="2777-1"/>
    <s v="Biochemistry"/>
    <s v="Serum phosphate"/>
    <x v="0"/>
    <s v="Not Tested"/>
    <n v="177"/>
    <n v="97"/>
    <x v="1"/>
    <s v="177/97"/>
    <n v="99"/>
    <n v="24"/>
    <n v="37.700000000000003"/>
    <n v="34.700000000000003"/>
    <s v="Obese"/>
    <n v="97"/>
    <s v="8480-6"/>
    <s v="8462-4"/>
    <s v="8867-4"/>
    <s v="39156-5"/>
    <s v="59408-5"/>
  </r>
  <r>
    <s v="PID-0062"/>
    <s v="ENC-0062-01"/>
    <x v="169"/>
    <x v="0"/>
    <x v="0"/>
    <x v="4"/>
    <s v="Dr. R. Mendes"/>
    <d v="1959-01-14T00:00:00"/>
    <n v="66"/>
    <x v="2"/>
    <x v="0"/>
    <s v="White European"/>
    <x v="2"/>
    <x v="2"/>
    <x v="3"/>
    <s v="CA22"/>
    <s v="Respiratory"/>
    <x v="10"/>
    <x v="1"/>
    <s v="Dapagliflozin 10mg OD; Clopidogrel 75mg OD; Prednisolone 5mg OD"/>
    <n v="3"/>
    <s v="2345-7"/>
    <s v="Biochemistry"/>
    <s v="Serum glucose (fasting)"/>
    <x v="0"/>
    <s v="Not Tested"/>
    <n v="96"/>
    <n v="83"/>
    <x v="0"/>
    <s v="96/83"/>
    <n v="120"/>
    <n v="13"/>
    <n v="39"/>
    <n v="34.5"/>
    <s v="Obese"/>
    <n v="97"/>
    <s v="8480-6"/>
    <s v="8462-4"/>
    <s v="8867-4"/>
    <s v="39156-5"/>
    <s v="59408-5"/>
  </r>
  <r>
    <s v="PID-0062"/>
    <s v="ENC-0062-02"/>
    <x v="170"/>
    <x v="4"/>
    <x v="2"/>
    <x v="7"/>
    <s v="NP J. Nakamura"/>
    <d v="1959-01-14T00:00:00"/>
    <n v="66"/>
    <x v="2"/>
    <x v="0"/>
    <s v="Mixed/Other"/>
    <x v="2"/>
    <x v="2"/>
    <x v="3"/>
    <s v="CA22"/>
    <s v="Respiratory"/>
    <x v="10"/>
    <x v="1"/>
    <s v="Levothyroxine 50mcg OD; Insulin glargine 20u ON; Omeprazole 20mg OD"/>
    <n v="3"/>
    <s v="718-7"/>
    <s v="Biochemistry"/>
    <s v="Haemoglobin"/>
    <x v="0"/>
    <s v="Not Tested"/>
    <n v="101"/>
    <n v="85"/>
    <x v="0"/>
    <s v="101/85"/>
    <n v="81"/>
    <n v="21"/>
    <n v="36.299999999999997"/>
    <n v="23.8"/>
    <s v="Non-Obese"/>
    <n v="90"/>
    <s v="8480-6"/>
    <s v="8462-4"/>
    <s v="8867-4"/>
    <s v="39156-5"/>
    <s v="59408-5"/>
  </r>
  <r>
    <s v="PID-0062"/>
    <s v="ENC-0062-03"/>
    <x v="116"/>
    <x v="3"/>
    <x v="0"/>
    <x v="6"/>
    <s v="Dr. Y. Kim"/>
    <d v="1959-01-14T00:00:00"/>
    <n v="66"/>
    <x v="2"/>
    <x v="0"/>
    <s v="Mixed/Other"/>
    <x v="2"/>
    <x v="2"/>
    <x v="3"/>
    <s v="CA22"/>
    <s v="Respiratory"/>
    <x v="10"/>
    <x v="1"/>
    <s v="Levothyroxine 50mcg OD"/>
    <n v="1"/>
    <s v="13457-7"/>
    <s v="Biochemistry"/>
    <s v="LDL cholesterol"/>
    <x v="1"/>
    <s v="Not Tested"/>
    <n v="183"/>
    <n v="56"/>
    <x v="1"/>
    <s v="183/56"/>
    <n v="100"/>
    <n v="19"/>
    <n v="38.9"/>
    <n v="35"/>
    <s v="Obese"/>
    <n v="95"/>
    <s v="8480-6"/>
    <s v="8462-4"/>
    <s v="8867-4"/>
    <s v="39156-5"/>
    <s v="59408-5"/>
  </r>
  <r>
    <s v="PID-0062"/>
    <s v="ENC-0062-04"/>
    <x v="171"/>
    <x v="1"/>
    <x v="0"/>
    <x v="0"/>
    <s v="Dr. A. Mwangi"/>
    <d v="1959-01-14T00:00:00"/>
    <n v="66"/>
    <x v="2"/>
    <x v="0"/>
    <s v="Hispanic/Latino"/>
    <x v="2"/>
    <x v="2"/>
    <x v="3"/>
    <s v="CA22"/>
    <s v="Respiratory"/>
    <x v="10"/>
    <x v="1"/>
    <s v="Levothyroxine 50mcg OD; Empagliflozin 10mg OD"/>
    <n v="2"/>
    <s v="6768-6"/>
    <s v="Biochemistry"/>
    <s v="ALP"/>
    <x v="1"/>
    <s v="Not Tested"/>
    <n v="120"/>
    <n v="110"/>
    <x v="1"/>
    <s v="120/110"/>
    <n v="112"/>
    <n v="18"/>
    <n v="38.6"/>
    <n v="30.2"/>
    <s v="Obese"/>
    <n v="88"/>
    <s v="8480-6"/>
    <s v="8462-4"/>
    <s v="8867-4"/>
    <s v="39156-5"/>
    <s v="59408-5"/>
  </r>
  <r>
    <s v="PID-0062"/>
    <s v="ENC-0062-05"/>
    <x v="172"/>
    <x v="0"/>
    <x v="0"/>
    <x v="5"/>
    <s v="Dr. S. Okonkwo"/>
    <d v="1959-01-14T00:00:00"/>
    <n v="66"/>
    <x v="2"/>
    <x v="0"/>
    <s v="Black African"/>
    <x v="2"/>
    <x v="2"/>
    <x v="3"/>
    <s v="CA22"/>
    <s v="Respiratory"/>
    <x v="10"/>
    <x v="1"/>
    <s v="Metformin 1g BD; Salbutamol 100mcg PRN; Amlodipine 5mg OD; Metoprolol 50mg BD"/>
    <n v="4"/>
    <s v="2951-2"/>
    <s v="Biochemistry"/>
    <s v="Serum sodium"/>
    <x v="2"/>
    <s v="Not Tested"/>
    <n v="114"/>
    <n v="93"/>
    <x v="1"/>
    <s v="114/93"/>
    <n v="66"/>
    <n v="23"/>
    <n v="38.700000000000003"/>
    <n v="23.4"/>
    <s v="Non-Obese"/>
    <n v="98"/>
    <s v="8480-6"/>
    <s v="8462-4"/>
    <s v="8867-4"/>
    <s v="39156-5"/>
    <s v="59408-5"/>
  </r>
  <r>
    <s v="PID-0063"/>
    <s v="ENC-0063-01"/>
    <x v="173"/>
    <x v="0"/>
    <x v="2"/>
    <x v="5"/>
    <s v="Dr. Y. Kim"/>
    <d v="1975-09-03T00:00:00"/>
    <n v="50"/>
    <x v="3"/>
    <x v="0"/>
    <s v="Middle Eastern"/>
    <x v="3"/>
    <x v="1"/>
    <x v="2"/>
    <s v="3A00"/>
    <s v="Haematological"/>
    <x v="0"/>
    <x v="0"/>
    <s v="Metformin 1g BD"/>
    <n v="1"/>
    <s v="2345-7"/>
    <s v="Biochemistry"/>
    <s v="Serum glucose (fasting)"/>
    <x v="0"/>
    <s v="Not Tested"/>
    <n v="123"/>
    <n v="78"/>
    <x v="0"/>
    <s v="123/78"/>
    <n v="59"/>
    <n v="12"/>
    <n v="38.299999999999997"/>
    <n v="19.3"/>
    <s v="Non-Obese"/>
    <n v="97"/>
    <s v="8480-6"/>
    <s v="8462-4"/>
    <s v="8867-4"/>
    <s v="39156-5"/>
    <s v="59408-5"/>
  </r>
  <r>
    <s v="PID-0063"/>
    <s v="ENC-0063-02"/>
    <x v="174"/>
    <x v="2"/>
    <x v="4"/>
    <x v="0"/>
    <s v="Dr. Y. Kim"/>
    <d v="1975-09-03T00:00:00"/>
    <n v="50"/>
    <x v="3"/>
    <x v="0"/>
    <s v="Hispanic/Latino"/>
    <x v="3"/>
    <x v="1"/>
    <x v="2"/>
    <s v="3A00"/>
    <s v="Haematological"/>
    <x v="0"/>
    <x v="0"/>
    <s v="Salbutamol 100mcg PRN; Amlodipine 10mg OD"/>
    <n v="2"/>
    <s v="718-7"/>
    <s v="Biochemistry"/>
    <s v="Haemoglobin"/>
    <x v="0"/>
    <s v="Not Tested"/>
    <n v="122"/>
    <n v="60"/>
    <x v="0"/>
    <s v="122/60"/>
    <n v="107"/>
    <n v="19"/>
    <n v="37.299999999999997"/>
    <n v="36.299999999999997"/>
    <s v="Obese"/>
    <n v="93"/>
    <s v="8480-6"/>
    <s v="8462-4"/>
    <s v="8867-4"/>
    <s v="39156-5"/>
    <s v="59408-5"/>
  </r>
  <r>
    <s v="PID-0064"/>
    <s v="ENC-0064-01"/>
    <x v="175"/>
    <x v="2"/>
    <x v="4"/>
    <x v="8"/>
    <s v="Dr. S. Okonkwo"/>
    <d v="2006-09-28T00:00:00"/>
    <n v="19"/>
    <x v="0"/>
    <x v="1"/>
    <s v="White European"/>
    <x v="1"/>
    <x v="0"/>
    <x v="2"/>
    <s v="JA00"/>
    <s v="Infectious"/>
    <x v="12"/>
    <x v="0"/>
    <s v="Furosemide 40mg OD; Aspirin 75mg OD"/>
    <n v="2"/>
    <s v="2085-9"/>
    <s v="Biochemistry"/>
    <s v="HDL cholesterol"/>
    <x v="0"/>
    <s v="Not Tested"/>
    <n v="122"/>
    <n v="100"/>
    <x v="1"/>
    <s v="122/100"/>
    <n v="118"/>
    <n v="18"/>
    <n v="37.299999999999997"/>
    <n v="35.9"/>
    <s v="Obese"/>
    <n v="94"/>
    <s v="8480-6"/>
    <s v="8462-4"/>
    <s v="8867-4"/>
    <s v="39156-5"/>
    <s v="59408-5"/>
  </r>
  <r>
    <s v="PID-0065"/>
    <s v="ENC-0065-01"/>
    <x v="176"/>
    <x v="2"/>
    <x v="4"/>
    <x v="3"/>
    <s v="Dr. L. Patel"/>
    <d v="1948-11-18T00:00:00"/>
    <n v="77"/>
    <x v="2"/>
    <x v="0"/>
    <s v="Mixed/Other"/>
    <x v="1"/>
    <x v="3"/>
    <x v="0"/>
    <s v="CA80"/>
    <s v="Respiratory"/>
    <x v="8"/>
    <x v="1"/>
    <s v="Dapagliflozin 10mg OD; Metoprolol 50mg BD; Levothyroxine 50mcg OD"/>
    <n v="3"/>
    <s v="2085-9"/>
    <s v="Biochemistry"/>
    <s v="HDL cholesterol"/>
    <x v="0"/>
    <s v="Not Tested"/>
    <n v="139"/>
    <n v="75"/>
    <x v="0"/>
    <s v="139/75"/>
    <n v="60"/>
    <n v="22"/>
    <n v="36.299999999999997"/>
    <n v="35.200000000000003"/>
    <s v="Obese"/>
    <n v="99"/>
    <s v="8480-6"/>
    <s v="8462-4"/>
    <s v="8867-4"/>
    <s v="39156-5"/>
    <s v="59408-5"/>
  </r>
  <r>
    <s v="PID-0065"/>
    <s v="ENC-0065-02"/>
    <x v="177"/>
    <x v="3"/>
    <x v="3"/>
    <x v="9"/>
    <s v="Dr. F. Hassan"/>
    <d v="1948-11-18T00:00:00"/>
    <n v="77"/>
    <x v="2"/>
    <x v="0"/>
    <s v="Middle Eastern"/>
    <x v="1"/>
    <x v="3"/>
    <x v="0"/>
    <s v="CA80"/>
    <s v="Respiratory"/>
    <x v="8"/>
    <x v="1"/>
    <s v="Bisoprolol 5mg OD; Insulin glargine 20u ON; Salbutamol 100mcg PRN; Levothyroxine 50mcg OD"/>
    <n v="4"/>
    <s v="718-7"/>
    <s v="Biochemistry"/>
    <s v="Haemoglobin"/>
    <x v="0"/>
    <s v="Not Tested"/>
    <n v="128"/>
    <n v="74"/>
    <x v="0"/>
    <s v="128/74"/>
    <n v="82"/>
    <n v="12"/>
    <n v="36.799999999999997"/>
    <n v="23.8"/>
    <s v="Non-Obese"/>
    <n v="97"/>
    <s v="8480-6"/>
    <s v="8462-4"/>
    <s v="8867-4"/>
    <s v="39156-5"/>
    <s v="59408-5"/>
  </r>
  <r>
    <s v="PID-0065"/>
    <s v="ENC-0065-03"/>
    <x v="178"/>
    <x v="1"/>
    <x v="0"/>
    <x v="7"/>
    <s v="Dr. A. Mwangi"/>
    <d v="1948-11-18T00:00:00"/>
    <n v="77"/>
    <x v="2"/>
    <x v="0"/>
    <s v="Middle Eastern"/>
    <x v="1"/>
    <x v="3"/>
    <x v="0"/>
    <s v="CA80"/>
    <s v="Respiratory"/>
    <x v="8"/>
    <x v="1"/>
    <s v="Bisoprolol 5mg OD; Metformin 1g BD"/>
    <n v="2"/>
    <s v="6768-6"/>
    <s v="Biochemistry"/>
    <s v="ALP"/>
    <x v="1"/>
    <s v="Not Tested"/>
    <n v="139"/>
    <n v="62"/>
    <x v="0"/>
    <s v="139/62"/>
    <n v="98"/>
    <n v="13"/>
    <n v="36.9"/>
    <n v="41.1"/>
    <s v="Obese"/>
    <n v="99"/>
    <s v="8480-6"/>
    <s v="8462-4"/>
    <s v="8867-4"/>
    <s v="39156-5"/>
    <s v="59408-5"/>
  </r>
  <r>
    <s v="PID-0066"/>
    <s v="ENC-0066-01"/>
    <x v="179"/>
    <x v="2"/>
    <x v="1"/>
    <x v="9"/>
    <s v="Dr. L. Patel"/>
    <d v="1980-01-18T00:00:00"/>
    <n v="45"/>
    <x v="1"/>
    <x v="1"/>
    <s v="White European"/>
    <x v="3"/>
    <x v="2"/>
    <x v="1"/>
    <s v="CA22"/>
    <s v="Respiratory"/>
    <x v="10"/>
    <x v="1"/>
    <s v="None; Furosemide 40mg OD"/>
    <n v="2"/>
    <s v="17861-6"/>
    <s v="Biochemistry"/>
    <s v="Serum calcium"/>
    <x v="1"/>
    <s v="Not Tested"/>
    <n v="148"/>
    <n v="106"/>
    <x v="1"/>
    <s v="148/106"/>
    <n v="60"/>
    <n v="20"/>
    <n v="36.299999999999997"/>
    <n v="27.9"/>
    <s v="Non-Obese"/>
    <n v="87"/>
    <s v="8480-6"/>
    <s v="8462-4"/>
    <s v="8867-4"/>
    <s v="39156-5"/>
    <s v="59408-5"/>
  </r>
  <r>
    <s v="PID-0066"/>
    <s v="ENC-0066-02"/>
    <x v="180"/>
    <x v="4"/>
    <x v="0"/>
    <x v="8"/>
    <s v="Dr. F. Hassan"/>
    <d v="1980-01-18T00:00:00"/>
    <n v="45"/>
    <x v="1"/>
    <x v="1"/>
    <s v="East Asian"/>
    <x v="3"/>
    <x v="2"/>
    <x v="1"/>
    <s v="CA22"/>
    <s v="Respiratory"/>
    <x v="10"/>
    <x v="1"/>
    <s v="Aspirin 75mg OD; Metformin 1g BD; Bisoprolol 5mg OD; Insulin glargine 20u ON"/>
    <n v="4"/>
    <s v="6768-6"/>
    <s v="Biochemistry"/>
    <s v="ALP"/>
    <x v="1"/>
    <s v="Not Tested"/>
    <n v="180"/>
    <n v="95"/>
    <x v="1"/>
    <s v="180/95"/>
    <n v="123"/>
    <n v="24"/>
    <n v="37.5"/>
    <n v="27.7"/>
    <s v="Non-Obese"/>
    <n v="90"/>
    <s v="8480-6"/>
    <s v="8462-4"/>
    <s v="8867-4"/>
    <s v="39156-5"/>
    <s v="59408-5"/>
  </r>
  <r>
    <s v="PID-0066"/>
    <s v="ENC-0066-03"/>
    <x v="181"/>
    <x v="2"/>
    <x v="1"/>
    <x v="6"/>
    <s v="Dr. T. Osei"/>
    <d v="1980-01-18T00:00:00"/>
    <n v="45"/>
    <x v="1"/>
    <x v="1"/>
    <s v="South Asian"/>
    <x v="3"/>
    <x v="2"/>
    <x v="1"/>
    <s v="CA22"/>
    <s v="Respiratory"/>
    <x v="10"/>
    <x v="1"/>
    <s v="Bisoprolol 5mg OD; Clopidogrel 75mg OD; Prednisolone 5mg OD"/>
    <n v="3"/>
    <s v="2777-1"/>
    <s v="Biochemistry"/>
    <s v="Serum phosphate"/>
    <x v="0"/>
    <s v="Not Tested"/>
    <n v="178"/>
    <n v="108"/>
    <x v="1"/>
    <s v="178/108"/>
    <n v="53"/>
    <n v="22"/>
    <n v="36.299999999999997"/>
    <n v="45.1"/>
    <s v="Obese"/>
    <n v="95"/>
    <s v="8480-6"/>
    <s v="8462-4"/>
    <s v="8867-4"/>
    <s v="39156-5"/>
    <s v="59408-5"/>
  </r>
  <r>
    <s v="PID-0066"/>
    <s v="ENC-0066-04"/>
    <x v="182"/>
    <x v="2"/>
    <x v="1"/>
    <x v="9"/>
    <s v="Dr. L. Patel"/>
    <d v="1980-01-18T00:00:00"/>
    <n v="45"/>
    <x v="1"/>
    <x v="1"/>
    <s v="White European"/>
    <x v="3"/>
    <x v="2"/>
    <x v="1"/>
    <s v="CA22"/>
    <s v="Respiratory"/>
    <x v="10"/>
    <x v="1"/>
    <s v="Dapagliflozin 10mg OD; None; Amlodipine 5mg OD"/>
    <n v="3"/>
    <s v="6768-6"/>
    <s v="Biochemistry"/>
    <s v="ALP"/>
    <x v="1"/>
    <s v="Not Tested"/>
    <n v="154"/>
    <n v="105"/>
    <x v="1"/>
    <s v="154/105"/>
    <n v="89"/>
    <n v="18"/>
    <n v="38.9"/>
    <n v="32.200000000000003"/>
    <s v="Obese"/>
    <n v="92"/>
    <s v="8480-6"/>
    <s v="8462-4"/>
    <s v="8867-4"/>
    <s v="39156-5"/>
    <s v="59408-5"/>
  </r>
  <r>
    <s v="PID-0066"/>
    <s v="ENC-0066-05"/>
    <x v="183"/>
    <x v="3"/>
    <x v="1"/>
    <x v="3"/>
    <s v="Dr. L. Patel"/>
    <d v="1980-01-18T00:00:00"/>
    <n v="45"/>
    <x v="1"/>
    <x v="1"/>
    <s v="Hispanic/Latino"/>
    <x v="3"/>
    <x v="2"/>
    <x v="1"/>
    <s v="CA22"/>
    <s v="Respiratory"/>
    <x v="10"/>
    <x v="1"/>
    <s v="Levothyroxine 50mcg OD; Atorvastatin 40mg ON; Dapagliflozin 10mg OD; Prednisolone 5mg OD"/>
    <n v="4"/>
    <s v="14627-4"/>
    <s v="Biochemistry"/>
    <s v="eGFR (CKD-EPI)"/>
    <x v="1"/>
    <s v="Not Tested"/>
    <n v="141"/>
    <n v="72"/>
    <x v="1"/>
    <s v="141/72"/>
    <n v="61"/>
    <n v="15"/>
    <n v="37.9"/>
    <n v="40.799999999999997"/>
    <s v="Obese"/>
    <n v="96"/>
    <s v="8480-6"/>
    <s v="8462-4"/>
    <s v="8867-4"/>
    <s v="39156-5"/>
    <s v="59408-5"/>
  </r>
  <r>
    <s v="PID-0067"/>
    <s v="ENC-0067-01"/>
    <x v="184"/>
    <x v="2"/>
    <x v="3"/>
    <x v="9"/>
    <s v="Dr. L. Patel"/>
    <d v="2005-04-02T00:00:00"/>
    <n v="20"/>
    <x v="0"/>
    <x v="1"/>
    <s v="White European"/>
    <x v="0"/>
    <x v="2"/>
    <x v="0"/>
    <s v="JA00"/>
    <s v="Infectious"/>
    <x v="12"/>
    <x v="0"/>
    <s v="Metformin 1g BD; Warfarin (variable); Metoprolol 50mg BD"/>
    <n v="3"/>
    <s v="2777-1"/>
    <s v="Biochemistry"/>
    <s v="Serum phosphate"/>
    <x v="0"/>
    <s v="Not Tested"/>
    <n v="100"/>
    <n v="70"/>
    <x v="0"/>
    <s v="100/70"/>
    <n v="64"/>
    <n v="27"/>
    <n v="37.9"/>
    <n v="33.6"/>
    <s v="Obese"/>
    <n v="87"/>
    <s v="8480-6"/>
    <s v="8462-4"/>
    <s v="8867-4"/>
    <s v="39156-5"/>
    <s v="59408-5"/>
  </r>
  <r>
    <s v="PID-0067"/>
    <s v="ENC-0067-02"/>
    <x v="185"/>
    <x v="4"/>
    <x v="3"/>
    <x v="6"/>
    <s v="Dr. L. Patel"/>
    <d v="2005-04-02T00:00:00"/>
    <n v="20"/>
    <x v="0"/>
    <x v="1"/>
    <s v="Black African"/>
    <x v="0"/>
    <x v="2"/>
    <x v="0"/>
    <s v="JA00"/>
    <s v="Infectious"/>
    <x v="12"/>
    <x v="0"/>
    <s v="Metoprolol 50mg BD; Clopidogrel 75mg OD; Metformin 1g BD"/>
    <n v="3"/>
    <s v="718-7"/>
    <s v="Biochemistry"/>
    <s v="Haemoglobin"/>
    <x v="0"/>
    <s v="Not Tested"/>
    <n v="149"/>
    <n v="103"/>
    <x v="1"/>
    <s v="149/103"/>
    <n v="112"/>
    <n v="15"/>
    <n v="38.1"/>
    <n v="25"/>
    <s v="Non-Obese"/>
    <n v="96"/>
    <s v="8480-6"/>
    <s v="8462-4"/>
    <s v="8867-4"/>
    <s v="39156-5"/>
    <s v="59408-5"/>
  </r>
  <r>
    <s v="PID-0067"/>
    <s v="ENC-0067-03"/>
    <x v="186"/>
    <x v="2"/>
    <x v="0"/>
    <x v="5"/>
    <s v="NP J. Nakamura"/>
    <d v="2005-04-02T00:00:00"/>
    <n v="20"/>
    <x v="0"/>
    <x v="1"/>
    <s v="Hispanic/Latino"/>
    <x v="0"/>
    <x v="2"/>
    <x v="0"/>
    <s v="JA00"/>
    <s v="Infectious"/>
    <x v="12"/>
    <x v="0"/>
    <s v="Prednisolone 5mg OD"/>
    <n v="1"/>
    <s v="789-8"/>
    <s v="Biochemistry"/>
    <s v="RBC count"/>
    <x v="1"/>
    <s v="Not Tested"/>
    <n v="113"/>
    <n v="107"/>
    <x v="1"/>
    <s v="113/107"/>
    <n v="88"/>
    <n v="19"/>
    <n v="36.5"/>
    <n v="20.2"/>
    <s v="Non-Obese"/>
    <n v="93"/>
    <s v="8480-6"/>
    <s v="8462-4"/>
    <s v="8867-4"/>
    <s v="39156-5"/>
    <s v="59408-5"/>
  </r>
  <r>
    <s v="PID-0068"/>
    <s v="ENC-0068-01"/>
    <x v="187"/>
    <x v="4"/>
    <x v="4"/>
    <x v="9"/>
    <s v="Dr. R. Mendes"/>
    <d v="2007-11-21T00:00:00"/>
    <n v="18"/>
    <x v="0"/>
    <x v="0"/>
    <s v="Middle Eastern"/>
    <x v="3"/>
    <x v="3"/>
    <x v="0"/>
    <s v="8A25"/>
    <s v="Neurological"/>
    <x v="3"/>
    <x v="1"/>
    <s v="Ramipril 5mg OD"/>
    <n v="1"/>
    <s v="2345-7"/>
    <s v="Biochemistry"/>
    <s v="Serum glucose (fasting)"/>
    <x v="0"/>
    <s v="Not Tested"/>
    <n v="116"/>
    <n v="103"/>
    <x v="1"/>
    <s v="116/103"/>
    <n v="109"/>
    <n v="18"/>
    <n v="37.9"/>
    <n v="38.6"/>
    <s v="Obese"/>
    <n v="97"/>
    <s v="8480-6"/>
    <s v="8462-4"/>
    <s v="8867-4"/>
    <s v="39156-5"/>
    <s v="59408-5"/>
  </r>
  <r>
    <s v="PID-0068"/>
    <s v="ENC-0068-02"/>
    <x v="188"/>
    <x v="1"/>
    <x v="3"/>
    <x v="8"/>
    <s v="Dr. F. Hassan"/>
    <d v="2007-11-21T00:00:00"/>
    <n v="18"/>
    <x v="0"/>
    <x v="0"/>
    <s v="East Asian"/>
    <x v="3"/>
    <x v="3"/>
    <x v="0"/>
    <s v="8A25"/>
    <s v="Neurological"/>
    <x v="3"/>
    <x v="1"/>
    <s v="Empagliflozin 10mg OD"/>
    <n v="1"/>
    <s v="13457-7"/>
    <s v="Biochemistry"/>
    <s v="LDL cholesterol"/>
    <x v="1"/>
    <s v="Not Tested"/>
    <n v="120"/>
    <n v="108"/>
    <x v="1"/>
    <s v="120/108"/>
    <n v="81"/>
    <n v="15"/>
    <n v="38.299999999999997"/>
    <n v="40"/>
    <s v="Obese"/>
    <n v="95"/>
    <s v="8480-6"/>
    <s v="8462-4"/>
    <s v="8867-4"/>
    <s v="39156-5"/>
    <s v="59408-5"/>
  </r>
  <r>
    <s v="PID-0068"/>
    <s v="ENC-0068-03"/>
    <x v="189"/>
    <x v="4"/>
    <x v="4"/>
    <x v="7"/>
    <s v="NP J. Nakamura"/>
    <d v="2007-11-21T00:00:00"/>
    <n v="18"/>
    <x v="0"/>
    <x v="0"/>
    <s v="South Asian"/>
    <x v="3"/>
    <x v="3"/>
    <x v="0"/>
    <s v="8A25"/>
    <s v="Neurological"/>
    <x v="3"/>
    <x v="1"/>
    <s v="Warfarin (variable); Ramipril 5mg OD; Prednisolone 5mg OD; Dapagliflozin 10mg OD"/>
    <n v="4"/>
    <s v="14627-4"/>
    <s v="Biochemistry"/>
    <s v="eGFR (CKD-EPI)"/>
    <x v="1"/>
    <s v="Not Tested"/>
    <n v="105"/>
    <n v="81"/>
    <x v="0"/>
    <s v="105/81"/>
    <n v="94"/>
    <n v="16"/>
    <n v="37.700000000000003"/>
    <n v="33.6"/>
    <s v="Obese"/>
    <n v="95"/>
    <s v="8480-6"/>
    <s v="8462-4"/>
    <s v="8867-4"/>
    <s v="39156-5"/>
    <s v="59408-5"/>
  </r>
  <r>
    <s v="PID-0068"/>
    <s v="ENC-0068-04"/>
    <x v="190"/>
    <x v="2"/>
    <x v="3"/>
    <x v="4"/>
    <s v="Dr. A. Mwangi"/>
    <d v="2007-11-21T00:00:00"/>
    <n v="18"/>
    <x v="0"/>
    <x v="0"/>
    <s v="White European"/>
    <x v="3"/>
    <x v="3"/>
    <x v="0"/>
    <s v="8A25"/>
    <s v="Neurological"/>
    <x v="3"/>
    <x v="1"/>
    <s v="Atorvastatin 40mg ON; Warfarin (variable)"/>
    <n v="2"/>
    <s v="2085-9"/>
    <s v="Biochemistry"/>
    <s v="HDL cholesterol"/>
    <x v="0"/>
    <s v="Not Tested"/>
    <n v="147"/>
    <n v="101"/>
    <x v="1"/>
    <s v="147/101"/>
    <n v="80"/>
    <n v="14"/>
    <n v="38.799999999999997"/>
    <n v="20.9"/>
    <s v="Non-Obese"/>
    <n v="90"/>
    <s v="8480-6"/>
    <s v="8462-4"/>
    <s v="8867-4"/>
    <s v="39156-5"/>
    <s v="59408-5"/>
  </r>
  <r>
    <s v="PID-0068"/>
    <s v="ENC-0068-05"/>
    <x v="191"/>
    <x v="2"/>
    <x v="0"/>
    <x v="6"/>
    <s v="Dr. T. Osei"/>
    <d v="2007-11-21T00:00:00"/>
    <n v="18"/>
    <x v="0"/>
    <x v="0"/>
    <s v="Mixed/Other"/>
    <x v="3"/>
    <x v="3"/>
    <x v="0"/>
    <s v="8A25"/>
    <s v="Neurological"/>
    <x v="3"/>
    <x v="1"/>
    <s v="Insulin glargine 20u ON; Metformin 1g BD"/>
    <n v="2"/>
    <s v="2160-0"/>
    <s v="Biochemistry"/>
    <s v="Serum creatinine"/>
    <x v="0"/>
    <s v="Not Tested"/>
    <n v="182"/>
    <n v="55"/>
    <x v="1"/>
    <s v="182/55"/>
    <n v="57"/>
    <n v="14"/>
    <n v="39"/>
    <n v="29.9"/>
    <s v="Non-Obese"/>
    <n v="88"/>
    <s v="8480-6"/>
    <s v="8462-4"/>
    <s v="8867-4"/>
    <s v="39156-5"/>
    <s v="59408-5"/>
  </r>
  <r>
    <s v="PID-0069"/>
    <s v="ENC-0069-01"/>
    <x v="68"/>
    <x v="3"/>
    <x v="4"/>
    <x v="6"/>
    <s v="Dr. T. Osei"/>
    <d v="2000-03-21T00:00:00"/>
    <n v="25"/>
    <x v="0"/>
    <x v="1"/>
    <s v="Mixed/Other"/>
    <x v="1"/>
    <x v="2"/>
    <x v="1"/>
    <s v="BA80,5A11"/>
    <s v="Multi-system"/>
    <x v="6"/>
    <x v="1"/>
    <s v="Metformin 1g BD; Bisoprolol 5mg OD"/>
    <n v="2"/>
    <s v="6690-2"/>
    <s v="Biochemistry"/>
    <s v="WBC count"/>
    <x v="2"/>
    <s v="Not Tested"/>
    <n v="149"/>
    <n v="86"/>
    <x v="1"/>
    <s v="149/86"/>
    <n v="67"/>
    <n v="15"/>
    <n v="36.1"/>
    <n v="24.3"/>
    <s v="Non-Obese"/>
    <n v="87"/>
    <s v="8480-6"/>
    <s v="8462-4"/>
    <s v="8867-4"/>
    <s v="39156-5"/>
    <s v="59408-5"/>
  </r>
  <r>
    <s v="PID-0069"/>
    <s v="ENC-0069-02"/>
    <x v="192"/>
    <x v="2"/>
    <x v="1"/>
    <x v="9"/>
    <s v="Dr. T. Osei"/>
    <d v="2000-03-21T00:00:00"/>
    <n v="25"/>
    <x v="0"/>
    <x v="1"/>
    <s v="Mixed/Other"/>
    <x v="1"/>
    <x v="2"/>
    <x v="1"/>
    <s v="BA80,5A11"/>
    <s v="Multi-system"/>
    <x v="6"/>
    <x v="1"/>
    <s v="Insulin glargine 20u ON; Bisoprolol 5mg OD; Aspirin 75mg OD"/>
    <n v="3"/>
    <s v="2777-1"/>
    <s v="Biochemistry"/>
    <s v="Serum phosphate"/>
    <x v="0"/>
    <s v="Not Tested"/>
    <n v="142"/>
    <n v="99"/>
    <x v="1"/>
    <s v="142/99"/>
    <n v="55"/>
    <n v="13"/>
    <n v="36.9"/>
    <n v="41.1"/>
    <s v="Obese"/>
    <n v="99"/>
    <s v="8480-6"/>
    <s v="8462-4"/>
    <s v="8867-4"/>
    <s v="39156-5"/>
    <s v="59408-5"/>
  </r>
  <r>
    <s v="PID-0069"/>
    <s v="ENC-0069-03"/>
    <x v="193"/>
    <x v="3"/>
    <x v="3"/>
    <x v="3"/>
    <s v="NP J. Nakamura"/>
    <d v="2000-03-21T00:00:00"/>
    <n v="25"/>
    <x v="0"/>
    <x v="1"/>
    <s v="Middle Eastern"/>
    <x v="1"/>
    <x v="2"/>
    <x v="1"/>
    <s v="BA80,5A11"/>
    <s v="Multi-system"/>
    <x v="6"/>
    <x v="1"/>
    <s v="Prednisolone 5mg OD; Clopidogrel 75mg OD; Bisoprolol 5mg OD"/>
    <n v="3"/>
    <s v="2951-2"/>
    <s v="Biochemistry"/>
    <s v="Serum sodium"/>
    <x v="2"/>
    <s v="Not Tested"/>
    <n v="118"/>
    <n v="79"/>
    <x v="0"/>
    <s v="118/79"/>
    <n v="58"/>
    <n v="13"/>
    <n v="36.9"/>
    <n v="44.5"/>
    <s v="Obese"/>
    <n v="97"/>
    <s v="8480-6"/>
    <s v="8462-4"/>
    <s v="8867-4"/>
    <s v="39156-5"/>
    <s v="59408-5"/>
  </r>
  <r>
    <s v="PID-0069"/>
    <s v="ENC-0069-04"/>
    <x v="104"/>
    <x v="4"/>
    <x v="1"/>
    <x v="4"/>
    <s v="Dr. T. Osei"/>
    <d v="2000-03-21T00:00:00"/>
    <n v="25"/>
    <x v="0"/>
    <x v="1"/>
    <s v="South Asian"/>
    <x v="1"/>
    <x v="2"/>
    <x v="1"/>
    <s v="BA80,5A11"/>
    <s v="Multi-system"/>
    <x v="6"/>
    <x v="1"/>
    <s v="Amlodipine 10mg OD"/>
    <n v="1"/>
    <s v="2093-3"/>
    <s v="Biochemistry"/>
    <s v="Total cholesterol"/>
    <x v="0"/>
    <s v="Not Tested"/>
    <n v="163"/>
    <n v="113"/>
    <x v="1"/>
    <s v="163/113"/>
    <n v="84"/>
    <n v="19"/>
    <n v="37.9"/>
    <n v="18.3"/>
    <s v="Non-Obese"/>
    <n v="89"/>
    <s v="8480-6"/>
    <s v="8462-4"/>
    <s v="8867-4"/>
    <s v="39156-5"/>
    <s v="59408-5"/>
  </r>
  <r>
    <s v="PID-0070"/>
    <s v="ENC-0070-01"/>
    <x v="194"/>
    <x v="4"/>
    <x v="1"/>
    <x v="8"/>
    <s v="Dr. R. Mendes"/>
    <d v="1974-04-10T00:00:00"/>
    <n v="51"/>
    <x v="3"/>
    <x v="0"/>
    <s v="Middle Eastern"/>
    <x v="2"/>
    <x v="0"/>
    <x v="3"/>
    <s v="CA80"/>
    <s v="Respiratory"/>
    <x v="8"/>
    <x v="1"/>
    <s v="Aspirin 75mg OD; Bisoprolol 5mg OD"/>
    <n v="2"/>
    <s v="2823-3"/>
    <s v="Biochemistry"/>
    <s v="Serum potassium"/>
    <x v="0"/>
    <s v="Not Tested"/>
    <n v="115"/>
    <n v="89"/>
    <x v="0"/>
    <s v="115/89"/>
    <n v="64"/>
    <n v="24"/>
    <n v="39"/>
    <n v="22.9"/>
    <s v="Non-Obese"/>
    <n v="97"/>
    <s v="8480-6"/>
    <s v="8462-4"/>
    <s v="8867-4"/>
    <s v="39156-5"/>
    <s v="59408-5"/>
  </r>
  <r>
    <s v="PID-0070"/>
    <s v="ENC-0070-02"/>
    <x v="195"/>
    <x v="0"/>
    <x v="2"/>
    <x v="4"/>
    <s v="NP J. Nakamura"/>
    <d v="1974-04-10T00:00:00"/>
    <n v="51"/>
    <x v="3"/>
    <x v="0"/>
    <s v="Mixed/Other"/>
    <x v="2"/>
    <x v="0"/>
    <x v="3"/>
    <s v="CA80"/>
    <s v="Respiratory"/>
    <x v="8"/>
    <x v="1"/>
    <s v="Dapagliflozin 10mg OD"/>
    <n v="1"/>
    <s v="2085-9"/>
    <s v="Biochemistry"/>
    <s v="HDL cholesterol"/>
    <x v="0"/>
    <s v="Not Tested"/>
    <n v="127"/>
    <n v="102"/>
    <x v="1"/>
    <s v="127/102"/>
    <n v="59"/>
    <n v="13"/>
    <n v="39.1"/>
    <n v="31.5"/>
    <s v="Obese"/>
    <n v="87"/>
    <s v="8480-6"/>
    <s v="8462-4"/>
    <s v="8867-4"/>
    <s v="39156-5"/>
    <s v="59408-5"/>
  </r>
  <r>
    <s v="PID-0070"/>
    <s v="ENC-0070-03"/>
    <x v="196"/>
    <x v="0"/>
    <x v="3"/>
    <x v="0"/>
    <s v="NP J. Nakamura"/>
    <d v="1974-04-10T00:00:00"/>
    <n v="51"/>
    <x v="3"/>
    <x v="0"/>
    <s v="Black African"/>
    <x v="2"/>
    <x v="0"/>
    <x v="3"/>
    <s v="CA80"/>
    <s v="Respiratory"/>
    <x v="8"/>
    <x v="1"/>
    <s v="Dapagliflozin 10mg OD; Prednisolone 5mg OD; Lisinopril 10mg OD; Empagliflozin 10mg OD"/>
    <n v="4"/>
    <s v="6690-2"/>
    <s v="Biochemistry"/>
    <s v="WBC count"/>
    <x v="2"/>
    <s v="Not Tested"/>
    <n v="139"/>
    <n v="114"/>
    <x v="1"/>
    <s v="139/114"/>
    <n v="119"/>
    <n v="16"/>
    <n v="36.700000000000003"/>
    <n v="33.9"/>
    <s v="Obese"/>
    <n v="88"/>
    <s v="8480-6"/>
    <s v="8462-4"/>
    <s v="8867-4"/>
    <s v="39156-5"/>
    <s v="59408-5"/>
  </r>
  <r>
    <s v="PID-0070"/>
    <s v="ENC-0070-04"/>
    <x v="197"/>
    <x v="4"/>
    <x v="4"/>
    <x v="9"/>
    <s v="Dr. F. Hassan"/>
    <d v="1974-04-10T00:00:00"/>
    <n v="51"/>
    <x v="3"/>
    <x v="0"/>
    <s v="South Asian"/>
    <x v="2"/>
    <x v="0"/>
    <x v="3"/>
    <s v="CA80"/>
    <s v="Respiratory"/>
    <x v="8"/>
    <x v="1"/>
    <s v="Furosemide 40mg OD; Prednisolone 5mg OD; Bisoprolol 5mg OD"/>
    <n v="3"/>
    <s v="2777-1"/>
    <s v="Biochemistry"/>
    <s v="Serum phosphate"/>
    <x v="0"/>
    <s v="Not Tested"/>
    <n v="142"/>
    <n v="74"/>
    <x v="1"/>
    <s v="142/74"/>
    <n v="51"/>
    <n v="23"/>
    <n v="37.200000000000003"/>
    <n v="20.399999999999999"/>
    <s v="Non-Obese"/>
    <n v="92"/>
    <s v="8480-6"/>
    <s v="8462-4"/>
    <s v="8867-4"/>
    <s v="39156-5"/>
    <s v="59408-5"/>
  </r>
  <r>
    <s v="PID-0071"/>
    <s v="ENC-0071-01"/>
    <x v="198"/>
    <x v="1"/>
    <x v="1"/>
    <x v="6"/>
    <s v="NP J. Nakamura"/>
    <d v="1944-07-07T00:00:00"/>
    <n v="81"/>
    <x v="2"/>
    <x v="0"/>
    <s v="White European"/>
    <x v="2"/>
    <x v="3"/>
    <x v="2"/>
    <s v="8A25"/>
    <s v="Neurological"/>
    <x v="3"/>
    <x v="1"/>
    <s v="Warfarin (variable); Salbutamol 100mcg PRN; Clopidogrel 75mg OD; Dapagliflozin 10mg OD"/>
    <n v="4"/>
    <s v="2085-9"/>
    <s v="Biochemistry"/>
    <s v="HDL cholesterol"/>
    <x v="0"/>
    <s v="Not Tested"/>
    <n v="146"/>
    <n v="114"/>
    <x v="1"/>
    <s v="146/114"/>
    <n v="101"/>
    <n v="25"/>
    <n v="38.299999999999997"/>
    <n v="40.4"/>
    <s v="Obese"/>
    <n v="94"/>
    <s v="8480-6"/>
    <s v="8462-4"/>
    <s v="8867-4"/>
    <s v="39156-5"/>
    <s v="59408-5"/>
  </r>
  <r>
    <s v="PID-0071"/>
    <s v="ENC-0071-02"/>
    <x v="199"/>
    <x v="0"/>
    <x v="3"/>
    <x v="5"/>
    <s v="NP J. Nakamura"/>
    <d v="1944-07-07T00:00:00"/>
    <n v="81"/>
    <x v="2"/>
    <x v="0"/>
    <s v="Hispanic/Latino"/>
    <x v="2"/>
    <x v="3"/>
    <x v="2"/>
    <s v="8A25"/>
    <s v="Neurological"/>
    <x v="3"/>
    <x v="1"/>
    <s v="Lisinopril 10mg OD; Warfarin (variable)"/>
    <n v="2"/>
    <s v="2777-1"/>
    <s v="Biochemistry"/>
    <s v="Serum phosphate"/>
    <x v="0"/>
    <s v="Not Tested"/>
    <n v="142"/>
    <n v="98"/>
    <x v="1"/>
    <s v="142/98"/>
    <n v="109"/>
    <n v="17"/>
    <n v="37.799999999999997"/>
    <n v="33.700000000000003"/>
    <s v="Obese"/>
    <n v="92"/>
    <s v="8480-6"/>
    <s v="8462-4"/>
    <s v="8867-4"/>
    <s v="39156-5"/>
    <s v="59408-5"/>
  </r>
  <r>
    <s v="PID-0071"/>
    <s v="ENC-0071-03"/>
    <x v="200"/>
    <x v="2"/>
    <x v="1"/>
    <x v="1"/>
    <s v="Dr. F. Hassan"/>
    <d v="1944-07-07T00:00:00"/>
    <n v="81"/>
    <x v="2"/>
    <x v="0"/>
    <s v="South Asian"/>
    <x v="2"/>
    <x v="3"/>
    <x v="2"/>
    <s v="8A25"/>
    <s v="Neurological"/>
    <x v="3"/>
    <x v="1"/>
    <s v="Clopidogrel 75mg OD; None"/>
    <n v="2"/>
    <s v="17861-6"/>
    <s v="Biochemistry"/>
    <s v="Serum calcium"/>
    <x v="1"/>
    <s v="Not Tested"/>
    <n v="118"/>
    <n v="77"/>
    <x v="0"/>
    <s v="118/77"/>
    <n v="92"/>
    <n v="25"/>
    <n v="37.1"/>
    <n v="29.2"/>
    <s v="Non-Obese"/>
    <n v="92"/>
    <s v="8480-6"/>
    <s v="8462-4"/>
    <s v="8867-4"/>
    <s v="39156-5"/>
    <s v="59408-5"/>
  </r>
  <r>
    <s v="PID-0071"/>
    <s v="ENC-0071-04"/>
    <x v="201"/>
    <x v="2"/>
    <x v="2"/>
    <x v="6"/>
    <s v="Dr. S. Okonkwo"/>
    <d v="1944-07-07T00:00:00"/>
    <n v="81"/>
    <x v="2"/>
    <x v="0"/>
    <s v="Black African"/>
    <x v="2"/>
    <x v="3"/>
    <x v="2"/>
    <s v="8A25"/>
    <s v="Neurological"/>
    <x v="3"/>
    <x v="1"/>
    <s v="Levothyroxine 50mcg OD; Ramipril 5mg OD"/>
    <n v="2"/>
    <s v="6690-2"/>
    <s v="Biochemistry"/>
    <s v="WBC count"/>
    <x v="2"/>
    <s v="Not Tested"/>
    <n v="141"/>
    <n v="101"/>
    <x v="1"/>
    <s v="141/101"/>
    <n v="84"/>
    <n v="13"/>
    <n v="38"/>
    <n v="30.7"/>
    <s v="Obese"/>
    <n v="99"/>
    <s v="8480-6"/>
    <s v="8462-4"/>
    <s v="8867-4"/>
    <s v="39156-5"/>
    <s v="59408-5"/>
  </r>
  <r>
    <s v="PID-0071"/>
    <s v="ENC-0071-05"/>
    <x v="202"/>
    <x v="3"/>
    <x v="1"/>
    <x v="0"/>
    <s v="Dr. A. Mwangi"/>
    <d v="1944-07-07T00:00:00"/>
    <n v="81"/>
    <x v="2"/>
    <x v="0"/>
    <s v="White European"/>
    <x v="2"/>
    <x v="3"/>
    <x v="2"/>
    <s v="8A25"/>
    <s v="Neurological"/>
    <x v="3"/>
    <x v="1"/>
    <s v="Clopidogrel 75mg OD; Empagliflozin 10mg OD; Metoprolol 50mg BD"/>
    <n v="3"/>
    <s v="4548-4"/>
    <s v="Biochemistry"/>
    <s v="HbA1c"/>
    <x v="1"/>
    <s v="High"/>
    <n v="126"/>
    <n v="74"/>
    <x v="0"/>
    <s v="126/74"/>
    <n v="99"/>
    <n v="23"/>
    <n v="37.9"/>
    <n v="28.8"/>
    <s v="Non-Obese"/>
    <n v="99"/>
    <s v="8480-6"/>
    <s v="8462-4"/>
    <s v="8867-4"/>
    <s v="39156-5"/>
    <s v="59408-5"/>
  </r>
  <r>
    <s v="PID-0071"/>
    <s v="ENC-0071-06"/>
    <x v="203"/>
    <x v="2"/>
    <x v="0"/>
    <x v="5"/>
    <s v="Dr. Y. Kim"/>
    <d v="1944-07-07T00:00:00"/>
    <n v="81"/>
    <x v="2"/>
    <x v="0"/>
    <s v="Mixed/Other"/>
    <x v="2"/>
    <x v="3"/>
    <x v="2"/>
    <s v="8A25"/>
    <s v="Neurological"/>
    <x v="3"/>
    <x v="1"/>
    <s v="Prednisolone 5mg OD; Lisinopril 10mg OD; Amlodipine 5mg OD; Amlodipine 10mg OD"/>
    <n v="4"/>
    <s v="2951-2"/>
    <s v="Biochemistry"/>
    <s v="Serum sodium"/>
    <x v="2"/>
    <s v="Not Tested"/>
    <n v="116"/>
    <n v="70"/>
    <x v="0"/>
    <s v="116/70"/>
    <n v="106"/>
    <n v="24"/>
    <n v="36.700000000000003"/>
    <n v="28.8"/>
    <s v="Non-Obese"/>
    <n v="88"/>
    <s v="8480-6"/>
    <s v="8462-4"/>
    <s v="8867-4"/>
    <s v="39156-5"/>
    <s v="59408-5"/>
  </r>
  <r>
    <s v="PID-0072"/>
    <s v="ENC-0072-01"/>
    <x v="204"/>
    <x v="2"/>
    <x v="1"/>
    <x v="3"/>
    <s v="NP J. Nakamura"/>
    <d v="1997-11-13T00:00:00"/>
    <n v="28"/>
    <x v="0"/>
    <x v="0"/>
    <s v="Hispanic/Latino"/>
    <x v="0"/>
    <x v="3"/>
    <x v="2"/>
    <s v="LD27"/>
    <s v="Genitourinary"/>
    <x v="7"/>
    <x v="0"/>
    <s v="Prednisolone 5mg OD; Metoprolol 50mg BD; Salbutamol 100mcg PRN"/>
    <n v="3"/>
    <s v="2085-9"/>
    <s v="Biochemistry"/>
    <s v="HDL cholesterol"/>
    <x v="0"/>
    <s v="Not Tested"/>
    <n v="142"/>
    <n v="65"/>
    <x v="1"/>
    <s v="142/65"/>
    <n v="53"/>
    <n v="18"/>
    <n v="38.9"/>
    <n v="42.1"/>
    <s v="Obese"/>
    <n v="93"/>
    <s v="8480-6"/>
    <s v="8462-4"/>
    <s v="8867-4"/>
    <s v="39156-5"/>
    <s v="59408-5"/>
  </r>
  <r>
    <s v="PID-0073"/>
    <s v="ENC-0073-01"/>
    <x v="83"/>
    <x v="3"/>
    <x v="4"/>
    <x v="2"/>
    <s v="Dr. T. Osei"/>
    <d v="1940-11-21T00:00:00"/>
    <n v="85"/>
    <x v="2"/>
    <x v="1"/>
    <s v="Middle Eastern"/>
    <x v="3"/>
    <x v="2"/>
    <x v="0"/>
    <s v="LD27"/>
    <s v="Genitourinary"/>
    <x v="7"/>
    <x v="0"/>
    <s v="Dapagliflozin 10mg OD"/>
    <n v="1"/>
    <s v="2345-7"/>
    <s v="Biochemistry"/>
    <s v="Serum glucose (fasting)"/>
    <x v="0"/>
    <s v="Not Tested"/>
    <n v="132"/>
    <n v="64"/>
    <x v="0"/>
    <s v="132/64"/>
    <n v="51"/>
    <n v="20"/>
    <n v="38.4"/>
    <n v="21.4"/>
    <s v="Non-Obese"/>
    <n v="91"/>
    <s v="8480-6"/>
    <s v="8462-4"/>
    <s v="8867-4"/>
    <s v="39156-5"/>
    <s v="59408-5"/>
  </r>
  <r>
    <s v="PID-0073"/>
    <s v="ENC-0073-02"/>
    <x v="205"/>
    <x v="3"/>
    <x v="1"/>
    <x v="7"/>
    <s v="Dr. Y. Kim"/>
    <d v="1940-11-21T00:00:00"/>
    <n v="85"/>
    <x v="2"/>
    <x v="1"/>
    <s v="South Asian"/>
    <x v="3"/>
    <x v="2"/>
    <x v="0"/>
    <s v="LD27"/>
    <s v="Genitourinary"/>
    <x v="7"/>
    <x v="0"/>
    <s v="Amlodipine 10mg OD; Aspirin 75mg OD; Bisoprolol 5mg OD; Metformin 1g BD"/>
    <n v="4"/>
    <s v="17861-6"/>
    <s v="Biochemistry"/>
    <s v="Serum calcium"/>
    <x v="1"/>
    <s v="Not Tested"/>
    <n v="149"/>
    <n v="103"/>
    <x v="1"/>
    <s v="149/103"/>
    <n v="91"/>
    <n v="15"/>
    <n v="38.799999999999997"/>
    <n v="30"/>
    <s v="Obese"/>
    <n v="90"/>
    <s v="8480-6"/>
    <s v="8462-4"/>
    <s v="8867-4"/>
    <s v="39156-5"/>
    <s v="59408-5"/>
  </r>
  <r>
    <s v="PID-0074"/>
    <s v="ENC-0074-01"/>
    <x v="206"/>
    <x v="0"/>
    <x v="1"/>
    <x v="9"/>
    <s v="Dr. A. Mwangi"/>
    <d v="1955-04-28T00:00:00"/>
    <n v="70"/>
    <x v="2"/>
    <x v="1"/>
    <s v="White European"/>
    <x v="0"/>
    <x v="3"/>
    <x v="0"/>
    <s v="CA80"/>
    <s v="Respiratory"/>
    <x v="8"/>
    <x v="1"/>
    <s v="Omeprazole 20mg OD"/>
    <n v="1"/>
    <s v="2951-2"/>
    <s v="Biochemistry"/>
    <s v="Serum sodium"/>
    <x v="2"/>
    <s v="Not Tested"/>
    <n v="136"/>
    <n v="97"/>
    <x v="1"/>
    <s v="136/97"/>
    <n v="87"/>
    <n v="17"/>
    <n v="36.5"/>
    <n v="45.1"/>
    <s v="Obese"/>
    <n v="87"/>
    <s v="8480-6"/>
    <s v="8462-4"/>
    <s v="8867-4"/>
    <s v="39156-5"/>
    <s v="59408-5"/>
  </r>
  <r>
    <s v="PID-0074"/>
    <s v="ENC-0074-02"/>
    <x v="207"/>
    <x v="1"/>
    <x v="1"/>
    <x v="2"/>
    <s v="Dr. Y. Kim"/>
    <d v="1955-04-28T00:00:00"/>
    <n v="70"/>
    <x v="2"/>
    <x v="1"/>
    <s v="Middle Eastern"/>
    <x v="0"/>
    <x v="3"/>
    <x v="0"/>
    <s v="CA80"/>
    <s v="Respiratory"/>
    <x v="8"/>
    <x v="1"/>
    <s v="Levothyroxine 50mcg OD"/>
    <n v="1"/>
    <s v="17861-6"/>
    <s v="Biochemistry"/>
    <s v="Serum calcium"/>
    <x v="1"/>
    <s v="Not Tested"/>
    <n v="109"/>
    <n v="85"/>
    <x v="0"/>
    <s v="109/85"/>
    <n v="76"/>
    <n v="17"/>
    <n v="38.6"/>
    <n v="45.9"/>
    <s v="Obese"/>
    <n v="93"/>
    <s v="8480-6"/>
    <s v="8462-4"/>
    <s v="8867-4"/>
    <s v="39156-5"/>
    <s v="59408-5"/>
  </r>
  <r>
    <s v="PID-0075"/>
    <s v="ENC-0075-01"/>
    <x v="111"/>
    <x v="4"/>
    <x v="3"/>
    <x v="6"/>
    <s v="Dr. Y. Kim"/>
    <d v="1998-09-16T00:00:00"/>
    <n v="27"/>
    <x v="0"/>
    <x v="1"/>
    <s v="South Asian"/>
    <x v="2"/>
    <x v="1"/>
    <x v="0"/>
    <s v="5A00"/>
    <s v="Endocrine"/>
    <x v="15"/>
    <x v="1"/>
    <s v="Empagliflozin 10mg OD"/>
    <n v="1"/>
    <s v="14627-4"/>
    <s v="Biochemistry"/>
    <s v="eGFR (CKD-EPI)"/>
    <x v="1"/>
    <s v="Not Tested"/>
    <s v="Not Recorded"/>
    <n v="78"/>
    <x v="2"/>
    <s v="Not Recorded/78"/>
    <n v="123"/>
    <n v="16"/>
    <n v="39.200000000000003"/>
    <s v="Invalid"/>
    <s v="Obese"/>
    <n v="97"/>
    <s v="8480-6"/>
    <s v="8462-4"/>
    <s v="8867-4"/>
    <s v="39156-5"/>
    <s v="59408-5"/>
  </r>
  <r>
    <s v="PID-0075"/>
    <s v="ENC-0075-02"/>
    <x v="208"/>
    <x v="2"/>
    <x v="0"/>
    <x v="6"/>
    <s v="Dr. R. Mendes"/>
    <d v="1998-09-16T00:00:00"/>
    <n v="27"/>
    <x v="0"/>
    <x v="1"/>
    <s v="Black African"/>
    <x v="2"/>
    <x v="1"/>
    <x v="0"/>
    <s v="5A00"/>
    <s v="Endocrine"/>
    <x v="15"/>
    <x v="1"/>
    <s v="Amlodipine 5mg OD; Furosemide 40mg OD; Bisoprolol 5mg OD"/>
    <n v="3"/>
    <s v="718-7"/>
    <s v="Biochemistry"/>
    <s v="Haemoglobin"/>
    <x v="0"/>
    <s v="Not Tested"/>
    <n v="152"/>
    <n v="67"/>
    <x v="1"/>
    <s v="152/67"/>
    <n v="117"/>
    <n v="26"/>
    <n v="36.700000000000003"/>
    <s v="Invalid"/>
    <s v="Obese"/>
    <n v="95"/>
    <s v="8480-6"/>
    <s v="8462-4"/>
    <s v="8867-4"/>
    <s v="39156-5"/>
    <s v="59408-5"/>
  </r>
  <r>
    <s v="PID-0076"/>
    <s v="ENC-0076-01"/>
    <x v="209"/>
    <x v="4"/>
    <x v="4"/>
    <x v="2"/>
    <s v="NP J. Nakamura"/>
    <d v="1976-03-16T00:00:00"/>
    <n v="49"/>
    <x v="1"/>
    <x v="0"/>
    <s v="Hispanic/Latino"/>
    <x v="2"/>
    <x v="0"/>
    <x v="0"/>
    <s v="CA80"/>
    <s v="Respiratory"/>
    <x v="8"/>
    <x v="1"/>
    <s v="Warfarin (variable); Amlodipine 5mg OD; Amlodipine 10mg OD; Insulin glargine 20u ON"/>
    <n v="4"/>
    <s v="13457-7"/>
    <s v="Biochemistry"/>
    <s v="LDL cholesterol"/>
    <x v="1"/>
    <s v="Not Tested"/>
    <n v="158"/>
    <n v="102"/>
    <x v="1"/>
    <s v="158/102"/>
    <n v="59"/>
    <n v="16"/>
    <n v="39.1"/>
    <n v="40"/>
    <s v="Obese"/>
    <n v="97"/>
    <s v="8480-6"/>
    <s v="8462-4"/>
    <s v="8867-4"/>
    <s v="39156-5"/>
    <s v="59408-5"/>
  </r>
  <r>
    <s v="PID-0076"/>
    <s v="ENC-0076-02"/>
    <x v="210"/>
    <x v="4"/>
    <x v="3"/>
    <x v="1"/>
    <s v="Dr. Y. Kim"/>
    <d v="1976-03-16T00:00:00"/>
    <n v="49"/>
    <x v="1"/>
    <x v="0"/>
    <s v="Mixed/Other"/>
    <x v="2"/>
    <x v="0"/>
    <x v="0"/>
    <s v="CA80"/>
    <s v="Respiratory"/>
    <x v="8"/>
    <x v="1"/>
    <s v="Metformin 1g BD; Empagliflozin 10mg OD"/>
    <n v="2"/>
    <s v="14627-4"/>
    <s v="Biochemistry"/>
    <s v="eGFR (CKD-EPI)"/>
    <x v="1"/>
    <s v="Not Tested"/>
    <n v="145"/>
    <n v="88"/>
    <x v="1"/>
    <s v="145/88"/>
    <n v="87"/>
    <n v="21"/>
    <n v="37.700000000000003"/>
    <n v="26.7"/>
    <s v="Non-Obese"/>
    <n v="93"/>
    <s v="8480-6"/>
    <s v="8462-4"/>
    <s v="8867-4"/>
    <s v="39156-5"/>
    <s v="59408-5"/>
  </r>
  <r>
    <s v="PID-0076"/>
    <s v="ENC-0076-03"/>
    <x v="211"/>
    <x v="2"/>
    <x v="3"/>
    <x v="8"/>
    <s v="NP J. Nakamura"/>
    <d v="1976-03-16T00:00:00"/>
    <n v="49"/>
    <x v="1"/>
    <x v="0"/>
    <s v="Middle Eastern"/>
    <x v="2"/>
    <x v="0"/>
    <x v="0"/>
    <s v="CA80"/>
    <s v="Respiratory"/>
    <x v="8"/>
    <x v="1"/>
    <s v="Levothyroxine 50mcg OD; Metformin 1g BD"/>
    <n v="2"/>
    <s v="2823-3"/>
    <s v="Biochemistry"/>
    <s v="Serum potassium"/>
    <x v="0"/>
    <s v="Not Tested"/>
    <n v="136"/>
    <n v="102"/>
    <x v="1"/>
    <s v="136/102"/>
    <n v="88"/>
    <n v="24"/>
    <n v="38.799999999999997"/>
    <n v="35.200000000000003"/>
    <s v="Obese"/>
    <n v="92"/>
    <s v="8480-6"/>
    <s v="8462-4"/>
    <s v="8867-4"/>
    <s v="39156-5"/>
    <s v="59408-5"/>
  </r>
  <r>
    <s v="PID-0076"/>
    <s v="ENC-0076-04"/>
    <x v="212"/>
    <x v="4"/>
    <x v="0"/>
    <x v="9"/>
    <s v="Dr. R. Mendes"/>
    <d v="1976-03-16T00:00:00"/>
    <n v="49"/>
    <x v="1"/>
    <x v="0"/>
    <s v="Black African"/>
    <x v="2"/>
    <x v="0"/>
    <x v="0"/>
    <s v="CA80"/>
    <s v="Respiratory"/>
    <x v="8"/>
    <x v="1"/>
    <s v="Furosemide 40mg OD; Lisinopril 10mg OD"/>
    <n v="2"/>
    <s v="14627-4"/>
    <s v="Biochemistry"/>
    <s v="eGFR (CKD-EPI)"/>
    <x v="1"/>
    <s v="Not Tested"/>
    <n v="109"/>
    <n v="72"/>
    <x v="0"/>
    <s v="109/72"/>
    <n v="81"/>
    <n v="17"/>
    <n v="36.299999999999997"/>
    <n v="36.299999999999997"/>
    <s v="Obese"/>
    <n v="88"/>
    <s v="8480-6"/>
    <s v="8462-4"/>
    <s v="8867-4"/>
    <s v="39156-5"/>
    <s v="59408-5"/>
  </r>
  <r>
    <s v="PID-0076"/>
    <s v="ENC-0076-05"/>
    <x v="0"/>
    <x v="4"/>
    <x v="3"/>
    <x v="5"/>
    <s v="NP J. Nakamura"/>
    <d v="1976-03-16T00:00:00"/>
    <n v="49"/>
    <x v="1"/>
    <x v="0"/>
    <s v="Middle Eastern"/>
    <x v="2"/>
    <x v="0"/>
    <x v="0"/>
    <s v="CA80"/>
    <s v="Respiratory"/>
    <x v="8"/>
    <x v="1"/>
    <s v="Amlodipine 5mg OD"/>
    <n v="1"/>
    <s v="17861-6"/>
    <s v="Biochemistry"/>
    <s v="Serum calcium"/>
    <x v="1"/>
    <s v="Not Tested"/>
    <n v="146"/>
    <n v="105"/>
    <x v="1"/>
    <s v="146/105"/>
    <n v="99"/>
    <n v="20"/>
    <n v="38.200000000000003"/>
    <n v="24.8"/>
    <s v="Non-Obese"/>
    <n v="92"/>
    <s v="8480-6"/>
    <s v="8462-4"/>
    <s v="8867-4"/>
    <s v="39156-5"/>
    <s v="59408-5"/>
  </r>
  <r>
    <s v="PID-0076"/>
    <s v="ENC-0076-06"/>
    <x v="91"/>
    <x v="0"/>
    <x v="0"/>
    <x v="8"/>
    <s v="Dr. S. Okonkwo"/>
    <d v="1976-03-16T00:00:00"/>
    <n v="49"/>
    <x v="1"/>
    <x v="0"/>
    <s v="Black African"/>
    <x v="2"/>
    <x v="0"/>
    <x v="0"/>
    <s v="CA80"/>
    <s v="Respiratory"/>
    <x v="8"/>
    <x v="1"/>
    <s v="Empagliflozin 10mg OD; Lisinopril 10mg OD; Metformin 1g BD"/>
    <n v="3"/>
    <s v="718-7"/>
    <s v="Biochemistry"/>
    <s v="Haemoglobin"/>
    <x v="0"/>
    <s v="Not Tested"/>
    <n v="100"/>
    <n v="88"/>
    <x v="0"/>
    <s v="100/88"/>
    <n v="120"/>
    <n v="19"/>
    <n v="37.200000000000003"/>
    <n v="37.700000000000003"/>
    <s v="Obese"/>
    <n v="98"/>
    <s v="8480-6"/>
    <s v="8462-4"/>
    <s v="8867-4"/>
    <s v="39156-5"/>
    <s v="59408-5"/>
  </r>
  <r>
    <s v="PID-0077"/>
    <s v="ENC-0077-01"/>
    <x v="213"/>
    <x v="0"/>
    <x v="4"/>
    <x v="7"/>
    <s v="Dr. F. Hassan"/>
    <d v="1958-04-07T00:00:00"/>
    <n v="67"/>
    <x v="2"/>
    <x v="0"/>
    <s v="Middle Eastern"/>
    <x v="0"/>
    <x v="2"/>
    <x v="2"/>
    <s v="BA80,5A11,5A00"/>
    <s v="Multi-system"/>
    <x v="11"/>
    <x v="1"/>
    <s v="Empagliflozin 10mg OD; Levothyroxine 50mcg OD; Furosemide 40mg OD; Metoprolol 50mg BD"/>
    <n v="4"/>
    <s v="6768-6"/>
    <s v="Biochemistry"/>
    <s v="ALP"/>
    <x v="1"/>
    <s v="Not Tested"/>
    <n v="152"/>
    <n v="76"/>
    <x v="1"/>
    <s v="152/76"/>
    <n v="84"/>
    <n v="23"/>
    <n v="38.799999999999997"/>
    <n v="22.3"/>
    <s v="Non-Obese"/>
    <n v="89"/>
    <s v="8480-6"/>
    <s v="8462-4"/>
    <s v="8867-4"/>
    <s v="39156-5"/>
    <s v="59408-5"/>
  </r>
  <r>
    <s v="PID-0077"/>
    <s v="ENC-0077-02"/>
    <x v="214"/>
    <x v="3"/>
    <x v="0"/>
    <x v="2"/>
    <s v="Dr. Y. Kim"/>
    <d v="1958-04-07T00:00:00"/>
    <n v="67"/>
    <x v="2"/>
    <x v="0"/>
    <s v="Mixed/Other"/>
    <x v="0"/>
    <x v="2"/>
    <x v="2"/>
    <s v="BA80,5A11,5A00"/>
    <s v="Multi-system"/>
    <x v="11"/>
    <x v="1"/>
    <s v="Insulin glargine 20u ON; Metoprolol 50mg BD; Clopidogrel 75mg OD"/>
    <n v="3"/>
    <s v="2951-2"/>
    <s v="Biochemistry"/>
    <s v="Serum sodium"/>
    <x v="2"/>
    <s v="Not Tested"/>
    <n v="132"/>
    <n v="93"/>
    <x v="1"/>
    <s v="132/93"/>
    <n v="112"/>
    <n v="17"/>
    <n v="36.799999999999997"/>
    <n v="33.1"/>
    <s v="Obese"/>
    <n v="92"/>
    <s v="8480-6"/>
    <s v="8462-4"/>
    <s v="8867-4"/>
    <s v="39156-5"/>
    <s v="59408-5"/>
  </r>
  <r>
    <s v="PID-0077"/>
    <s v="ENC-0077-03"/>
    <x v="186"/>
    <x v="2"/>
    <x v="2"/>
    <x v="0"/>
    <s v="Dr. S. Okonkwo"/>
    <d v="1958-04-07T00:00:00"/>
    <n v="67"/>
    <x v="2"/>
    <x v="0"/>
    <s v="Black African"/>
    <x v="0"/>
    <x v="2"/>
    <x v="2"/>
    <s v="BA80,5A11,5A00"/>
    <s v="Multi-system"/>
    <x v="11"/>
    <x v="1"/>
    <s v="Prednisolone 5mg OD; Empagliflozin 10mg OD; None"/>
    <n v="3"/>
    <s v="2085-9"/>
    <s v="Biochemistry"/>
    <s v="HDL cholesterol"/>
    <x v="0"/>
    <s v="Not Tested"/>
    <n v="142"/>
    <n v="115"/>
    <x v="1"/>
    <s v="142/115"/>
    <n v="73"/>
    <n v="17"/>
    <n v="36.700000000000003"/>
    <n v="41.9"/>
    <s v="Obese"/>
    <n v="87"/>
    <s v="8480-6"/>
    <s v="8462-4"/>
    <s v="8867-4"/>
    <s v="39156-5"/>
    <s v="59408-5"/>
  </r>
  <r>
    <s v="PID-0077"/>
    <s v="ENC-0077-04"/>
    <x v="215"/>
    <x v="3"/>
    <x v="1"/>
    <x v="9"/>
    <s v="Dr. S. Okonkwo"/>
    <d v="1958-04-07T00:00:00"/>
    <n v="67"/>
    <x v="2"/>
    <x v="0"/>
    <s v="Mixed/Other"/>
    <x v="0"/>
    <x v="2"/>
    <x v="2"/>
    <s v="BA80,5A11,5A00"/>
    <s v="Multi-system"/>
    <x v="11"/>
    <x v="1"/>
    <s v="Clopidogrel 75mg OD; Warfarin (variable); Metformin 1g BD; Levothyroxine 50mcg OD"/>
    <n v="4"/>
    <s v="17861-6"/>
    <s v="Biochemistry"/>
    <s v="Serum calcium"/>
    <x v="1"/>
    <s v="Not Tested"/>
    <n v="127"/>
    <n v="63"/>
    <x v="0"/>
    <s v="127/63"/>
    <n v="78"/>
    <n v="21"/>
    <n v="36.700000000000003"/>
    <n v="40.6"/>
    <s v="Obese"/>
    <n v="88"/>
    <s v="8480-6"/>
    <s v="8462-4"/>
    <s v="8867-4"/>
    <s v="39156-5"/>
    <s v="59408-5"/>
  </r>
  <r>
    <s v="PID-0077"/>
    <s v="ENC-0077-05"/>
    <x v="216"/>
    <x v="3"/>
    <x v="0"/>
    <x v="1"/>
    <s v="Dr. A. Mwangi"/>
    <d v="1958-04-07T00:00:00"/>
    <n v="67"/>
    <x v="2"/>
    <x v="0"/>
    <s v="South Asian"/>
    <x v="0"/>
    <x v="2"/>
    <x v="2"/>
    <s v="BA80,5A11,5A00"/>
    <s v="Multi-system"/>
    <x v="11"/>
    <x v="1"/>
    <s v="Ramipril 5mg OD; Atorvastatin 40mg ON; Aspirin 75mg OD; Amlodipine 5mg OD"/>
    <n v="4"/>
    <s v="14627-4"/>
    <s v="Biochemistry"/>
    <s v="eGFR (CKD-EPI)"/>
    <x v="1"/>
    <s v="Not Tested"/>
    <n v="122"/>
    <n v="99"/>
    <x v="1"/>
    <s v="122/99"/>
    <n v="93"/>
    <n v="13"/>
    <n v="36.200000000000003"/>
    <n v="39.5"/>
    <s v="Obese"/>
    <n v="92"/>
    <s v="8480-6"/>
    <s v="8462-4"/>
    <s v="8867-4"/>
    <s v="39156-5"/>
    <s v="59408-5"/>
  </r>
  <r>
    <s v="PID-0077"/>
    <s v="ENC-0077-06"/>
    <x v="217"/>
    <x v="3"/>
    <x v="4"/>
    <x v="6"/>
    <s v="Dr. L. Patel"/>
    <d v="1958-04-07T00:00:00"/>
    <n v="67"/>
    <x v="2"/>
    <x v="0"/>
    <s v="White European"/>
    <x v="0"/>
    <x v="2"/>
    <x v="2"/>
    <s v="BA80,5A11,5A00"/>
    <s v="Multi-system"/>
    <x v="11"/>
    <x v="1"/>
    <s v="Aspirin 75mg OD"/>
    <n v="1"/>
    <s v="789-8"/>
    <s v="Biochemistry"/>
    <s v="RBC count"/>
    <x v="1"/>
    <s v="Not Tested"/>
    <n v="146"/>
    <n v="75"/>
    <x v="1"/>
    <s v="146/75"/>
    <n v="102"/>
    <n v="14"/>
    <n v="38.200000000000003"/>
    <n v="45.9"/>
    <s v="Obese"/>
    <n v="100"/>
    <s v="8480-6"/>
    <s v="8462-4"/>
    <s v="8867-4"/>
    <s v="39156-5"/>
    <s v="59408-5"/>
  </r>
  <r>
    <s v="PID-0078"/>
    <s v="ENC-0078-01"/>
    <x v="218"/>
    <x v="0"/>
    <x v="3"/>
    <x v="4"/>
    <s v="Dr. S. Okonkwo"/>
    <d v="1997-08-19T00:00:00"/>
    <n v="28"/>
    <x v="0"/>
    <x v="1"/>
    <s v="Black African"/>
    <x v="3"/>
    <x v="3"/>
    <x v="0"/>
    <s v="5A11"/>
    <s v="Endocrine"/>
    <x v="13"/>
    <x v="1"/>
    <s v="Aspirin 75mg OD; Metformin 1g BD"/>
    <n v="2"/>
    <s v="2951-2"/>
    <s v="Biochemistry"/>
    <s v="Serum sodium"/>
    <x v="2"/>
    <s v="Not Tested"/>
    <n v="165"/>
    <n v="63"/>
    <x v="1"/>
    <s v="165/63"/>
    <n v="60"/>
    <n v="21"/>
    <n v="37.6"/>
    <n v="36.1"/>
    <s v="Obese"/>
    <n v="90"/>
    <s v="8480-6"/>
    <s v="8462-4"/>
    <s v="8867-4"/>
    <s v="39156-5"/>
    <s v="59408-5"/>
  </r>
  <r>
    <s v="PID-0078"/>
    <s v="ENC-0078-02"/>
    <x v="162"/>
    <x v="3"/>
    <x v="0"/>
    <x v="8"/>
    <s v="Dr. R. Mendes"/>
    <d v="1997-08-19T00:00:00"/>
    <n v="28"/>
    <x v="0"/>
    <x v="1"/>
    <s v="Hispanic/Latino"/>
    <x v="3"/>
    <x v="3"/>
    <x v="0"/>
    <s v="5A11"/>
    <s v="Endocrine"/>
    <x v="13"/>
    <x v="1"/>
    <s v="None; Metoprolol 50mg BD; Salbutamol 100mcg PRN"/>
    <n v="3"/>
    <s v="4548-4"/>
    <s v="Biochemistry"/>
    <s v="HbA1c"/>
    <x v="1"/>
    <s v="High"/>
    <n v="132"/>
    <n v="77"/>
    <x v="0"/>
    <s v="132/77"/>
    <n v="64"/>
    <n v="18"/>
    <n v="38.1"/>
    <n v="39.4"/>
    <s v="Obese"/>
    <n v="89"/>
    <s v="8480-6"/>
    <s v="8462-4"/>
    <s v="8867-4"/>
    <s v="39156-5"/>
    <s v="59408-5"/>
  </r>
  <r>
    <s v="PID-0078"/>
    <s v="ENC-0078-03"/>
    <x v="219"/>
    <x v="0"/>
    <x v="3"/>
    <x v="9"/>
    <s v="Dr. A. Mwangi"/>
    <d v="1997-08-19T00:00:00"/>
    <n v="28"/>
    <x v="0"/>
    <x v="1"/>
    <s v="South Asian"/>
    <x v="3"/>
    <x v="3"/>
    <x v="0"/>
    <s v="5A11"/>
    <s v="Endocrine"/>
    <x v="13"/>
    <x v="1"/>
    <s v="Amlodipine 5mg OD; Levothyroxine 50mcg OD; Atorvastatin 40mg ON"/>
    <n v="3"/>
    <s v="17861-6"/>
    <s v="Biochemistry"/>
    <s v="Serum calcium"/>
    <x v="1"/>
    <s v="Not Tested"/>
    <n v="109"/>
    <n v="99"/>
    <x v="1"/>
    <s v="109/99"/>
    <n v="56"/>
    <n v="24"/>
    <n v="36.799999999999997"/>
    <n v="35.200000000000003"/>
    <s v="Obese"/>
    <n v="89"/>
    <s v="8480-6"/>
    <s v="8462-4"/>
    <s v="8867-4"/>
    <s v="39156-5"/>
    <s v="59408-5"/>
  </r>
  <r>
    <s v="PID-0078"/>
    <s v="ENC-0078-04"/>
    <x v="220"/>
    <x v="2"/>
    <x v="2"/>
    <x v="2"/>
    <s v="Dr. Y. Kim"/>
    <d v="1997-08-19T00:00:00"/>
    <n v="28"/>
    <x v="0"/>
    <x v="1"/>
    <s v="White European"/>
    <x v="3"/>
    <x v="3"/>
    <x v="0"/>
    <s v="5A11"/>
    <s v="Endocrine"/>
    <x v="13"/>
    <x v="1"/>
    <s v="Amlodipine 10mg OD"/>
    <n v="1"/>
    <s v="2085-9"/>
    <s v="Biochemistry"/>
    <s v="HDL cholesterol"/>
    <x v="0"/>
    <s v="Not Tested"/>
    <n v="162"/>
    <n v="68"/>
    <x v="1"/>
    <s v="162/68"/>
    <n v="91"/>
    <n v="24"/>
    <n v="37.799999999999997"/>
    <n v="35.299999999999997"/>
    <s v="Obese"/>
    <n v="100"/>
    <s v="8480-6"/>
    <s v="8462-4"/>
    <s v="8867-4"/>
    <s v="39156-5"/>
    <s v="59408-5"/>
  </r>
  <r>
    <s v="PID-0078"/>
    <s v="ENC-0078-05"/>
    <x v="221"/>
    <x v="0"/>
    <x v="3"/>
    <x v="8"/>
    <s v="Dr. T. Osei"/>
    <d v="1997-08-19T00:00:00"/>
    <n v="28"/>
    <x v="0"/>
    <x v="1"/>
    <s v="Mixed/Other"/>
    <x v="3"/>
    <x v="3"/>
    <x v="0"/>
    <s v="5A11"/>
    <s v="Endocrine"/>
    <x v="13"/>
    <x v="1"/>
    <s v="Insulin glargine 20u ON; Atorvastatin 40mg ON; Amlodipine 5mg OD"/>
    <n v="3"/>
    <s v="14627-4"/>
    <s v="Biochemistry"/>
    <s v="eGFR (CKD-EPI)"/>
    <x v="1"/>
    <s v="Not Tested"/>
    <n v="121"/>
    <n v="102"/>
    <x v="1"/>
    <s v="121/102"/>
    <n v="96"/>
    <n v="13"/>
    <n v="38.1"/>
    <n v="17.7"/>
    <s v="Non-Obese"/>
    <n v="92"/>
    <s v="8480-6"/>
    <s v="8462-4"/>
    <s v="8867-4"/>
    <s v="39156-5"/>
    <s v="59408-5"/>
  </r>
  <r>
    <s v="PID-0079"/>
    <s v="ENC-0079-01"/>
    <x v="135"/>
    <x v="1"/>
    <x v="2"/>
    <x v="1"/>
    <s v="Dr. R. Mendes"/>
    <d v="1967-08-28T00:00:00"/>
    <n v="56.868493150684934"/>
    <x v="3"/>
    <x v="0"/>
    <s v="White European"/>
    <x v="0"/>
    <x v="1"/>
    <x v="0"/>
    <s v="CA80"/>
    <s v="Respiratory"/>
    <x v="8"/>
    <x v="1"/>
    <s v="Lisinopril 10mg OD; Bisoprolol 5mg OD; Amlodipine 10mg OD"/>
    <n v="3"/>
    <s v="2777-1"/>
    <s v="Biochemistry"/>
    <s v="Serum phosphate"/>
    <x v="0"/>
    <s v="Not Tested"/>
    <s v="Not Recorded"/>
    <s v="Not Recorded"/>
    <x v="2"/>
    <s v="Not Recorded/Not Recorded"/>
    <n v="106"/>
    <n v="12"/>
    <n v="38.200000000000003"/>
    <n v="27.6"/>
    <s v="Non-Obese"/>
    <n v="91"/>
    <s v="8480-6"/>
    <s v="8462-4"/>
    <s v="8867-4"/>
    <s v="39156-5"/>
    <s v="59408-5"/>
  </r>
  <r>
    <s v="PID-0079"/>
    <s v="ENC-0079-02"/>
    <x v="222"/>
    <x v="4"/>
    <x v="1"/>
    <x v="3"/>
    <s v="Dr. R. Mendes"/>
    <d v="1967-08-28T00:00:00"/>
    <n v="58"/>
    <x v="3"/>
    <x v="0"/>
    <s v="Middle Eastern"/>
    <x v="0"/>
    <x v="1"/>
    <x v="0"/>
    <s v="CA80"/>
    <s v="Respiratory"/>
    <x v="8"/>
    <x v="1"/>
    <s v="Metoprolol 50mg BD; Prednisolone 5mg OD; Salbutamol 100mcg PRN"/>
    <n v="3"/>
    <s v="2823-3"/>
    <s v="Biochemistry"/>
    <s v="Serum potassium"/>
    <x v="0"/>
    <s v="Not Tested"/>
    <s v="Not Recorded"/>
    <n v="93"/>
    <x v="2"/>
    <s v="Not Recorded/93"/>
    <n v="67"/>
    <n v="16"/>
    <n v="36.5"/>
    <n v="45.2"/>
    <s v="Obese"/>
    <n v="99"/>
    <s v="8480-6"/>
    <s v="8462-4"/>
    <s v="8867-4"/>
    <s v="39156-5"/>
    <s v="59408-5"/>
  </r>
  <r>
    <s v="PID-0080"/>
    <s v="ENC-0080-01"/>
    <x v="223"/>
    <x v="4"/>
    <x v="0"/>
    <x v="3"/>
    <s v="Dr. Y. Kim"/>
    <d v="1987-06-03T00:00:00"/>
    <n v="38"/>
    <x v="1"/>
    <x v="0"/>
    <s v="Mixed/Other"/>
    <x v="2"/>
    <x v="2"/>
    <x v="0"/>
    <s v="BA41"/>
    <s v="Cardiovascular"/>
    <x v="4"/>
    <x v="0"/>
    <s v="Atorvastatin 40mg ON; Salbutamol 100mcg PRN"/>
    <n v="2"/>
    <s v="2085-9"/>
    <s v="Biochemistry"/>
    <s v="HDL cholesterol"/>
    <x v="0"/>
    <s v="Not Tested"/>
    <n v="182"/>
    <n v="73"/>
    <x v="1"/>
    <s v="182/73"/>
    <n v="106"/>
    <n v="25"/>
    <n v="38"/>
    <n v="38.5"/>
    <s v="Obese"/>
    <n v="89"/>
    <s v="8480-6"/>
    <s v="8462-4"/>
    <s v="8867-4"/>
    <s v="39156-5"/>
    <s v="59408-5"/>
  </r>
  <r>
    <s v="PID-0081"/>
    <s v="ENC-0081-01"/>
    <x v="224"/>
    <x v="4"/>
    <x v="1"/>
    <x v="5"/>
    <s v="Dr. L. Patel"/>
    <d v="1978-04-22T00:00:00"/>
    <n v="47"/>
    <x v="1"/>
    <x v="0"/>
    <s v="East Asian"/>
    <x v="1"/>
    <x v="1"/>
    <x v="3"/>
    <s v="BA80"/>
    <s v="Cardiovascular"/>
    <x v="16"/>
    <x v="1"/>
    <s v="Amlodipine 5mg OD; Bisoprolol 5mg OD; Ramipril 5mg OD; Aspirin 75mg OD"/>
    <n v="4"/>
    <s v="2777-1"/>
    <s v="Biochemistry"/>
    <s v="Serum phosphate"/>
    <x v="0"/>
    <s v="Not Tested"/>
    <n v="137"/>
    <n v="94"/>
    <x v="1"/>
    <s v="137/94"/>
    <n v="64"/>
    <n v="18"/>
    <n v="37.5"/>
    <n v="22.2"/>
    <s v="Non-Obese"/>
    <n v="90"/>
    <s v="8480-6"/>
    <s v="8462-4"/>
    <s v="8867-4"/>
    <s v="39156-5"/>
    <s v="59408-5"/>
  </r>
  <r>
    <s v="PID-0081"/>
    <s v="ENC-0081-02"/>
    <x v="225"/>
    <x v="1"/>
    <x v="2"/>
    <x v="5"/>
    <s v="NP J. Nakamura"/>
    <d v="1978-04-22T00:00:00"/>
    <n v="47"/>
    <x v="1"/>
    <x v="0"/>
    <s v="East Asian"/>
    <x v="1"/>
    <x v="1"/>
    <x v="3"/>
    <s v="BA80"/>
    <s v="Cardiovascular"/>
    <x v="16"/>
    <x v="1"/>
    <s v="Levothyroxine 50mcg OD; Amlodipine 10mg OD; Prednisolone 5mg OD; Empagliflozin 10mg OD"/>
    <n v="4"/>
    <s v="2085-9"/>
    <s v="Biochemistry"/>
    <s v="HDL cholesterol"/>
    <x v="0"/>
    <s v="Not Tested"/>
    <n v="139"/>
    <n v="74"/>
    <x v="0"/>
    <s v="139/74"/>
    <n v="84"/>
    <n v="16"/>
    <n v="37.299999999999997"/>
    <n v="18.7"/>
    <s v="Non-Obese"/>
    <n v="97"/>
    <s v="8480-6"/>
    <s v="8462-4"/>
    <s v="8867-4"/>
    <s v="39156-5"/>
    <s v="59408-5"/>
  </r>
  <r>
    <s v="PID-0081"/>
    <s v="ENC-0081-03"/>
    <x v="88"/>
    <x v="0"/>
    <x v="3"/>
    <x v="6"/>
    <s v="Dr. Y. Kim"/>
    <d v="1978-04-22T00:00:00"/>
    <n v="47"/>
    <x v="1"/>
    <x v="0"/>
    <s v="Middle Eastern"/>
    <x v="1"/>
    <x v="1"/>
    <x v="3"/>
    <s v="BA80"/>
    <s v="Cardiovascular"/>
    <x v="16"/>
    <x v="1"/>
    <s v="Warfarin (variable)"/>
    <n v="1"/>
    <s v="718-7"/>
    <s v="Biochemistry"/>
    <s v="Haemoglobin"/>
    <x v="0"/>
    <s v="Not Tested"/>
    <n v="174"/>
    <n v="70"/>
    <x v="1"/>
    <s v="174/70"/>
    <n v="90"/>
    <n v="28"/>
    <n v="36.1"/>
    <n v="28.5"/>
    <s v="Non-Obese"/>
    <n v="97"/>
    <s v="8480-6"/>
    <s v="8462-4"/>
    <s v="8867-4"/>
    <s v="39156-5"/>
    <s v="59408-5"/>
  </r>
  <r>
    <s v="PID-0082"/>
    <s v="ENC-0082-01"/>
    <x v="226"/>
    <x v="3"/>
    <x v="2"/>
    <x v="8"/>
    <s v="NP J. Nakamura"/>
    <d v="1948-03-14T00:00:00"/>
    <n v="77"/>
    <x v="2"/>
    <x v="1"/>
    <s v="Black African"/>
    <x v="1"/>
    <x v="2"/>
    <x v="2"/>
    <s v="LD27"/>
    <s v="Genitourinary"/>
    <x v="7"/>
    <x v="0"/>
    <s v="Metoprolol 50mg BD; Amlodipine 5mg OD; Furosemide 40mg OD"/>
    <n v="3"/>
    <s v="2093-3"/>
    <s v="Biochemistry"/>
    <s v="Total cholesterol"/>
    <x v="0"/>
    <s v="Not Tested"/>
    <n v="103"/>
    <n v="85"/>
    <x v="0"/>
    <s v="103/85"/>
    <n v="63"/>
    <n v="21"/>
    <n v="38.9"/>
    <n v="33.1"/>
    <s v="Obese"/>
    <n v="92"/>
    <s v="8480-6"/>
    <s v="8462-4"/>
    <s v="8867-4"/>
    <s v="39156-5"/>
    <s v="59408-5"/>
  </r>
  <r>
    <s v="PID-0082"/>
    <s v="ENC-0082-02"/>
    <x v="227"/>
    <x v="2"/>
    <x v="2"/>
    <x v="0"/>
    <s v="Dr. T. Osei"/>
    <d v="1948-03-14T00:00:00"/>
    <n v="77"/>
    <x v="2"/>
    <x v="1"/>
    <s v="Mixed/Other"/>
    <x v="1"/>
    <x v="2"/>
    <x v="2"/>
    <s v="LD27"/>
    <s v="Genitourinary"/>
    <x v="7"/>
    <x v="0"/>
    <s v="Metformin 1g BD; Empagliflozin 10mg OD; Amlodipine 10mg OD"/>
    <n v="3"/>
    <s v="789-8"/>
    <s v="Biochemistry"/>
    <s v="RBC count"/>
    <x v="1"/>
    <s v="Not Tested"/>
    <n v="124"/>
    <n v="94"/>
    <x v="1"/>
    <s v="124/94"/>
    <n v="103"/>
    <n v="15"/>
    <n v="38.299999999999997"/>
    <n v="20.100000000000001"/>
    <s v="Non-Obese"/>
    <n v="96"/>
    <s v="8480-6"/>
    <s v="8462-4"/>
    <s v="8867-4"/>
    <s v="39156-5"/>
    <s v="59408-5"/>
  </r>
  <r>
    <s v="PID-0082"/>
    <s v="ENC-0082-03"/>
    <x v="228"/>
    <x v="0"/>
    <x v="4"/>
    <x v="9"/>
    <s v="Dr. Y. Kim"/>
    <d v="1948-03-14T00:00:00"/>
    <n v="77"/>
    <x v="2"/>
    <x v="1"/>
    <s v="Hispanic/Latino"/>
    <x v="1"/>
    <x v="2"/>
    <x v="2"/>
    <s v="LD27"/>
    <s v="Genitourinary"/>
    <x v="7"/>
    <x v="0"/>
    <s v="Ramipril 5mg OD"/>
    <n v="1"/>
    <s v="2093-3"/>
    <s v="Biochemistry"/>
    <s v="Total cholesterol"/>
    <x v="0"/>
    <s v="Not Tested"/>
    <n v="99"/>
    <n v="65"/>
    <x v="0"/>
    <s v="99/65"/>
    <n v="75"/>
    <n v="26"/>
    <n v="38.799999999999997"/>
    <n v="22.1"/>
    <s v="Non-Obese"/>
    <n v="89"/>
    <s v="8480-6"/>
    <s v="8462-4"/>
    <s v="8867-4"/>
    <s v="39156-5"/>
    <s v="59408-5"/>
  </r>
  <r>
    <s v="PID-0083"/>
    <s v="ENC-0083-01"/>
    <x v="229"/>
    <x v="2"/>
    <x v="0"/>
    <x v="8"/>
    <s v="Dr. Y. Kim"/>
    <d v="1992-03-07T00:00:00"/>
    <n v="33"/>
    <x v="0"/>
    <x v="0"/>
    <s v="Mixed/Other"/>
    <x v="2"/>
    <x v="0"/>
    <x v="2"/>
    <s v="BA80"/>
    <s v="Cardiovascular"/>
    <x v="16"/>
    <x v="1"/>
    <s v="None"/>
    <n v="1"/>
    <s v="2085-9"/>
    <s v="Biochemistry"/>
    <s v="HDL cholesterol"/>
    <x v="0"/>
    <s v="Not Tested"/>
    <n v="144"/>
    <n v="55"/>
    <x v="1"/>
    <s v="144/55"/>
    <n v="116"/>
    <n v="16"/>
    <n v="37.9"/>
    <n v="31.1"/>
    <s v="Obese"/>
    <n v="92"/>
    <s v="8480-6"/>
    <s v="8462-4"/>
    <s v="8867-4"/>
    <s v="39156-5"/>
    <s v="59408-5"/>
  </r>
  <r>
    <s v="PID-0083"/>
    <s v="ENC-0083-02"/>
    <x v="230"/>
    <x v="1"/>
    <x v="3"/>
    <x v="0"/>
    <s v="Dr. L. Patel"/>
    <d v="1992-03-07T00:00:00"/>
    <n v="33"/>
    <x v="0"/>
    <x v="0"/>
    <s v="Hispanic/Latino"/>
    <x v="2"/>
    <x v="0"/>
    <x v="2"/>
    <s v="BA80"/>
    <s v="Cardiovascular"/>
    <x v="16"/>
    <x v="1"/>
    <s v="Levothyroxine 50mcg OD; Metformin 1g BD; Lisinopril 10mg OD"/>
    <n v="3"/>
    <s v="4548-4"/>
    <s v="Biochemistry"/>
    <s v="HbA1c"/>
    <x v="1"/>
    <s v="High"/>
    <n v="145"/>
    <n v="105"/>
    <x v="1"/>
    <s v="145/105"/>
    <n v="54"/>
    <n v="14"/>
    <n v="38.1"/>
    <n v="18.5"/>
    <s v="Non-Obese"/>
    <n v="98"/>
    <s v="8480-6"/>
    <s v="8462-4"/>
    <s v="8867-4"/>
    <s v="39156-5"/>
    <s v="59408-5"/>
  </r>
  <r>
    <s v="PID-0083"/>
    <s v="ENC-0083-03"/>
    <x v="231"/>
    <x v="0"/>
    <x v="4"/>
    <x v="4"/>
    <s v="Dr. T. Osei"/>
    <d v="1992-03-07T00:00:00"/>
    <n v="33"/>
    <x v="0"/>
    <x v="0"/>
    <s v="Middle Eastern"/>
    <x v="2"/>
    <x v="0"/>
    <x v="2"/>
    <s v="BA80"/>
    <s v="Cardiovascular"/>
    <x v="16"/>
    <x v="1"/>
    <s v="Metformin 1g BD"/>
    <n v="1"/>
    <s v="6768-6"/>
    <s v="Biochemistry"/>
    <s v="ALP"/>
    <x v="1"/>
    <s v="Not Tested"/>
    <n v="150"/>
    <n v="96"/>
    <x v="1"/>
    <s v="150/96"/>
    <n v="95"/>
    <n v="25"/>
    <n v="36.6"/>
    <n v="30.5"/>
    <s v="Obese"/>
    <n v="95"/>
    <s v="8480-6"/>
    <s v="8462-4"/>
    <s v="8867-4"/>
    <s v="39156-5"/>
    <s v="59408-5"/>
  </r>
  <r>
    <s v="PID-0083"/>
    <s v="ENC-0083-04"/>
    <x v="232"/>
    <x v="1"/>
    <x v="2"/>
    <x v="7"/>
    <s v="Dr. S. Okonkwo"/>
    <d v="1992-03-07T00:00:00"/>
    <n v="33"/>
    <x v="0"/>
    <x v="0"/>
    <s v="East Asian"/>
    <x v="2"/>
    <x v="0"/>
    <x v="2"/>
    <s v="BA80"/>
    <s v="Cardiovascular"/>
    <x v="16"/>
    <x v="1"/>
    <s v="Empagliflozin 10mg OD; Warfarin (variable); Clopidogrel 75mg OD; Lisinopril 10mg OD"/>
    <n v="4"/>
    <s v="2085-9"/>
    <s v="Biochemistry"/>
    <s v="HDL cholesterol"/>
    <x v="0"/>
    <s v="Not Tested"/>
    <n v="163"/>
    <n v="106"/>
    <x v="1"/>
    <s v="163/106"/>
    <n v="55"/>
    <n v="20"/>
    <n v="36.4"/>
    <n v="42"/>
    <s v="Obese"/>
    <n v="91"/>
    <s v="8480-6"/>
    <s v="8462-4"/>
    <s v="8867-4"/>
    <s v="39156-5"/>
    <s v="59408-5"/>
  </r>
  <r>
    <s v="PID-0083"/>
    <s v="ENC-0083-05"/>
    <x v="171"/>
    <x v="2"/>
    <x v="3"/>
    <x v="9"/>
    <s v="Dr. L. Patel"/>
    <d v="1992-03-07T00:00:00"/>
    <n v="33"/>
    <x v="0"/>
    <x v="0"/>
    <s v="Mixed/Other"/>
    <x v="2"/>
    <x v="0"/>
    <x v="2"/>
    <s v="BA80"/>
    <s v="Cardiovascular"/>
    <x v="16"/>
    <x v="1"/>
    <s v="Salbutamol 100mcg PRN; Clopidogrel 75mg OD; Dapagliflozin 10mg OD"/>
    <n v="3"/>
    <s v="2777-1"/>
    <s v="Biochemistry"/>
    <s v="Serum phosphate"/>
    <x v="0"/>
    <s v="Not Tested"/>
    <n v="157"/>
    <n v="111"/>
    <x v="1"/>
    <s v="157/111"/>
    <n v="124"/>
    <n v="17"/>
    <n v="37.9"/>
    <n v="26.5"/>
    <s v="Non-Obese"/>
    <n v="94"/>
    <s v="8480-6"/>
    <s v="8462-4"/>
    <s v="8867-4"/>
    <s v="39156-5"/>
    <s v="59408-5"/>
  </r>
  <r>
    <s v="PID-0084"/>
    <s v="ENC-0084-01"/>
    <x v="22"/>
    <x v="0"/>
    <x v="2"/>
    <x v="7"/>
    <s v="Dr. F. Hassan"/>
    <d v="1970-04-01T00:00:00"/>
    <n v="55"/>
    <x v="3"/>
    <x v="0"/>
    <s v="Middle Eastern"/>
    <x v="3"/>
    <x v="0"/>
    <x v="3"/>
    <s v="BA41"/>
    <s v="Cardiovascular"/>
    <x v="4"/>
    <x v="0"/>
    <s v="Omeprazole 20mg OD"/>
    <n v="1"/>
    <s v="2093-3"/>
    <s v="Biochemistry"/>
    <s v="Total cholesterol"/>
    <x v="0"/>
    <s v="Not Tested"/>
    <n v="132"/>
    <n v="75"/>
    <x v="0"/>
    <s v="132/75"/>
    <n v="92"/>
    <n v="22"/>
    <n v="36"/>
    <n v="23.2"/>
    <s v="Non-Obese"/>
    <n v="91"/>
    <s v="8480-6"/>
    <s v="8462-4"/>
    <s v="8867-4"/>
    <s v="39156-5"/>
    <s v="59408-5"/>
  </r>
  <r>
    <s v="PID-0085"/>
    <s v="ENC-0085-01"/>
    <x v="233"/>
    <x v="2"/>
    <x v="4"/>
    <x v="3"/>
    <s v="Dr. F. Hassan"/>
    <d v="1993-11-11T00:00:00"/>
    <n v="32"/>
    <x v="0"/>
    <x v="0"/>
    <s v="Mixed/Other"/>
    <x v="1"/>
    <x v="2"/>
    <x v="3"/>
    <s v="5A10"/>
    <s v="Endocrine"/>
    <x v="1"/>
    <x v="1"/>
    <s v="Metoprolol 50mg BD; Ramipril 5mg OD; Lisinopril 10mg OD"/>
    <n v="3"/>
    <s v="718-7"/>
    <s v="Biochemistry"/>
    <s v="Haemoglobin"/>
    <x v="0"/>
    <s v="Not Tested"/>
    <n v="178"/>
    <n v="84"/>
    <x v="1"/>
    <s v="178/84"/>
    <n v="86"/>
    <n v="13"/>
    <n v="36.4"/>
    <n v="21.9"/>
    <s v="Non-Obese"/>
    <n v="93"/>
    <s v="8480-6"/>
    <s v="8462-4"/>
    <s v="8867-4"/>
    <s v="39156-5"/>
    <s v="59408-5"/>
  </r>
  <r>
    <s v="PID-0085"/>
    <s v="ENC-0085-02"/>
    <x v="234"/>
    <x v="3"/>
    <x v="2"/>
    <x v="0"/>
    <s v="Dr. T. Osei"/>
    <d v="1993-11-11T00:00:00"/>
    <n v="32"/>
    <x v="0"/>
    <x v="0"/>
    <s v="White European"/>
    <x v="1"/>
    <x v="2"/>
    <x v="3"/>
    <s v="5A10"/>
    <s v="Endocrine"/>
    <x v="1"/>
    <x v="1"/>
    <s v="Levothyroxine 50mcg OD"/>
    <n v="1"/>
    <s v="2093-3"/>
    <s v="Biochemistry"/>
    <s v="Total cholesterol"/>
    <x v="0"/>
    <s v="Not Tested"/>
    <n v="97"/>
    <n v="90"/>
    <x v="1"/>
    <s v="97/90"/>
    <n v="75"/>
    <n v="27"/>
    <n v="38.5"/>
    <n v="19.399999999999999"/>
    <s v="Non-Obese"/>
    <n v="89"/>
    <s v="8480-6"/>
    <s v="8462-4"/>
    <s v="8867-4"/>
    <s v="39156-5"/>
    <s v="59408-5"/>
  </r>
  <r>
    <s v="PID-0085"/>
    <s v="ENC-0085-03"/>
    <x v="235"/>
    <x v="0"/>
    <x v="1"/>
    <x v="7"/>
    <s v="Dr. Y. Kim"/>
    <d v="1993-11-11T00:00:00"/>
    <n v="32"/>
    <x v="0"/>
    <x v="0"/>
    <s v="White European"/>
    <x v="1"/>
    <x v="2"/>
    <x v="3"/>
    <s v="5A10"/>
    <s v="Endocrine"/>
    <x v="1"/>
    <x v="1"/>
    <s v="Insulin glargine 20u ON; Metoprolol 50mg BD"/>
    <n v="2"/>
    <s v="6768-6"/>
    <s v="Biochemistry"/>
    <s v="ALP"/>
    <x v="1"/>
    <s v="Not Tested"/>
    <n v="106"/>
    <n v="102"/>
    <x v="1"/>
    <s v="106/102"/>
    <n v="73"/>
    <n v="26"/>
    <n v="38.299999999999997"/>
    <n v="25.2"/>
    <s v="Non-Obese"/>
    <n v="88"/>
    <s v="8480-6"/>
    <s v="8462-4"/>
    <s v="8867-4"/>
    <s v="39156-5"/>
    <s v="59408-5"/>
  </r>
  <r>
    <s v="PID-0085"/>
    <s v="ENC-0085-04"/>
    <x v="7"/>
    <x v="3"/>
    <x v="2"/>
    <x v="1"/>
    <s v="Dr. F. Hassan"/>
    <d v="1993-11-11T00:00:00"/>
    <n v="32"/>
    <x v="0"/>
    <x v="0"/>
    <s v="White European"/>
    <x v="1"/>
    <x v="2"/>
    <x v="3"/>
    <s v="5A10"/>
    <s v="Endocrine"/>
    <x v="1"/>
    <x v="1"/>
    <s v="Warfarin (variable); Levothyroxine 50mcg OD"/>
    <n v="2"/>
    <s v="2951-2"/>
    <s v="Biochemistry"/>
    <s v="Serum sodium"/>
    <x v="2"/>
    <s v="Not Tested"/>
    <n v="129"/>
    <n v="57"/>
    <x v="0"/>
    <s v="129/57"/>
    <n v="65"/>
    <n v="13"/>
    <n v="37.6"/>
    <n v="40.299999999999997"/>
    <s v="Obese"/>
    <n v="99"/>
    <s v="8480-6"/>
    <s v="8462-4"/>
    <s v="8867-4"/>
    <s v="39156-5"/>
    <s v="59408-5"/>
  </r>
  <r>
    <s v="PID-0086"/>
    <s v="ENC-0086-01"/>
    <x v="236"/>
    <x v="0"/>
    <x v="0"/>
    <x v="3"/>
    <s v="Dr. Y. Kim"/>
    <d v="1941-11-05T00:00:00"/>
    <n v="84"/>
    <x v="2"/>
    <x v="0"/>
    <s v="Hispanic/Latino"/>
    <x v="1"/>
    <x v="1"/>
    <x v="2"/>
    <s v="8A00"/>
    <s v="Neurological"/>
    <x v="9"/>
    <x v="0"/>
    <s v="Empagliflozin 10mg OD"/>
    <n v="1"/>
    <s v="2777-1"/>
    <s v="Biochemistry"/>
    <s v="Serum phosphate"/>
    <x v="0"/>
    <s v="Not Tested"/>
    <n v="105"/>
    <n v="74"/>
    <x v="0"/>
    <s v="105/74"/>
    <n v="53"/>
    <n v="26"/>
    <n v="38.799999999999997"/>
    <n v="27"/>
    <s v="Non-Obese"/>
    <n v="99"/>
    <s v="8480-6"/>
    <s v="8462-4"/>
    <s v="8867-4"/>
    <s v="39156-5"/>
    <s v="59408-5"/>
  </r>
  <r>
    <s v="PID-0086"/>
    <s v="ENC-0086-02"/>
    <x v="220"/>
    <x v="2"/>
    <x v="0"/>
    <x v="8"/>
    <s v="Dr. F. Hassan"/>
    <d v="1941-11-05T00:00:00"/>
    <n v="84"/>
    <x v="2"/>
    <x v="0"/>
    <s v="Mixed/Other"/>
    <x v="1"/>
    <x v="1"/>
    <x v="2"/>
    <s v="8A00"/>
    <s v="Neurological"/>
    <x v="9"/>
    <x v="0"/>
    <s v="Atorvastatin 40mg ON; Amlodipine 5mg OD; Prednisolone 5mg OD"/>
    <n v="3"/>
    <s v="718-7"/>
    <s v="Biochemistry"/>
    <s v="Haemoglobin"/>
    <x v="0"/>
    <s v="Not Tested"/>
    <n v="124"/>
    <n v="67"/>
    <x v="0"/>
    <s v="124/67"/>
    <n v="71"/>
    <n v="17"/>
    <n v="37.4"/>
    <n v="20.9"/>
    <s v="Non-Obese"/>
    <n v="89"/>
    <s v="8480-6"/>
    <s v="8462-4"/>
    <s v="8867-4"/>
    <s v="39156-5"/>
    <s v="59408-5"/>
  </r>
  <r>
    <s v="PID-0086"/>
    <s v="ENC-0086-03"/>
    <x v="237"/>
    <x v="1"/>
    <x v="0"/>
    <x v="6"/>
    <s v="Dr. A. Mwangi"/>
    <d v="1941-11-05T00:00:00"/>
    <n v="84"/>
    <x v="2"/>
    <x v="0"/>
    <s v="Black African"/>
    <x v="1"/>
    <x v="1"/>
    <x v="2"/>
    <s v="8A00"/>
    <s v="Neurological"/>
    <x v="9"/>
    <x v="0"/>
    <s v="Lisinopril 10mg OD; Salbutamol 100mcg PRN; Amlodipine 5mg OD; Dapagliflozin 10mg OD"/>
    <n v="4"/>
    <s v="2951-2"/>
    <s v="Biochemistry"/>
    <s v="Serum sodium"/>
    <x v="2"/>
    <s v="Not Tested"/>
    <n v="119"/>
    <n v="112"/>
    <x v="1"/>
    <s v="119/112"/>
    <n v="110"/>
    <n v="21"/>
    <n v="36.5"/>
    <n v="26.4"/>
    <s v="Non-Obese"/>
    <n v="99"/>
    <s v="8480-6"/>
    <s v="8462-4"/>
    <s v="8867-4"/>
    <s v="39156-5"/>
    <s v="59408-5"/>
  </r>
  <r>
    <s v="PID-0087"/>
    <s v="ENC-0087-01"/>
    <x v="238"/>
    <x v="3"/>
    <x v="1"/>
    <x v="8"/>
    <s v="Dr. L. Patel"/>
    <d v="1957-03-23T00:00:00"/>
    <n v="68"/>
    <x v="2"/>
    <x v="1"/>
    <s v="Middle Eastern"/>
    <x v="2"/>
    <x v="3"/>
    <x v="1"/>
    <s v="LA90"/>
    <s v="Renal"/>
    <x v="2"/>
    <x v="1"/>
    <s v="Atorvastatin 40mg ON; Metoprolol 50mg BD; Omeprazole 20mg OD; Clopidogrel 75mg OD"/>
    <n v="4"/>
    <s v="2093-3"/>
    <s v="Biochemistry"/>
    <s v="Total cholesterol"/>
    <x v="0"/>
    <s v="Not Tested"/>
    <n v="163"/>
    <n v="104"/>
    <x v="1"/>
    <s v="163/104"/>
    <n v="56"/>
    <n v="27"/>
    <n v="38.4"/>
    <n v="33.700000000000003"/>
    <s v="Obese"/>
    <n v="88"/>
    <s v="8480-6"/>
    <s v="8462-4"/>
    <s v="8867-4"/>
    <s v="39156-5"/>
    <s v="59408-5"/>
  </r>
  <r>
    <s v="PID-0087"/>
    <s v="ENC-0087-02"/>
    <x v="225"/>
    <x v="0"/>
    <x v="3"/>
    <x v="9"/>
    <s v="Dr. L. Patel"/>
    <d v="1957-03-23T00:00:00"/>
    <n v="68"/>
    <x v="2"/>
    <x v="1"/>
    <s v="South Asian"/>
    <x v="2"/>
    <x v="3"/>
    <x v="1"/>
    <s v="LA90"/>
    <s v="Renal"/>
    <x v="2"/>
    <x v="1"/>
    <s v="Amlodipine 5mg OD; Metformin 1g BD; Dapagliflozin 10mg OD; Atorvastatin 40mg ON"/>
    <n v="4"/>
    <s v="4548-4"/>
    <s v="Biochemistry"/>
    <s v="HbA1c"/>
    <x v="1"/>
    <s v="High"/>
    <n v="118"/>
    <n v="77"/>
    <x v="0"/>
    <s v="118/77"/>
    <n v="64"/>
    <n v="27"/>
    <n v="37.1"/>
    <n v="42"/>
    <s v="Obese"/>
    <n v="91"/>
    <s v="8480-6"/>
    <s v="8462-4"/>
    <s v="8867-4"/>
    <s v="39156-5"/>
    <s v="59408-5"/>
  </r>
  <r>
    <s v="PID-0087"/>
    <s v="ENC-0087-03"/>
    <x v="111"/>
    <x v="2"/>
    <x v="3"/>
    <x v="6"/>
    <s v="Dr. T. Osei"/>
    <d v="1957-03-23T00:00:00"/>
    <n v="68"/>
    <x v="2"/>
    <x v="1"/>
    <s v="White European"/>
    <x v="2"/>
    <x v="3"/>
    <x v="1"/>
    <s v="LA90"/>
    <s v="Renal"/>
    <x v="2"/>
    <x v="1"/>
    <s v="Omeprazole 20mg OD"/>
    <n v="1"/>
    <s v="718-7"/>
    <s v="Biochemistry"/>
    <s v="Haemoglobin"/>
    <x v="0"/>
    <s v="Not Tested"/>
    <n v="126"/>
    <n v="89"/>
    <x v="0"/>
    <s v="126/89"/>
    <n v="88"/>
    <n v="18"/>
    <n v="38.299999999999997"/>
    <n v="20.5"/>
    <s v="Non-Obese"/>
    <n v="94"/>
    <s v="8480-6"/>
    <s v="8462-4"/>
    <s v="8867-4"/>
    <s v="39156-5"/>
    <s v="59408-5"/>
  </r>
  <r>
    <s v="PID-0087"/>
    <s v="ENC-0087-04"/>
    <x v="109"/>
    <x v="4"/>
    <x v="0"/>
    <x v="3"/>
    <s v="NP J. Nakamura"/>
    <d v="1957-03-23T00:00:00"/>
    <n v="68"/>
    <x v="2"/>
    <x v="1"/>
    <s v="Black African"/>
    <x v="2"/>
    <x v="3"/>
    <x v="1"/>
    <s v="LA90"/>
    <s v="Renal"/>
    <x v="2"/>
    <x v="1"/>
    <s v="Clopidogrel 75mg OD; Levothyroxine 50mcg OD; Prednisolone 5mg OD; Aspirin 75mg OD"/>
    <n v="4"/>
    <s v="6690-2"/>
    <s v="Biochemistry"/>
    <s v="WBC count"/>
    <x v="2"/>
    <s v="Not Tested"/>
    <n v="117"/>
    <n v="65"/>
    <x v="0"/>
    <s v="117/65"/>
    <n v="86"/>
    <n v="13"/>
    <n v="36.700000000000003"/>
    <n v="37.299999999999997"/>
    <s v="Obese"/>
    <n v="93"/>
    <s v="8480-6"/>
    <s v="8462-4"/>
    <s v="8867-4"/>
    <s v="39156-5"/>
    <s v="59408-5"/>
  </r>
  <r>
    <s v="PID-0087"/>
    <s v="ENC-0087-05"/>
    <x v="239"/>
    <x v="4"/>
    <x v="1"/>
    <x v="3"/>
    <s v="Dr. A. Mwangi"/>
    <d v="1957-03-23T00:00:00"/>
    <n v="68"/>
    <x v="2"/>
    <x v="1"/>
    <s v="Middle Eastern"/>
    <x v="2"/>
    <x v="3"/>
    <x v="1"/>
    <s v="LA90"/>
    <s v="Renal"/>
    <x v="2"/>
    <x v="1"/>
    <s v="Levothyroxine 50mcg OD; Dapagliflozin 10mg OD; Lisinopril 10mg OD; Metformin 1g BD"/>
    <n v="4"/>
    <s v="2085-9"/>
    <s v="Biochemistry"/>
    <s v="HDL cholesterol"/>
    <x v="0"/>
    <s v="Not Tested"/>
    <n v="149"/>
    <n v="75"/>
    <x v="1"/>
    <s v="149/75"/>
    <n v="57"/>
    <n v="19"/>
    <n v="37"/>
    <n v="29.1"/>
    <s v="Non-Obese"/>
    <n v="95"/>
    <s v="8480-6"/>
    <s v="8462-4"/>
    <s v="8867-4"/>
    <s v="39156-5"/>
    <s v="59408-5"/>
  </r>
  <r>
    <s v="PID-0088"/>
    <s v="ENC-0088-01"/>
    <x v="79"/>
    <x v="1"/>
    <x v="2"/>
    <x v="7"/>
    <s v="Dr. T. Osei"/>
    <d v="1988-08-18T00:00:00"/>
    <n v="37"/>
    <x v="1"/>
    <x v="0"/>
    <s v="Middle Eastern"/>
    <x v="3"/>
    <x v="2"/>
    <x v="3"/>
    <s v="LD27"/>
    <s v="Genitourinary"/>
    <x v="7"/>
    <x v="0"/>
    <s v="Clopidogrel 75mg OD"/>
    <n v="1"/>
    <s v="4548-4"/>
    <s v="Biochemistry"/>
    <s v="HbA1c"/>
    <x v="1"/>
    <s v="High"/>
    <n v="122"/>
    <n v="103"/>
    <x v="1"/>
    <s v="122/103"/>
    <n v="101"/>
    <n v="27"/>
    <n v="39"/>
    <n v="38"/>
    <s v="Obese"/>
    <n v="99"/>
    <s v="8480-6"/>
    <s v="8462-4"/>
    <s v="8867-4"/>
    <s v="39156-5"/>
    <s v="59408-5"/>
  </r>
  <r>
    <s v="PID-0088"/>
    <s v="ENC-0088-02"/>
    <x v="66"/>
    <x v="1"/>
    <x v="1"/>
    <x v="6"/>
    <s v="Dr. T. Osei"/>
    <d v="1988-08-18T00:00:00"/>
    <n v="37"/>
    <x v="1"/>
    <x v="0"/>
    <s v="Hispanic/Latino"/>
    <x v="3"/>
    <x v="2"/>
    <x v="3"/>
    <s v="LD27"/>
    <s v="Genitourinary"/>
    <x v="7"/>
    <x v="0"/>
    <s v="Omeprazole 20mg OD"/>
    <n v="1"/>
    <s v="17861-6"/>
    <s v="Biochemistry"/>
    <s v="Serum calcium"/>
    <x v="1"/>
    <s v="Not Tested"/>
    <n v="172"/>
    <n v="59"/>
    <x v="1"/>
    <s v="172/59"/>
    <n v="118"/>
    <n v="27"/>
    <n v="36"/>
    <n v="33.5"/>
    <s v="Obese"/>
    <n v="100"/>
    <s v="8480-6"/>
    <s v="8462-4"/>
    <s v="8867-4"/>
    <s v="39156-5"/>
    <s v="59408-5"/>
  </r>
  <r>
    <s v="PID-0089"/>
    <s v="ENC-0089-01"/>
    <x v="240"/>
    <x v="4"/>
    <x v="3"/>
    <x v="6"/>
    <s v="Dr. L. Patel"/>
    <d v="1959-07-13T00:00:00"/>
    <n v="66"/>
    <x v="2"/>
    <x v="1"/>
    <s v="Black African"/>
    <x v="0"/>
    <x v="2"/>
    <x v="2"/>
    <s v="8A25"/>
    <s v="Neurological"/>
    <x v="3"/>
    <x v="1"/>
    <s v="Amlodipine 5mg OD"/>
    <n v="1"/>
    <s v="6768-6"/>
    <s v="Biochemistry"/>
    <s v="ALP"/>
    <x v="1"/>
    <s v="Not Tested"/>
    <s v="Not Recorded"/>
    <n v="110"/>
    <x v="2"/>
    <s v="Not Recorded/110"/>
    <n v="113"/>
    <n v="14"/>
    <n v="39.200000000000003"/>
    <n v="36.6"/>
    <s v="Obese"/>
    <n v="89"/>
    <s v="8480-6"/>
    <s v="8462-4"/>
    <s v="8867-4"/>
    <s v="39156-5"/>
    <s v="59408-5"/>
  </r>
  <r>
    <s v="PID-0089"/>
    <s v="ENC-0089-03"/>
    <x v="84"/>
    <x v="2"/>
    <x v="2"/>
    <x v="5"/>
    <s v="Dr. R. Mendes"/>
    <d v="1959-07-13T00:00:00"/>
    <n v="66"/>
    <x v="2"/>
    <x v="1"/>
    <s v="East Asian"/>
    <x v="0"/>
    <x v="2"/>
    <x v="2"/>
    <s v="8A25"/>
    <s v="Neurological"/>
    <x v="3"/>
    <x v="1"/>
    <s v="Metoprolol 50mg BD; Empagliflozin 10mg OD; Metformin 1g BD"/>
    <n v="3"/>
    <s v="13457-7"/>
    <s v="Biochemistry"/>
    <s v="LDL cholesterol"/>
    <x v="1"/>
    <s v="Not Tested"/>
    <n v="105"/>
    <n v="84"/>
    <x v="0"/>
    <s v="105/84"/>
    <n v="102"/>
    <n v="14"/>
    <n v="38.299999999999997"/>
    <n v="45.5"/>
    <s v="Obese"/>
    <n v="100"/>
    <s v="8480-6"/>
    <s v="8462-4"/>
    <s v="8867-4"/>
    <s v="39156-5"/>
    <s v="59408-5"/>
  </r>
  <r>
    <s v="PID-0089"/>
    <s v="ENC-0089-04"/>
    <x v="241"/>
    <x v="0"/>
    <x v="1"/>
    <x v="2"/>
    <s v="Dr. Y. Kim"/>
    <d v="1959-07-13T00:00:00"/>
    <n v="66"/>
    <x v="2"/>
    <x v="1"/>
    <s v="Hispanic/Latino"/>
    <x v="0"/>
    <x v="2"/>
    <x v="2"/>
    <s v="8A25"/>
    <s v="Neurological"/>
    <x v="3"/>
    <x v="1"/>
    <s v="Ramipril 5mg OD; Insulin glargine 20u ON; Omeprazole 20mg OD"/>
    <n v="3"/>
    <s v="6768-6"/>
    <s v="Biochemistry"/>
    <s v="ALP"/>
    <x v="1"/>
    <s v="Not Tested"/>
    <n v="123"/>
    <s v="Not Recorded"/>
    <x v="2"/>
    <s v="123/Not Recorded"/>
    <n v="76"/>
    <n v="24"/>
    <n v="37.5"/>
    <n v="32.1"/>
    <s v="Obese"/>
    <n v="93"/>
    <s v="8480-6"/>
    <s v="8462-4"/>
    <s v="8867-4"/>
    <s v="39156-5"/>
    <s v="59408-5"/>
  </r>
  <r>
    <s v="PID-0089"/>
    <s v="ENC-0089-05"/>
    <x v="242"/>
    <x v="0"/>
    <x v="4"/>
    <x v="2"/>
    <s v="Dr. S. Okonkwo"/>
    <d v="1959-07-13T00:00:00"/>
    <n v="65.356164383561648"/>
    <x v="2"/>
    <x v="1"/>
    <s v="Mixed/Other"/>
    <x v="0"/>
    <x v="2"/>
    <x v="2"/>
    <s v="8A25"/>
    <s v="Neurological"/>
    <x v="3"/>
    <x v="1"/>
    <s v="Bisoprolol 5mg OD; Salbutamol 100mcg PRN; None"/>
    <n v="3"/>
    <s v="2093-3"/>
    <s v="Biochemistry"/>
    <s v="Total cholesterol"/>
    <x v="0"/>
    <s v="Not Tested"/>
    <s v="Not Recorded"/>
    <n v="104"/>
    <x v="2"/>
    <s v="Not Recorded/104"/>
    <n v="97"/>
    <n v="17"/>
    <n v="36.299999999999997"/>
    <n v="31.9"/>
    <s v="Obese"/>
    <n v="98"/>
    <s v="8480-6"/>
    <s v="8462-4"/>
    <s v="8867-4"/>
    <s v="39156-5"/>
    <s v="59408-5"/>
  </r>
  <r>
    <s v="PID-0090"/>
    <s v="ENC-0090-01"/>
    <x v="209"/>
    <x v="1"/>
    <x v="1"/>
    <x v="9"/>
    <s v="Dr. T. Osei"/>
    <d v="1977-08-06T00:00:00"/>
    <n v="48"/>
    <x v="1"/>
    <x v="1"/>
    <s v="East Asian"/>
    <x v="2"/>
    <x v="0"/>
    <x v="3"/>
    <s v="BA80,5A11,5A00"/>
    <s v="Multi-system"/>
    <x v="11"/>
    <x v="1"/>
    <s v="Lisinopril 10mg OD; Bisoprolol 5mg OD; Atorvastatin 40mg ON"/>
    <n v="3"/>
    <s v="14627-4"/>
    <s v="Biochemistry"/>
    <s v="eGFR (CKD-EPI)"/>
    <x v="1"/>
    <s v="Not Tested"/>
    <n v="170"/>
    <n v="100"/>
    <x v="1"/>
    <s v="170/100"/>
    <n v="81"/>
    <n v="18"/>
    <n v="38.1"/>
    <n v="38.200000000000003"/>
    <s v="Obese"/>
    <n v="89"/>
    <s v="8480-6"/>
    <s v="8462-4"/>
    <s v="8867-4"/>
    <s v="39156-5"/>
    <s v="59408-5"/>
  </r>
  <r>
    <s v="PID-0091"/>
    <s v="ENC-0091-01"/>
    <x v="243"/>
    <x v="0"/>
    <x v="4"/>
    <x v="5"/>
    <s v="Dr. Y. Kim"/>
    <d v="1947-12-25T00:00:00"/>
    <n v="78"/>
    <x v="2"/>
    <x v="1"/>
    <s v="Hispanic/Latino"/>
    <x v="3"/>
    <x v="1"/>
    <x v="1"/>
    <s v="3A00"/>
    <s v="Haematological"/>
    <x v="0"/>
    <x v="0"/>
    <s v="Ramipril 5mg OD; Bisoprolol 5mg OD; Levothyroxine 50mcg OD"/>
    <n v="3"/>
    <s v="789-8"/>
    <s v="Biochemistry"/>
    <s v="RBC count"/>
    <x v="1"/>
    <s v="Not Tested"/>
    <n v="96"/>
    <n v="111"/>
    <x v="1"/>
    <s v="96/111"/>
    <n v="84"/>
    <n v="23"/>
    <n v="39.1"/>
    <n v="37"/>
    <s v="Obese"/>
    <n v="88"/>
    <s v="8480-6"/>
    <s v="8462-4"/>
    <s v="8867-4"/>
    <s v="39156-5"/>
    <s v="59408-5"/>
  </r>
  <r>
    <s v="PID-0092"/>
    <s v="ENC-0092-01"/>
    <x v="244"/>
    <x v="0"/>
    <x v="0"/>
    <x v="6"/>
    <s v="Dr. T. Osei"/>
    <d v="1992-12-04T00:00:00"/>
    <n v="33"/>
    <x v="0"/>
    <x v="0"/>
    <s v="South Asian"/>
    <x v="0"/>
    <x v="1"/>
    <x v="3"/>
    <s v="CA80"/>
    <s v="Respiratory"/>
    <x v="8"/>
    <x v="1"/>
    <s v="Bisoprolol 5mg OD; Furosemide 40mg OD; Metformin 1g BD"/>
    <n v="3"/>
    <s v="789-8"/>
    <s v="Biochemistry"/>
    <s v="RBC count"/>
    <x v="1"/>
    <s v="Not Tested"/>
    <n v="112"/>
    <n v="73"/>
    <x v="0"/>
    <s v="112/73"/>
    <n v="100"/>
    <n v="13"/>
    <n v="37.5"/>
    <n v="45.9"/>
    <s v="Obese"/>
    <n v="97"/>
    <s v="8480-6"/>
    <s v="8462-4"/>
    <s v="8867-4"/>
    <s v="39156-5"/>
    <s v="59408-5"/>
  </r>
  <r>
    <s v="PID-0092"/>
    <s v="ENC-0092-02"/>
    <x v="221"/>
    <x v="4"/>
    <x v="2"/>
    <x v="5"/>
    <s v="NP J. Nakamura"/>
    <d v="1992-12-04T00:00:00"/>
    <n v="33"/>
    <x v="0"/>
    <x v="0"/>
    <s v="Hispanic/Latino"/>
    <x v="0"/>
    <x v="1"/>
    <x v="3"/>
    <s v="CA80"/>
    <s v="Respiratory"/>
    <x v="8"/>
    <x v="1"/>
    <s v="Atorvastatin 40mg ON; Salbutamol 100mcg PRN; Prednisolone 5mg OD; Ramipril 5mg OD"/>
    <n v="4"/>
    <s v="789-8"/>
    <s v="Biochemistry"/>
    <s v="RBC count"/>
    <x v="1"/>
    <s v="Not Tested"/>
    <n v="118"/>
    <n v="104"/>
    <x v="1"/>
    <s v="118/104"/>
    <n v="63"/>
    <n v="13"/>
    <n v="39.1"/>
    <n v="23.2"/>
    <s v="Non-Obese"/>
    <n v="92"/>
    <s v="8480-6"/>
    <s v="8462-4"/>
    <s v="8867-4"/>
    <s v="39156-5"/>
    <s v="59408-5"/>
  </r>
  <r>
    <s v="PID-0092"/>
    <s v="ENC-0092-03"/>
    <x v="149"/>
    <x v="3"/>
    <x v="4"/>
    <x v="0"/>
    <s v="Dr. F. Hassan"/>
    <d v="1992-12-04T00:00:00"/>
    <n v="33"/>
    <x v="0"/>
    <x v="0"/>
    <s v="East Asian"/>
    <x v="0"/>
    <x v="1"/>
    <x v="3"/>
    <s v="CA80"/>
    <s v="Respiratory"/>
    <x v="8"/>
    <x v="1"/>
    <s v="Lisinopril 10mg OD"/>
    <n v="1"/>
    <s v="718-7"/>
    <s v="Biochemistry"/>
    <s v="Haemoglobin"/>
    <x v="0"/>
    <s v="Not Tested"/>
    <n v="104"/>
    <n v="59"/>
    <x v="0"/>
    <s v="104/59"/>
    <n v="93"/>
    <n v="16"/>
    <n v="37.4"/>
    <n v="43.1"/>
    <s v="Obese"/>
    <n v="89"/>
    <s v="8480-6"/>
    <s v="8462-4"/>
    <s v="8867-4"/>
    <s v="39156-5"/>
    <s v="59408-5"/>
  </r>
  <r>
    <s v="PID-0092"/>
    <s v="ENC-0092-04"/>
    <x v="245"/>
    <x v="4"/>
    <x v="0"/>
    <x v="6"/>
    <s v="NP J. Nakamura"/>
    <d v="1992-12-04T00:00:00"/>
    <n v="33"/>
    <x v="0"/>
    <x v="0"/>
    <s v="Black African"/>
    <x v="0"/>
    <x v="1"/>
    <x v="3"/>
    <s v="CA80"/>
    <s v="Respiratory"/>
    <x v="8"/>
    <x v="1"/>
    <s v="Prednisolone 5mg OD"/>
    <n v="1"/>
    <s v="6768-6"/>
    <s v="Biochemistry"/>
    <s v="ALP"/>
    <x v="1"/>
    <s v="Not Tested"/>
    <n v="95"/>
    <n v="97"/>
    <x v="1"/>
    <s v="95/97"/>
    <n v="108"/>
    <n v="20"/>
    <n v="37.299999999999997"/>
    <n v="38.200000000000003"/>
    <s v="Obese"/>
    <n v="98"/>
    <s v="8480-6"/>
    <s v="8462-4"/>
    <s v="8867-4"/>
    <s v="39156-5"/>
    <s v="59408-5"/>
  </r>
  <r>
    <s v="PID-0092"/>
    <s v="ENC-0092-05"/>
    <x v="177"/>
    <x v="3"/>
    <x v="4"/>
    <x v="8"/>
    <s v="Dr. L. Patel"/>
    <d v="1992-12-04T00:00:00"/>
    <n v="33"/>
    <x v="0"/>
    <x v="0"/>
    <s v="Mixed/Other"/>
    <x v="0"/>
    <x v="1"/>
    <x v="3"/>
    <s v="CA80"/>
    <s v="Respiratory"/>
    <x v="8"/>
    <x v="1"/>
    <s v="Prednisolone 5mg OD; Levothyroxine 50mcg OD; Metformin 1g BD"/>
    <n v="3"/>
    <s v="4548-4"/>
    <s v="Biochemistry"/>
    <s v="HbA1c"/>
    <x v="1"/>
    <s v="High"/>
    <n v="143"/>
    <n v="114"/>
    <x v="1"/>
    <s v="143/114"/>
    <n v="75"/>
    <n v="17"/>
    <n v="36.200000000000003"/>
    <n v="45.9"/>
    <s v="Obese"/>
    <n v="95"/>
    <s v="8480-6"/>
    <s v="8462-4"/>
    <s v="8867-4"/>
    <s v="39156-5"/>
    <s v="59408-5"/>
  </r>
  <r>
    <s v="PID-0093"/>
    <s v="ENC-0093-01"/>
    <x v="246"/>
    <x v="1"/>
    <x v="0"/>
    <x v="4"/>
    <s v="Dr. A. Mwangi"/>
    <d v="1958-11-07T00:00:00"/>
    <n v="67"/>
    <x v="2"/>
    <x v="0"/>
    <s v="South Asian"/>
    <x v="3"/>
    <x v="0"/>
    <x v="1"/>
    <s v="LD27"/>
    <s v="Genitourinary"/>
    <x v="7"/>
    <x v="0"/>
    <s v="Dapagliflozin 10mg OD; Prednisolone 5mg OD; Metoprolol 50mg BD"/>
    <n v="3"/>
    <s v="2345-7"/>
    <s v="Biochemistry"/>
    <s v="Serum glucose (fasting)"/>
    <x v="0"/>
    <s v="Not Tested"/>
    <n v="134"/>
    <n v="66"/>
    <x v="0"/>
    <s v="134/66"/>
    <n v="53"/>
    <n v="12"/>
    <n v="39.200000000000003"/>
    <n v="24.3"/>
    <s v="Non-Obese"/>
    <n v="92"/>
    <s v="8480-6"/>
    <s v="8462-4"/>
    <s v="8867-4"/>
    <s v="39156-5"/>
    <s v="59408-5"/>
  </r>
  <r>
    <s v="PID-0093"/>
    <s v="ENC-0093-02"/>
    <x v="38"/>
    <x v="1"/>
    <x v="0"/>
    <x v="0"/>
    <s v="NP J. Nakamura"/>
    <d v="1958-11-07T00:00:00"/>
    <n v="67"/>
    <x v="2"/>
    <x v="0"/>
    <s v="Hispanic/Latino"/>
    <x v="3"/>
    <x v="0"/>
    <x v="1"/>
    <s v="LD27"/>
    <s v="Genitourinary"/>
    <x v="7"/>
    <x v="0"/>
    <s v="Clopidogrel 75mg OD; Aspirin 75mg OD"/>
    <n v="2"/>
    <s v="2160-0"/>
    <s v="Biochemistry"/>
    <s v="Serum creatinine"/>
    <x v="0"/>
    <s v="Not Tested"/>
    <n v="160"/>
    <n v="79"/>
    <x v="1"/>
    <s v="160/79"/>
    <n v="66"/>
    <n v="22"/>
    <n v="37.700000000000003"/>
    <n v="44.3"/>
    <s v="Obese"/>
    <n v="98"/>
    <s v="8480-6"/>
    <s v="8462-4"/>
    <s v="8867-4"/>
    <s v="39156-5"/>
    <s v="59408-5"/>
  </r>
  <r>
    <s v="PID-0093"/>
    <s v="ENC-0093-03"/>
    <x v="247"/>
    <x v="2"/>
    <x v="0"/>
    <x v="5"/>
    <s v="Dr. S. Okonkwo"/>
    <d v="1958-11-07T00:00:00"/>
    <n v="67"/>
    <x v="2"/>
    <x v="0"/>
    <s v="East Asian"/>
    <x v="3"/>
    <x v="0"/>
    <x v="1"/>
    <s v="LD27"/>
    <s v="Genitourinary"/>
    <x v="7"/>
    <x v="0"/>
    <s v="Atorvastatin 40mg ON; Metoprolol 50mg BD; Furosemide 40mg OD"/>
    <n v="3"/>
    <s v="718-7"/>
    <s v="Biochemistry"/>
    <s v="Haemoglobin"/>
    <x v="0"/>
    <s v="Not Tested"/>
    <n v="137"/>
    <n v="110"/>
    <x v="1"/>
    <s v="137/110"/>
    <n v="53"/>
    <n v="23"/>
    <n v="36.4"/>
    <n v="22.4"/>
    <s v="Non-Obese"/>
    <n v="88"/>
    <s v="8480-6"/>
    <s v="8462-4"/>
    <s v="8867-4"/>
    <s v="39156-5"/>
    <s v="59408-5"/>
  </r>
  <r>
    <s v="PID-0094"/>
    <s v="ENC-0094-01"/>
    <x v="29"/>
    <x v="0"/>
    <x v="2"/>
    <x v="0"/>
    <s v="NP J. Nakamura"/>
    <d v="1999-04-14T00:00:00"/>
    <n v="26"/>
    <x v="0"/>
    <x v="0"/>
    <s v="White European"/>
    <x v="3"/>
    <x v="3"/>
    <x v="0"/>
    <s v="5A10"/>
    <s v="Endocrine"/>
    <x v="1"/>
    <x v="1"/>
    <s v="Salbutamol 100mcg PRN; Ramipril 5mg OD; Furosemide 40mg OD"/>
    <n v="3"/>
    <s v="6768-6"/>
    <s v="Biochemistry"/>
    <s v="ALP"/>
    <x v="1"/>
    <s v="Not Tested"/>
    <n v="144"/>
    <n v="74"/>
    <x v="1"/>
    <s v="144/74"/>
    <n v="122"/>
    <n v="15"/>
    <n v="36.1"/>
    <n v="22.4"/>
    <s v="Non-Obese"/>
    <n v="88"/>
    <s v="8480-6"/>
    <s v="8462-4"/>
    <s v="8867-4"/>
    <s v="39156-5"/>
    <s v="59408-5"/>
  </r>
  <r>
    <s v="PID-0094"/>
    <s v="ENC-0094-02"/>
    <x v="248"/>
    <x v="4"/>
    <x v="0"/>
    <x v="3"/>
    <s v="Dr. Y. Kim"/>
    <d v="1999-04-14T00:00:00"/>
    <n v="26"/>
    <x v="0"/>
    <x v="0"/>
    <s v="East Asian"/>
    <x v="3"/>
    <x v="3"/>
    <x v="0"/>
    <s v="5A10"/>
    <s v="Endocrine"/>
    <x v="1"/>
    <x v="1"/>
    <s v="Amlodipine 5mg OD"/>
    <n v="1"/>
    <s v="4548-4"/>
    <s v="Biochemistry"/>
    <s v="HbA1c"/>
    <x v="1"/>
    <s v="High"/>
    <n v="99"/>
    <n v="61"/>
    <x v="0"/>
    <s v="99/61"/>
    <n v="114"/>
    <n v="22"/>
    <n v="38.5"/>
    <n v="17.899999999999999"/>
    <s v="Non-Obese"/>
    <n v="93"/>
    <s v="8480-6"/>
    <s v="8462-4"/>
    <s v="8867-4"/>
    <s v="39156-5"/>
    <s v="59408-5"/>
  </r>
  <r>
    <s v="PID-0094"/>
    <s v="ENC-0094-03"/>
    <x v="249"/>
    <x v="2"/>
    <x v="1"/>
    <x v="9"/>
    <s v="Dr. S. Okonkwo"/>
    <d v="1999-04-14T00:00:00"/>
    <n v="26"/>
    <x v="0"/>
    <x v="0"/>
    <s v="Hispanic/Latino"/>
    <x v="3"/>
    <x v="3"/>
    <x v="0"/>
    <s v="5A10"/>
    <s v="Endocrine"/>
    <x v="1"/>
    <x v="1"/>
    <s v="None; Lisinopril 10mg OD"/>
    <n v="2"/>
    <s v="2777-1"/>
    <s v="Biochemistry"/>
    <s v="Serum phosphate"/>
    <x v="0"/>
    <s v="Not Tested"/>
    <n v="168"/>
    <n v="101"/>
    <x v="1"/>
    <s v="168/101"/>
    <n v="102"/>
    <n v="15"/>
    <n v="38"/>
    <n v="32.4"/>
    <s v="Obese"/>
    <n v="92"/>
    <s v="8480-6"/>
    <s v="8462-4"/>
    <s v="8867-4"/>
    <s v="39156-5"/>
    <s v="59408-5"/>
  </r>
  <r>
    <s v="PID-0094"/>
    <s v="ENC-0094-04"/>
    <x v="250"/>
    <x v="0"/>
    <x v="0"/>
    <x v="8"/>
    <s v="Dr. S. Okonkwo"/>
    <d v="1999-04-14T00:00:00"/>
    <n v="26"/>
    <x v="0"/>
    <x v="0"/>
    <s v="Middle Eastern"/>
    <x v="3"/>
    <x v="3"/>
    <x v="0"/>
    <s v="5A10"/>
    <s v="Endocrine"/>
    <x v="1"/>
    <x v="1"/>
    <s v="Metoprolol 50mg BD; Warfarin (variable)"/>
    <n v="2"/>
    <s v="2823-3"/>
    <s v="Biochemistry"/>
    <s v="Serum potassium"/>
    <x v="0"/>
    <s v="Not Tested"/>
    <n v="122"/>
    <n v="80"/>
    <x v="0"/>
    <s v="122/80"/>
    <n v="92"/>
    <n v="15"/>
    <n v="39.200000000000003"/>
    <n v="45.3"/>
    <s v="Obese"/>
    <n v="95"/>
    <s v="8480-6"/>
    <s v="8462-4"/>
    <s v="8867-4"/>
    <s v="39156-5"/>
    <s v="59408-5"/>
  </r>
  <r>
    <s v="PID-0094"/>
    <s v="ENC-0094-05"/>
    <x v="251"/>
    <x v="0"/>
    <x v="2"/>
    <x v="9"/>
    <s v="Dr. A. Mwangi"/>
    <d v="1999-04-14T00:00:00"/>
    <n v="26"/>
    <x v="0"/>
    <x v="0"/>
    <s v="Black African"/>
    <x v="3"/>
    <x v="3"/>
    <x v="0"/>
    <s v="5A10"/>
    <s v="Endocrine"/>
    <x v="1"/>
    <x v="1"/>
    <s v="Warfarin (variable); Ramipril 5mg OD; Bisoprolol 5mg OD"/>
    <n v="3"/>
    <s v="4548-4"/>
    <s v="Biochemistry"/>
    <s v="HbA1c"/>
    <x v="1"/>
    <s v="High"/>
    <n v="157"/>
    <n v="113"/>
    <x v="1"/>
    <s v="157/113"/>
    <n v="86"/>
    <n v="15"/>
    <n v="38.1"/>
    <n v="18.7"/>
    <s v="Non-Obese"/>
    <n v="95"/>
    <s v="8480-6"/>
    <s v="8462-4"/>
    <s v="8867-4"/>
    <s v="39156-5"/>
    <s v="59408-5"/>
  </r>
  <r>
    <s v="PID-0094"/>
    <s v="ENC-0094-06"/>
    <x v="252"/>
    <x v="4"/>
    <x v="4"/>
    <x v="8"/>
    <s v="Dr. S. Okonkwo"/>
    <d v="1999-04-14T00:00:00"/>
    <n v="26"/>
    <x v="0"/>
    <x v="0"/>
    <s v="South Asian"/>
    <x v="3"/>
    <x v="3"/>
    <x v="0"/>
    <s v="5A10"/>
    <s v="Endocrine"/>
    <x v="1"/>
    <x v="1"/>
    <s v="Clopidogrel 75mg OD; None; Levothyroxine 50mcg OD; Ramipril 5mg OD"/>
    <n v="4"/>
    <s v="2085-9"/>
    <s v="Biochemistry"/>
    <s v="HDL cholesterol"/>
    <x v="0"/>
    <s v="Not Tested"/>
    <n v="100"/>
    <n v="87"/>
    <x v="0"/>
    <s v="100/87"/>
    <n v="62"/>
    <n v="12"/>
    <n v="37.6"/>
    <n v="19.5"/>
    <s v="Non-Obese"/>
    <n v="90"/>
    <s v="8480-6"/>
    <s v="8462-4"/>
    <s v="8867-4"/>
    <s v="39156-5"/>
    <s v="59408-5"/>
  </r>
  <r>
    <s v="PID-0095"/>
    <s v="ENC-0095-01"/>
    <x v="253"/>
    <x v="4"/>
    <x v="4"/>
    <x v="0"/>
    <s v="Dr. A. Mwangi"/>
    <d v="1995-04-24T00:00:00"/>
    <n v="30"/>
    <x v="0"/>
    <x v="0"/>
    <s v="Hispanic/Latino"/>
    <x v="3"/>
    <x v="2"/>
    <x v="0"/>
    <s v="8A25"/>
    <s v="Neurological"/>
    <x v="3"/>
    <x v="1"/>
    <s v="Insulin glargine 20u ON; Bisoprolol 5mg OD"/>
    <n v="2"/>
    <s v="2085-9"/>
    <s v="Biochemistry"/>
    <s v="HDL cholesterol"/>
    <x v="0"/>
    <s v="Not Tested"/>
    <n v="100"/>
    <n v="81"/>
    <x v="0"/>
    <s v="100/81"/>
    <n v="66"/>
    <n v="22"/>
    <n v="36.6"/>
    <n v="28.1"/>
    <s v="Non-Obese"/>
    <n v="93"/>
    <s v="8480-6"/>
    <s v="8462-4"/>
    <s v="8867-4"/>
    <s v="39156-5"/>
    <s v="59408-5"/>
  </r>
  <r>
    <s v="PID-0095"/>
    <s v="ENC-0095-02"/>
    <x v="160"/>
    <x v="2"/>
    <x v="2"/>
    <x v="8"/>
    <s v="Dr. S. Okonkwo"/>
    <d v="1995-04-24T00:00:00"/>
    <n v="30"/>
    <x v="0"/>
    <x v="0"/>
    <s v="East Asian"/>
    <x v="3"/>
    <x v="2"/>
    <x v="0"/>
    <s v="8A25"/>
    <s v="Neurological"/>
    <x v="3"/>
    <x v="1"/>
    <s v="None; Furosemide 40mg OD"/>
    <n v="2"/>
    <s v="2777-1"/>
    <s v="Biochemistry"/>
    <s v="Serum phosphate"/>
    <x v="0"/>
    <s v="Not Tested"/>
    <n v="100"/>
    <n v="63"/>
    <x v="0"/>
    <s v="100/63"/>
    <n v="114"/>
    <n v="19"/>
    <n v="36.5"/>
    <n v="27.3"/>
    <s v="Non-Obese"/>
    <n v="99"/>
    <s v="8480-6"/>
    <s v="8462-4"/>
    <s v="8867-4"/>
    <s v="39156-5"/>
    <s v="59408-5"/>
  </r>
  <r>
    <s v="PID-0096"/>
    <s v="ENC-0096-01"/>
    <x v="218"/>
    <x v="2"/>
    <x v="0"/>
    <x v="6"/>
    <s v="Dr. T. Osei"/>
    <d v="1980-10-16T00:00:00"/>
    <n v="45"/>
    <x v="1"/>
    <x v="1"/>
    <s v="East Asian"/>
    <x v="1"/>
    <x v="1"/>
    <x v="3"/>
    <s v="LA90"/>
    <s v="Renal"/>
    <x v="2"/>
    <x v="1"/>
    <s v="Dapagliflozin 10mg OD"/>
    <n v="1"/>
    <s v="2345-7"/>
    <s v="Biochemistry"/>
    <s v="Serum glucose (fasting)"/>
    <x v="0"/>
    <s v="Not Tested"/>
    <n v="147"/>
    <n v="109"/>
    <x v="1"/>
    <s v="147/109"/>
    <n v="94"/>
    <n v="14"/>
    <n v="37.799999999999997"/>
    <n v="17.600000000000001"/>
    <s v="Non-Obese"/>
    <n v="100"/>
    <s v="8480-6"/>
    <s v="8462-4"/>
    <s v="8867-4"/>
    <s v="39156-5"/>
    <s v="59408-5"/>
  </r>
  <r>
    <s v="PID-0096"/>
    <s v="ENC-0096-02"/>
    <x v="254"/>
    <x v="0"/>
    <x v="1"/>
    <x v="5"/>
    <s v="Dr. A. Mwangi"/>
    <d v="1980-10-16T00:00:00"/>
    <n v="45"/>
    <x v="1"/>
    <x v="1"/>
    <s v="East Asian"/>
    <x v="1"/>
    <x v="1"/>
    <x v="3"/>
    <s v="LA90"/>
    <s v="Renal"/>
    <x v="2"/>
    <x v="1"/>
    <s v="Salbutamol 100mcg PRN; Insulin glargine 20u ON"/>
    <n v="2"/>
    <s v="6690-2"/>
    <s v="Biochemistry"/>
    <s v="WBC count"/>
    <x v="2"/>
    <s v="Not Tested"/>
    <n v="158"/>
    <n v="61"/>
    <x v="1"/>
    <s v="158/61"/>
    <n v="87"/>
    <n v="13"/>
    <n v="38.4"/>
    <n v="37.299999999999997"/>
    <s v="Obese"/>
    <n v="92"/>
    <s v="8480-6"/>
    <s v="8462-4"/>
    <s v="8867-4"/>
    <s v="39156-5"/>
    <s v="59408-5"/>
  </r>
  <r>
    <s v="PID-0096"/>
    <s v="ENC-0096-03"/>
    <x v="18"/>
    <x v="1"/>
    <x v="3"/>
    <x v="4"/>
    <s v="Dr. A. Mwangi"/>
    <d v="1980-10-16T00:00:00"/>
    <n v="45"/>
    <x v="1"/>
    <x v="1"/>
    <s v="South Asian"/>
    <x v="1"/>
    <x v="1"/>
    <x v="3"/>
    <s v="LA90"/>
    <s v="Renal"/>
    <x v="2"/>
    <x v="1"/>
    <s v="Furosemide 40mg OD; Insulin glargine 20u ON; Metoprolol 50mg BD; Amlodipine 5mg OD"/>
    <n v="4"/>
    <s v="17861-6"/>
    <s v="Biochemistry"/>
    <s v="Serum calcium"/>
    <x v="1"/>
    <s v="Not Tested"/>
    <n v="122"/>
    <n v="97"/>
    <x v="1"/>
    <s v="122/97"/>
    <n v="114"/>
    <n v="24"/>
    <n v="36.1"/>
    <n v="30.5"/>
    <s v="Obese"/>
    <n v="97"/>
    <s v="8480-6"/>
    <s v="8462-4"/>
    <s v="8867-4"/>
    <s v="39156-5"/>
    <s v="59408-5"/>
  </r>
  <r>
    <s v="PID-0097"/>
    <s v="ENC-0097-01"/>
    <x v="255"/>
    <x v="4"/>
    <x v="1"/>
    <x v="4"/>
    <s v="Dr. R. Mendes"/>
    <d v="1973-12-20T00:00:00"/>
    <n v="52"/>
    <x v="3"/>
    <x v="1"/>
    <s v="Mixed/Other"/>
    <x v="1"/>
    <x v="3"/>
    <x v="0"/>
    <s v="8A00"/>
    <s v="Neurological"/>
    <x v="9"/>
    <x v="0"/>
    <s v="Prednisolone 5mg OD"/>
    <n v="1"/>
    <s v="2093-3"/>
    <s v="Biochemistry"/>
    <s v="Total cholesterol"/>
    <x v="0"/>
    <s v="Not Tested"/>
    <n v="128"/>
    <n v="58"/>
    <x v="0"/>
    <s v="128/58"/>
    <n v="79"/>
    <n v="19"/>
    <n v="36.1"/>
    <n v="27.9"/>
    <s v="Non-Obese"/>
    <n v="95"/>
    <s v="8480-6"/>
    <s v="8462-4"/>
    <s v="8867-4"/>
    <s v="39156-5"/>
    <s v="59408-5"/>
  </r>
  <r>
    <s v="PID-0097"/>
    <s v="ENC-0097-02"/>
    <x v="156"/>
    <x v="3"/>
    <x v="4"/>
    <x v="2"/>
    <s v="Dr. S. Okonkwo"/>
    <d v="1973-12-20T00:00:00"/>
    <n v="52"/>
    <x v="3"/>
    <x v="1"/>
    <s v="South Asian"/>
    <x v="1"/>
    <x v="3"/>
    <x v="0"/>
    <s v="8A00"/>
    <s v="Neurological"/>
    <x v="9"/>
    <x v="0"/>
    <s v="Insulin glargine 20u ON; Bisoprolol 5mg OD; Empagliflozin 10mg OD"/>
    <n v="3"/>
    <s v="17861-6"/>
    <s v="Biochemistry"/>
    <s v="Serum calcium"/>
    <x v="1"/>
    <s v="Not Tested"/>
    <n v="153"/>
    <n v="99"/>
    <x v="1"/>
    <s v="153/99"/>
    <n v="106"/>
    <n v="26"/>
    <n v="38.200000000000003"/>
    <n v="39"/>
    <s v="Obese"/>
    <n v="97"/>
    <s v="8480-6"/>
    <s v="8462-4"/>
    <s v="8867-4"/>
    <s v="39156-5"/>
    <s v="59408-5"/>
  </r>
  <r>
    <s v="PID-0097"/>
    <s v="ENC-0097-03"/>
    <x v="256"/>
    <x v="3"/>
    <x v="0"/>
    <x v="5"/>
    <s v="Dr. T. Osei"/>
    <d v="1973-12-20T00:00:00"/>
    <n v="52"/>
    <x v="3"/>
    <x v="1"/>
    <s v="White European"/>
    <x v="1"/>
    <x v="3"/>
    <x v="0"/>
    <s v="8A00"/>
    <s v="Neurological"/>
    <x v="9"/>
    <x v="0"/>
    <s v="None; Insulin glargine 20u ON; Metformin 1g BD; Warfarin (variable)"/>
    <n v="4"/>
    <s v="17861-6"/>
    <s v="Biochemistry"/>
    <s v="Serum calcium"/>
    <x v="1"/>
    <s v="Not Tested"/>
    <n v="136"/>
    <n v="85"/>
    <x v="0"/>
    <s v="136/85"/>
    <n v="112"/>
    <n v="20"/>
    <n v="37.700000000000003"/>
    <n v="41"/>
    <s v="Obese"/>
    <n v="99"/>
    <s v="8480-6"/>
    <s v="8462-4"/>
    <s v="8867-4"/>
    <s v="39156-5"/>
    <s v="59408-5"/>
  </r>
  <r>
    <s v="PID-0098"/>
    <s v="ENC-0098-01"/>
    <x v="170"/>
    <x v="4"/>
    <x v="0"/>
    <x v="2"/>
    <s v="Dr. R. Mendes"/>
    <d v="1998-02-06T00:00:00"/>
    <n v="27"/>
    <x v="0"/>
    <x v="1"/>
    <s v="Middle Eastern"/>
    <x v="0"/>
    <x v="1"/>
    <x v="3"/>
    <s v="CA22"/>
    <s v="Respiratory"/>
    <x v="10"/>
    <x v="1"/>
    <s v="Omeprazole 20mg OD"/>
    <n v="1"/>
    <s v="6690-2"/>
    <s v="Biochemistry"/>
    <s v="WBC count"/>
    <x v="2"/>
    <s v="Not Tested"/>
    <n v="181"/>
    <n v="56"/>
    <x v="1"/>
    <s v="181/56"/>
    <n v="81"/>
    <n v="23"/>
    <n v="39"/>
    <n v="31"/>
    <s v="Obese"/>
    <n v="92"/>
    <s v="8480-6"/>
    <s v="8462-4"/>
    <s v="8867-4"/>
    <s v="39156-5"/>
    <s v="59408-5"/>
  </r>
  <r>
    <s v="PID-0099"/>
    <s v="ENC-0099-01"/>
    <x v="257"/>
    <x v="2"/>
    <x v="4"/>
    <x v="0"/>
    <s v="Dr. L. Patel"/>
    <d v="1955-10-11T00:00:00"/>
    <n v="70"/>
    <x v="2"/>
    <x v="1"/>
    <s v="Middle Eastern"/>
    <x v="3"/>
    <x v="1"/>
    <x v="1"/>
    <s v="5A10"/>
    <s v="Endocrine"/>
    <x v="1"/>
    <x v="1"/>
    <s v="Metoprolol 50mg BD; Furosemide 40mg OD; Clopidogrel 75mg OD"/>
    <n v="3"/>
    <s v="17861-6"/>
    <s v="Biochemistry"/>
    <s v="Serum calcium"/>
    <x v="1"/>
    <s v="Not Tested"/>
    <n v="123"/>
    <n v="102"/>
    <x v="1"/>
    <s v="123/102"/>
    <n v="67"/>
    <n v="18"/>
    <n v="36.9"/>
    <n v="41.6"/>
    <s v="Obese"/>
    <n v="89"/>
    <s v="8480-6"/>
    <s v="8462-4"/>
    <s v="8867-4"/>
    <s v="39156-5"/>
    <s v="59408-5"/>
  </r>
  <r>
    <s v="PID-0099"/>
    <s v="ENC-0099-02"/>
    <x v="19"/>
    <x v="2"/>
    <x v="0"/>
    <x v="4"/>
    <s v="Dr. F. Hassan"/>
    <d v="1955-10-11T00:00:00"/>
    <n v="70"/>
    <x v="2"/>
    <x v="1"/>
    <s v="White European"/>
    <x v="3"/>
    <x v="1"/>
    <x v="1"/>
    <s v="5A10"/>
    <s v="Endocrine"/>
    <x v="1"/>
    <x v="1"/>
    <s v="Insulin glargine 20u ON; Furosemide 40mg OD; Warfarin (variable)"/>
    <n v="3"/>
    <s v="2951-2"/>
    <s v="Biochemistry"/>
    <s v="Serum sodium"/>
    <x v="2"/>
    <s v="Not Tested"/>
    <n v="157"/>
    <n v="95"/>
    <x v="1"/>
    <s v="157/95"/>
    <n v="62"/>
    <n v="16"/>
    <n v="36.1"/>
    <n v="26.5"/>
    <s v="Non-Obese"/>
    <n v="89"/>
    <s v="8480-6"/>
    <s v="8462-4"/>
    <s v="8867-4"/>
    <s v="39156-5"/>
    <s v="59408-5"/>
  </r>
  <r>
    <s v="PID-0099"/>
    <s v="ENC-0099-03"/>
    <x v="258"/>
    <x v="0"/>
    <x v="4"/>
    <x v="9"/>
    <s v="Dr. Y. Kim"/>
    <d v="1955-10-11T00:00:00"/>
    <n v="70"/>
    <x v="2"/>
    <x v="1"/>
    <s v="Middle Eastern"/>
    <x v="3"/>
    <x v="1"/>
    <x v="1"/>
    <s v="5A10"/>
    <s v="Endocrine"/>
    <x v="1"/>
    <x v="1"/>
    <s v="Levothyroxine 50mcg OD; Salbutamol 100mcg PRN; Amlodipine 5mg OD; Empagliflozin 10mg OD"/>
    <n v="4"/>
    <s v="2777-1"/>
    <s v="Biochemistry"/>
    <s v="Serum phosphate"/>
    <x v="0"/>
    <s v="Not Tested"/>
    <n v="135"/>
    <n v="114"/>
    <x v="1"/>
    <s v="135/114"/>
    <n v="90"/>
    <n v="14"/>
    <n v="36.1"/>
    <n v="44"/>
    <s v="Obese"/>
    <n v="97"/>
    <s v="8480-6"/>
    <s v="8462-4"/>
    <s v="8867-4"/>
    <s v="39156-5"/>
    <s v="59408-5"/>
  </r>
  <r>
    <s v="PID-0099"/>
    <s v="ENC-0099-04"/>
    <x v="259"/>
    <x v="2"/>
    <x v="0"/>
    <x v="1"/>
    <s v="Dr. A. Mwangi"/>
    <d v="1955-10-11T00:00:00"/>
    <n v="70"/>
    <x v="2"/>
    <x v="1"/>
    <s v="East Asian"/>
    <x v="3"/>
    <x v="1"/>
    <x v="1"/>
    <s v="5A10"/>
    <s v="Endocrine"/>
    <x v="1"/>
    <x v="1"/>
    <s v="Salbutamol 100mcg PRN"/>
    <n v="1"/>
    <s v="13457-7"/>
    <s v="Biochemistry"/>
    <s v="LDL cholesterol"/>
    <x v="1"/>
    <s v="Not Tested"/>
    <n v="155"/>
    <n v="103"/>
    <x v="1"/>
    <s v="155/103"/>
    <n v="105"/>
    <n v="27"/>
    <n v="37.1"/>
    <n v="20.7"/>
    <s v="Non-Obese"/>
    <n v="93"/>
    <s v="8480-6"/>
    <s v="8462-4"/>
    <s v="8867-4"/>
    <s v="39156-5"/>
    <s v="59408-5"/>
  </r>
  <r>
    <s v="PID-0100"/>
    <s v="ENC-0100-01"/>
    <x v="188"/>
    <x v="3"/>
    <x v="1"/>
    <x v="6"/>
    <s v="Dr. F. Hassan"/>
    <d v="1950-06-03T00:00:00"/>
    <n v="75"/>
    <x v="2"/>
    <x v="0"/>
    <s v="East Asian"/>
    <x v="0"/>
    <x v="2"/>
    <x v="1"/>
    <s v="5A10"/>
    <s v="Endocrine"/>
    <x v="1"/>
    <x v="1"/>
    <s v="Insulin glargine 20u ON"/>
    <n v="1"/>
    <s v="2951-2"/>
    <s v="Biochemistry"/>
    <s v="Serum sodium"/>
    <x v="2"/>
    <s v="Not Tested"/>
    <n v="143"/>
    <n v="82"/>
    <x v="1"/>
    <s v="143/82"/>
    <n v="100"/>
    <n v="13"/>
    <n v="37.6"/>
    <n v="23"/>
    <s v="Non-Obese"/>
    <n v="91"/>
    <s v="8480-6"/>
    <s v="8462-4"/>
    <s v="8867-4"/>
    <s v="39156-5"/>
    <s v="59408-5"/>
  </r>
  <r>
    <s v="PID-0101"/>
    <s v="ENC-0101-01"/>
    <x v="260"/>
    <x v="4"/>
    <x v="4"/>
    <x v="9"/>
    <s v="Dr. F. Hassan"/>
    <d v="2006-05-12T00:00:00"/>
    <n v="19"/>
    <x v="0"/>
    <x v="1"/>
    <s v="Black African"/>
    <x v="3"/>
    <x v="0"/>
    <x v="3"/>
    <s v="GC43"/>
    <s v="Mental health"/>
    <x v="14"/>
    <x v="1"/>
    <s v="Salbutamol 100mcg PRN; Clopidogrel 75mg OD; Metformin 1g BD; None"/>
    <n v="4"/>
    <s v="2093-3"/>
    <s v="Biochemistry"/>
    <s v="Total cholesterol"/>
    <x v="0"/>
    <s v="Not Tested"/>
    <n v="162"/>
    <n v="80"/>
    <x v="1"/>
    <s v="162/80"/>
    <n v="83"/>
    <n v="15"/>
    <n v="38.299999999999997"/>
    <n v="43.1"/>
    <s v="Obese"/>
    <n v="96"/>
    <s v="8480-6"/>
    <s v="8462-4"/>
    <s v="8867-4"/>
    <s v="39156-5"/>
    <s v="59408-5"/>
  </r>
  <r>
    <s v="PID-0101"/>
    <s v="ENC-0101-02"/>
    <x v="261"/>
    <x v="3"/>
    <x v="4"/>
    <x v="7"/>
    <s v="NP J. Nakamura"/>
    <d v="2006-05-12T00:00:00"/>
    <n v="19"/>
    <x v="0"/>
    <x v="1"/>
    <s v="Black African"/>
    <x v="3"/>
    <x v="0"/>
    <x v="3"/>
    <s v="GC43"/>
    <s v="Mental health"/>
    <x v="14"/>
    <x v="1"/>
    <s v="Warfarin (variable); Furosemide 40mg OD"/>
    <n v="2"/>
    <s v="4548-4"/>
    <s v="Biochemistry"/>
    <s v="HbA1c"/>
    <x v="1"/>
    <s v="High"/>
    <n v="163"/>
    <n v="60"/>
    <x v="1"/>
    <s v="163/60"/>
    <n v="81"/>
    <n v="27"/>
    <n v="37.299999999999997"/>
    <n v="33.299999999999997"/>
    <s v="Obese"/>
    <n v="96"/>
    <s v="8480-6"/>
    <s v="8462-4"/>
    <s v="8867-4"/>
    <s v="39156-5"/>
    <s v="59408-5"/>
  </r>
  <r>
    <s v="PID-0101"/>
    <s v="ENC-0101-03"/>
    <x v="92"/>
    <x v="3"/>
    <x v="1"/>
    <x v="2"/>
    <s v="Dr. S. Okonkwo"/>
    <d v="2006-05-12T00:00:00"/>
    <n v="19"/>
    <x v="0"/>
    <x v="1"/>
    <s v="Middle Eastern"/>
    <x v="3"/>
    <x v="0"/>
    <x v="3"/>
    <s v="GC43"/>
    <s v="Mental health"/>
    <x v="14"/>
    <x v="1"/>
    <s v="Atorvastatin 40mg ON; Omeprazole 20mg OD; Ramipril 5mg OD; Furosemide 40mg OD"/>
    <n v="4"/>
    <s v="2777-1"/>
    <s v="Biochemistry"/>
    <s v="Serum phosphate"/>
    <x v="0"/>
    <s v="Not Tested"/>
    <n v="170"/>
    <n v="73"/>
    <x v="1"/>
    <s v="170/73"/>
    <n v="92"/>
    <n v="19"/>
    <n v="36.1"/>
    <n v="17.600000000000001"/>
    <s v="Non-Obese"/>
    <n v="90"/>
    <s v="8480-6"/>
    <s v="8462-4"/>
    <s v="8867-4"/>
    <s v="39156-5"/>
    <s v="59408-5"/>
  </r>
  <r>
    <s v="PID-0102"/>
    <s v="ENC-0102-01"/>
    <x v="262"/>
    <x v="4"/>
    <x v="4"/>
    <x v="0"/>
    <s v="Dr. A. Mwangi"/>
    <d v="1944-02-20T00:00:00"/>
    <n v="81"/>
    <x v="2"/>
    <x v="1"/>
    <s v="South Asian"/>
    <x v="3"/>
    <x v="1"/>
    <x v="1"/>
    <s v="GC43"/>
    <s v="Mental health"/>
    <x v="14"/>
    <x v="1"/>
    <s v="Levothyroxine 50mcg OD; Metoprolol 50mg BD"/>
    <n v="2"/>
    <s v="2085-9"/>
    <s v="Biochemistry"/>
    <s v="HDL cholesterol"/>
    <x v="0"/>
    <s v="Not Tested"/>
    <n v="183"/>
    <n v="104"/>
    <x v="1"/>
    <s v="183/104"/>
    <n v="78"/>
    <n v="24"/>
    <n v="36.1"/>
    <n v="24.9"/>
    <s v="Non-Obese"/>
    <n v="95"/>
    <s v="8480-6"/>
    <s v="8462-4"/>
    <s v="8867-4"/>
    <s v="39156-5"/>
    <s v="59408-5"/>
  </r>
  <r>
    <s v="PID-0102"/>
    <s v="ENC-0102-02"/>
    <x v="263"/>
    <x v="2"/>
    <x v="4"/>
    <x v="4"/>
    <s v="Dr. Y. Kim"/>
    <d v="1944-02-20T00:00:00"/>
    <n v="81"/>
    <x v="2"/>
    <x v="1"/>
    <s v="South Asian"/>
    <x v="3"/>
    <x v="1"/>
    <x v="1"/>
    <s v="GC43"/>
    <s v="Mental health"/>
    <x v="14"/>
    <x v="1"/>
    <s v="Atorvastatin 40mg ON; Furosemide 40mg OD"/>
    <n v="2"/>
    <s v="2345-7"/>
    <s v="Biochemistry"/>
    <s v="Serum glucose (fasting)"/>
    <x v="0"/>
    <s v="Not Tested"/>
    <n v="133"/>
    <n v="110"/>
    <x v="1"/>
    <s v="133/110"/>
    <n v="77"/>
    <n v="17"/>
    <n v="37.700000000000003"/>
    <n v="44.2"/>
    <s v="Obese"/>
    <n v="94"/>
    <s v="8480-6"/>
    <s v="8462-4"/>
    <s v="8867-4"/>
    <s v="39156-5"/>
    <s v="59408-5"/>
  </r>
  <r>
    <s v="PID-0102"/>
    <s v="ENC-0102-03"/>
    <x v="264"/>
    <x v="4"/>
    <x v="1"/>
    <x v="7"/>
    <s v="Dr. R. Mendes"/>
    <d v="1944-02-20T00:00:00"/>
    <n v="81"/>
    <x v="2"/>
    <x v="1"/>
    <s v="Middle Eastern"/>
    <x v="3"/>
    <x v="1"/>
    <x v="1"/>
    <s v="GC43"/>
    <s v="Mental health"/>
    <x v="14"/>
    <x v="1"/>
    <s v="Ramipril 5mg OD; Levothyroxine 50mcg OD; Furosemide 40mg OD; Atorvastatin 40mg ON"/>
    <n v="4"/>
    <s v="6768-6"/>
    <s v="Biochemistry"/>
    <s v="ALP"/>
    <x v="1"/>
    <s v="Not Tested"/>
    <n v="158"/>
    <n v="77"/>
    <x v="1"/>
    <s v="158/77"/>
    <n v="90"/>
    <n v="18"/>
    <n v="36.5"/>
    <n v="21.4"/>
    <s v="Non-Obese"/>
    <n v="91"/>
    <s v="8480-6"/>
    <s v="8462-4"/>
    <s v="8867-4"/>
    <s v="39156-5"/>
    <s v="59408-5"/>
  </r>
  <r>
    <s v="PID-0102"/>
    <s v="ENC-0102-04"/>
    <x v="100"/>
    <x v="3"/>
    <x v="0"/>
    <x v="5"/>
    <s v="Dr. L. Patel"/>
    <d v="1944-02-20T00:00:00"/>
    <n v="81"/>
    <x v="2"/>
    <x v="1"/>
    <s v="Black African"/>
    <x v="3"/>
    <x v="1"/>
    <x v="1"/>
    <s v="GC43"/>
    <s v="Mental health"/>
    <x v="14"/>
    <x v="1"/>
    <s v="Ramipril 5mg OD"/>
    <n v="1"/>
    <s v="2345-7"/>
    <s v="Biochemistry"/>
    <s v="Serum glucose (fasting)"/>
    <x v="0"/>
    <s v="Not Tested"/>
    <n v="167"/>
    <n v="89"/>
    <x v="1"/>
    <s v="167/89"/>
    <n v="102"/>
    <n v="27"/>
    <n v="38.700000000000003"/>
    <n v="37.799999999999997"/>
    <s v="Obese"/>
    <n v="96"/>
    <s v="8480-6"/>
    <s v="8462-4"/>
    <s v="8867-4"/>
    <s v="39156-5"/>
    <s v="59408-5"/>
  </r>
  <r>
    <s v="PID-0102"/>
    <s v="ENC-0102-05"/>
    <x v="141"/>
    <x v="1"/>
    <x v="1"/>
    <x v="0"/>
    <s v="Dr. L. Patel"/>
    <d v="1944-02-20T00:00:00"/>
    <n v="81"/>
    <x v="2"/>
    <x v="1"/>
    <s v="Hispanic/Latino"/>
    <x v="3"/>
    <x v="1"/>
    <x v="1"/>
    <s v="GC43"/>
    <s v="Mental health"/>
    <x v="14"/>
    <x v="1"/>
    <s v="Omeprazole 20mg OD; Amlodipine 5mg OD"/>
    <n v="2"/>
    <s v="2345-7"/>
    <s v="Biochemistry"/>
    <s v="Serum glucose (fasting)"/>
    <x v="0"/>
    <s v="Not Tested"/>
    <n v="126"/>
    <n v="96"/>
    <x v="1"/>
    <s v="126/96"/>
    <n v="60"/>
    <n v="19"/>
    <n v="39.200000000000003"/>
    <n v="32.4"/>
    <s v="Obese"/>
    <n v="100"/>
    <s v="8480-6"/>
    <s v="8462-4"/>
    <s v="8867-4"/>
    <s v="39156-5"/>
    <s v="59408-5"/>
  </r>
  <r>
    <s v="PID-0103"/>
    <s v="ENC-0103-01"/>
    <x v="265"/>
    <x v="1"/>
    <x v="0"/>
    <x v="5"/>
    <s v="Dr. R. Mendes"/>
    <d v="1968-03-07T00:00:00"/>
    <n v="57"/>
    <x v="3"/>
    <x v="0"/>
    <s v="Mixed/Other"/>
    <x v="3"/>
    <x v="0"/>
    <x v="0"/>
    <s v="JA00"/>
    <s v="Infectious"/>
    <x v="12"/>
    <x v="0"/>
    <s v="Lisinopril 10mg OD; Metformin 1g BD; Omeprazole 20mg OD"/>
    <n v="3"/>
    <s v="2951-2"/>
    <s v="Biochemistry"/>
    <s v="Serum sodium"/>
    <x v="2"/>
    <s v="Not Tested"/>
    <n v="163"/>
    <s v="Not Recorded"/>
    <x v="2"/>
    <s v="163/Not Recorded"/>
    <n v="58"/>
    <n v="25"/>
    <n v="37.6"/>
    <n v="19.2"/>
    <s v="Non-Obese"/>
    <n v="89"/>
    <s v="8480-6"/>
    <s v="8462-4"/>
    <s v="8867-4"/>
    <s v="39156-5"/>
    <s v="59408-5"/>
  </r>
  <r>
    <s v="PID-0104"/>
    <s v="ENC-0104-01"/>
    <x v="266"/>
    <x v="2"/>
    <x v="3"/>
    <x v="4"/>
    <s v="Dr. L. Patel"/>
    <d v="1963-06-06T00:00:00"/>
    <n v="62"/>
    <x v="3"/>
    <x v="1"/>
    <s v="East Asian"/>
    <x v="0"/>
    <x v="0"/>
    <x v="0"/>
    <s v="BA80,5A11,5A00"/>
    <s v="Multi-system"/>
    <x v="11"/>
    <x v="1"/>
    <s v="Warfarin (variable)"/>
    <n v="1"/>
    <s v="17861-6"/>
    <s v="Biochemistry"/>
    <s v="Serum calcium"/>
    <x v="1"/>
    <s v="Not Tested"/>
    <n v="96"/>
    <n v="68"/>
    <x v="0"/>
    <s v="96/68"/>
    <n v="64"/>
    <n v="17"/>
    <n v="38.9"/>
    <n v="32.799999999999997"/>
    <s v="Obese"/>
    <n v="100"/>
    <s v="8480-6"/>
    <s v="8462-4"/>
    <s v="8867-4"/>
    <s v="39156-5"/>
    <s v="59408-5"/>
  </r>
  <r>
    <s v="PID-0104"/>
    <s v="ENC-0104-02"/>
    <x v="201"/>
    <x v="2"/>
    <x v="1"/>
    <x v="9"/>
    <s v="Dr. F. Hassan"/>
    <d v="1963-06-06T00:00:00"/>
    <n v="62"/>
    <x v="3"/>
    <x v="1"/>
    <s v="Hispanic/Latino"/>
    <x v="0"/>
    <x v="0"/>
    <x v="0"/>
    <s v="BA80,5A11,5A00"/>
    <s v="Multi-system"/>
    <x v="11"/>
    <x v="1"/>
    <s v="Atorvastatin 40mg ON; Metoprolol 50mg BD; None"/>
    <n v="3"/>
    <s v="2160-0"/>
    <s v="Biochemistry"/>
    <s v="Serum creatinine"/>
    <x v="0"/>
    <s v="Not Tested"/>
    <n v="181"/>
    <n v="66"/>
    <x v="1"/>
    <s v="181/66"/>
    <n v="77"/>
    <n v="18"/>
    <n v="36.700000000000003"/>
    <n v="24"/>
    <s v="Non-Obese"/>
    <n v="88"/>
    <s v="8480-6"/>
    <s v="8462-4"/>
    <s v="8867-4"/>
    <s v="39156-5"/>
    <s v="59408-5"/>
  </r>
  <r>
    <s v="PID-0104"/>
    <s v="ENC-0104-03"/>
    <x v="267"/>
    <x v="3"/>
    <x v="1"/>
    <x v="5"/>
    <s v="NP J. Nakamura"/>
    <d v="1963-06-06T00:00:00"/>
    <n v="62"/>
    <x v="3"/>
    <x v="1"/>
    <s v="Hispanic/Latino"/>
    <x v="0"/>
    <x v="0"/>
    <x v="0"/>
    <s v="BA80,5A11,5A00"/>
    <s v="Multi-system"/>
    <x v="11"/>
    <x v="1"/>
    <s v="Aspirin 75mg OD; Prednisolone 5mg OD; Ramipril 5mg OD; Omeprazole 20mg OD"/>
    <n v="4"/>
    <s v="789-8"/>
    <s v="Biochemistry"/>
    <s v="RBC count"/>
    <x v="1"/>
    <s v="Not Tested"/>
    <n v="145"/>
    <n v="57"/>
    <x v="1"/>
    <s v="145/57"/>
    <n v="75"/>
    <n v="14"/>
    <n v="36.9"/>
    <n v="34.6"/>
    <s v="Obese"/>
    <n v="91"/>
    <s v="8480-6"/>
    <s v="8462-4"/>
    <s v="8867-4"/>
    <s v="39156-5"/>
    <s v="59408-5"/>
  </r>
  <r>
    <s v="PID-0104"/>
    <s v="ENC-0104-04"/>
    <x v="268"/>
    <x v="2"/>
    <x v="0"/>
    <x v="0"/>
    <s v="Dr. S. Okonkwo"/>
    <d v="1963-06-06T00:00:00"/>
    <n v="62"/>
    <x v="3"/>
    <x v="1"/>
    <s v="South Asian"/>
    <x v="0"/>
    <x v="0"/>
    <x v="0"/>
    <s v="BA80,5A11,5A00"/>
    <s v="Multi-system"/>
    <x v="11"/>
    <x v="1"/>
    <s v="Amlodipine 10mg OD; None"/>
    <n v="2"/>
    <s v="4548-4"/>
    <s v="Biochemistry"/>
    <s v="HbA1c"/>
    <x v="1"/>
    <s v="High"/>
    <n v="111"/>
    <n v="115"/>
    <x v="1"/>
    <s v="111/115"/>
    <n v="87"/>
    <n v="14"/>
    <n v="37.4"/>
    <n v="36.299999999999997"/>
    <s v="Obese"/>
    <n v="88"/>
    <s v="8480-6"/>
    <s v="8462-4"/>
    <s v="8867-4"/>
    <s v="39156-5"/>
    <s v="59408-5"/>
  </r>
  <r>
    <s v="PID-0104"/>
    <s v="ENC-0104-05"/>
    <x v="269"/>
    <x v="2"/>
    <x v="3"/>
    <x v="9"/>
    <s v="Dr. Y. Kim"/>
    <d v="1963-06-06T00:00:00"/>
    <n v="62"/>
    <x v="3"/>
    <x v="1"/>
    <s v="White European"/>
    <x v="0"/>
    <x v="0"/>
    <x v="0"/>
    <s v="BA80,5A11,5A00"/>
    <s v="Multi-system"/>
    <x v="11"/>
    <x v="1"/>
    <s v="Amlodipine 10mg OD; Insulin glargine 20u ON; Dapagliflozin 10mg OD"/>
    <n v="3"/>
    <s v="6690-2"/>
    <s v="Biochemistry"/>
    <s v="WBC count"/>
    <x v="2"/>
    <s v="Not Tested"/>
    <n v="125"/>
    <n v="91"/>
    <x v="1"/>
    <s v="125/91"/>
    <n v="124"/>
    <n v="14"/>
    <n v="38.700000000000003"/>
    <n v="38.200000000000003"/>
    <s v="Obese"/>
    <n v="91"/>
    <s v="8480-6"/>
    <s v="8462-4"/>
    <s v="8867-4"/>
    <s v="39156-5"/>
    <s v="59408-5"/>
  </r>
  <r>
    <s v="PID-0104"/>
    <s v="ENC-0104-06"/>
    <x v="111"/>
    <x v="1"/>
    <x v="1"/>
    <x v="6"/>
    <s v="Dr. F. Hassan"/>
    <d v="1963-06-06T00:00:00"/>
    <n v="62"/>
    <x v="3"/>
    <x v="1"/>
    <s v="White European"/>
    <x v="0"/>
    <x v="0"/>
    <x v="0"/>
    <s v="BA80,5A11,5A00"/>
    <s v="Multi-system"/>
    <x v="11"/>
    <x v="1"/>
    <s v="Dapagliflozin 10mg OD"/>
    <n v="1"/>
    <s v="2093-3"/>
    <s v="Biochemistry"/>
    <s v="Total cholesterol"/>
    <x v="0"/>
    <s v="Not Tested"/>
    <n v="136"/>
    <n v="62"/>
    <x v="0"/>
    <s v="136/62"/>
    <n v="87"/>
    <n v="16"/>
    <n v="39"/>
    <n v="18.3"/>
    <s v="Non-Obese"/>
    <n v="97"/>
    <s v="8480-6"/>
    <s v="8462-4"/>
    <s v="8867-4"/>
    <s v="39156-5"/>
    <s v="59408-5"/>
  </r>
  <r>
    <s v="PID-0105"/>
    <s v="ENC-0105-01"/>
    <x v="270"/>
    <x v="3"/>
    <x v="4"/>
    <x v="6"/>
    <s v="NP J. Nakamura"/>
    <d v="1995-02-22T00:00:00"/>
    <n v="30"/>
    <x v="0"/>
    <x v="1"/>
    <s v="East Asian"/>
    <x v="3"/>
    <x v="2"/>
    <x v="1"/>
    <s v="BA80,5A11,5A00"/>
    <s v="Multi-system"/>
    <x v="11"/>
    <x v="1"/>
    <s v="Amlodipine 10mg OD"/>
    <n v="1"/>
    <s v="789-8"/>
    <s v="Biochemistry"/>
    <s v="RBC count"/>
    <x v="1"/>
    <s v="Not Tested"/>
    <n v="140"/>
    <n v="88"/>
    <x v="1"/>
    <s v="140/88"/>
    <n v="111"/>
    <n v="21"/>
    <n v="36.1"/>
    <n v="39.299999999999997"/>
    <s v="Obese"/>
    <n v="100"/>
    <s v="8480-6"/>
    <s v="8462-4"/>
    <s v="8867-4"/>
    <s v="39156-5"/>
    <s v="59408-5"/>
  </r>
  <r>
    <s v="PID-0105"/>
    <s v="ENC-0105-02"/>
    <x v="271"/>
    <x v="3"/>
    <x v="2"/>
    <x v="0"/>
    <s v="Dr. A. Mwangi"/>
    <d v="1995-02-22T00:00:00"/>
    <n v="30"/>
    <x v="0"/>
    <x v="1"/>
    <s v="East Asian"/>
    <x v="3"/>
    <x v="2"/>
    <x v="1"/>
    <s v="BA80,5A11,5A00"/>
    <s v="Multi-system"/>
    <x v="11"/>
    <x v="1"/>
    <s v="Dapagliflozin 10mg OD; Atorvastatin 40mg ON; None; Prednisolone 5mg OD"/>
    <n v="4"/>
    <s v="2823-3"/>
    <s v="Biochemistry"/>
    <s v="Serum potassium"/>
    <x v="0"/>
    <s v="Not Tested"/>
    <n v="98"/>
    <n v="88"/>
    <x v="0"/>
    <s v="98/88"/>
    <n v="115"/>
    <n v="17"/>
    <n v="38.299999999999997"/>
    <n v="31.5"/>
    <s v="Obese"/>
    <n v="89"/>
    <s v="8480-6"/>
    <s v="8462-4"/>
    <s v="8867-4"/>
    <s v="39156-5"/>
    <s v="59408-5"/>
  </r>
  <r>
    <s v="PID-0105"/>
    <s v="ENC-0105-03"/>
    <x v="272"/>
    <x v="0"/>
    <x v="4"/>
    <x v="3"/>
    <s v="Dr. A. Mwangi"/>
    <d v="1995-02-22T00:00:00"/>
    <n v="30"/>
    <x v="0"/>
    <x v="1"/>
    <s v="Middle Eastern"/>
    <x v="3"/>
    <x v="2"/>
    <x v="1"/>
    <s v="BA80,5A11,5A00"/>
    <s v="Multi-system"/>
    <x v="11"/>
    <x v="1"/>
    <s v="Salbutamol 100mcg PRN"/>
    <n v="1"/>
    <s v="13457-7"/>
    <s v="Biochemistry"/>
    <s v="LDL cholesterol"/>
    <x v="1"/>
    <s v="Not Tested"/>
    <n v="140"/>
    <n v="113"/>
    <x v="1"/>
    <s v="140/113"/>
    <n v="96"/>
    <n v="18"/>
    <n v="39.1"/>
    <n v="26.6"/>
    <s v="Non-Obese"/>
    <n v="87"/>
    <s v="8480-6"/>
    <s v="8462-4"/>
    <s v="8867-4"/>
    <s v="39156-5"/>
    <s v="59408-5"/>
  </r>
  <r>
    <s v="PID-0105"/>
    <s v="ENC-0105-04"/>
    <x v="273"/>
    <x v="0"/>
    <x v="0"/>
    <x v="4"/>
    <s v="Dr. L. Patel"/>
    <d v="1995-02-22T00:00:00"/>
    <n v="30"/>
    <x v="0"/>
    <x v="1"/>
    <s v="Black African"/>
    <x v="3"/>
    <x v="2"/>
    <x v="1"/>
    <s v="BA80,5A11,5A00"/>
    <s v="Multi-system"/>
    <x v="11"/>
    <x v="1"/>
    <s v="Clopidogrel 75mg OD; Metformin 1g BD; None"/>
    <n v="3"/>
    <s v="14627-4"/>
    <s v="Biochemistry"/>
    <s v="eGFR (CKD-EPI)"/>
    <x v="1"/>
    <s v="Not Tested"/>
    <n v="126"/>
    <n v="61"/>
    <x v="0"/>
    <s v="126/61"/>
    <n v="76"/>
    <n v="18"/>
    <n v="37.1"/>
    <n v="36.299999999999997"/>
    <s v="Obese"/>
    <n v="90"/>
    <s v="8480-6"/>
    <s v="8462-4"/>
    <s v="8867-4"/>
    <s v="39156-5"/>
    <s v="59408-5"/>
  </r>
  <r>
    <s v="PID-0106"/>
    <s v="ENC-0106-01"/>
    <x v="274"/>
    <x v="2"/>
    <x v="4"/>
    <x v="0"/>
    <s v="Dr. Y. Kim"/>
    <d v="2003-08-22T00:00:00"/>
    <n v="22"/>
    <x v="0"/>
    <x v="1"/>
    <s v="South Asian"/>
    <x v="3"/>
    <x v="3"/>
    <x v="0"/>
    <s v="8A25"/>
    <s v="Neurological"/>
    <x v="3"/>
    <x v="1"/>
    <s v="Levothyroxine 50mcg OD; Dapagliflozin 10mg OD"/>
    <n v="2"/>
    <s v="6768-6"/>
    <s v="Biochemistry"/>
    <s v="ALP"/>
    <x v="1"/>
    <s v="Not Tested"/>
    <n v="97"/>
    <n v="74"/>
    <x v="0"/>
    <s v="97/74"/>
    <n v="93"/>
    <n v="17"/>
    <n v="36.299999999999997"/>
    <n v="31.4"/>
    <s v="Obese"/>
    <n v="96"/>
    <s v="8480-6"/>
    <s v="8462-4"/>
    <s v="8867-4"/>
    <s v="39156-5"/>
    <s v="59408-5"/>
  </r>
  <r>
    <s v="PID-0106"/>
    <s v="ENC-0106-02"/>
    <x v="31"/>
    <x v="2"/>
    <x v="0"/>
    <x v="3"/>
    <s v="Dr. S. Okonkwo"/>
    <d v="2003-08-22T00:00:00"/>
    <n v="22"/>
    <x v="0"/>
    <x v="1"/>
    <s v="Mixed/Other"/>
    <x v="3"/>
    <x v="3"/>
    <x v="0"/>
    <s v="8A25"/>
    <s v="Neurological"/>
    <x v="3"/>
    <x v="1"/>
    <s v="Clopidogrel 75mg OD; Amlodipine 10mg OD; Aspirin 75mg OD"/>
    <n v="3"/>
    <s v="6768-6"/>
    <s v="Biochemistry"/>
    <s v="ALP"/>
    <x v="1"/>
    <s v="Not Tested"/>
    <n v="113"/>
    <n v="93"/>
    <x v="1"/>
    <s v="113/93"/>
    <n v="123"/>
    <n v="13"/>
    <n v="38.700000000000003"/>
    <n v="23.6"/>
    <s v="Non-Obese"/>
    <n v="90"/>
    <s v="8480-6"/>
    <s v="8462-4"/>
    <s v="8867-4"/>
    <s v="39156-5"/>
    <s v="59408-5"/>
  </r>
  <r>
    <s v="PID-0106"/>
    <s v="ENC-0106-03"/>
    <x v="275"/>
    <x v="4"/>
    <x v="3"/>
    <x v="6"/>
    <s v="Dr. Y. Kim"/>
    <d v="2003-08-22T00:00:00"/>
    <n v="22"/>
    <x v="0"/>
    <x v="1"/>
    <s v="Mixed/Other"/>
    <x v="3"/>
    <x v="3"/>
    <x v="0"/>
    <s v="8A25"/>
    <s v="Neurological"/>
    <x v="3"/>
    <x v="1"/>
    <s v="Ramipril 5mg OD; Prednisolone 5mg OD; Levothyroxine 50mcg OD"/>
    <n v="3"/>
    <s v="2823-3"/>
    <s v="Biochemistry"/>
    <s v="Serum potassium"/>
    <x v="0"/>
    <s v="Not Tested"/>
    <n v="120"/>
    <n v="89"/>
    <x v="0"/>
    <s v="120/89"/>
    <n v="90"/>
    <n v="19"/>
    <n v="37.1"/>
    <n v="19.7"/>
    <s v="Non-Obese"/>
    <n v="98"/>
    <s v="8480-6"/>
    <s v="8462-4"/>
    <s v="8867-4"/>
    <s v="39156-5"/>
    <s v="59408-5"/>
  </r>
  <r>
    <s v="PID-0106"/>
    <s v="ENC-0106-04"/>
    <x v="276"/>
    <x v="2"/>
    <x v="2"/>
    <x v="6"/>
    <s v="Dr. A. Mwangi"/>
    <d v="2003-08-22T00:00:00"/>
    <n v="22"/>
    <x v="0"/>
    <x v="1"/>
    <s v="Mixed/Other"/>
    <x v="3"/>
    <x v="3"/>
    <x v="0"/>
    <s v="8A25"/>
    <s v="Neurological"/>
    <x v="3"/>
    <x v="1"/>
    <s v="Metoprolol 50mg BD; Bisoprolol 5mg OD"/>
    <n v="2"/>
    <s v="6690-2"/>
    <s v="Biochemistry"/>
    <s v="WBC count"/>
    <x v="2"/>
    <s v="Not Tested"/>
    <n v="136"/>
    <n v="101"/>
    <x v="1"/>
    <s v="136/101"/>
    <n v="64"/>
    <n v="12"/>
    <n v="38.299999999999997"/>
    <n v="42.1"/>
    <s v="Obese"/>
    <n v="94"/>
    <s v="8480-6"/>
    <s v="8462-4"/>
    <s v="8867-4"/>
    <s v="39156-5"/>
    <s v="59408-5"/>
  </r>
  <r>
    <s v="PID-0106"/>
    <s v="ENC-0106-05"/>
    <x v="192"/>
    <x v="3"/>
    <x v="4"/>
    <x v="1"/>
    <s v="Dr. L. Patel"/>
    <d v="2003-08-22T00:00:00"/>
    <n v="22"/>
    <x v="0"/>
    <x v="1"/>
    <s v="South Asian"/>
    <x v="3"/>
    <x v="3"/>
    <x v="0"/>
    <s v="8A25"/>
    <s v="Neurological"/>
    <x v="3"/>
    <x v="1"/>
    <s v="Warfarin (variable)"/>
    <n v="1"/>
    <s v="2951-2"/>
    <s v="Biochemistry"/>
    <s v="Serum sodium"/>
    <x v="2"/>
    <s v="Not Tested"/>
    <n v="128"/>
    <n v="64"/>
    <x v="0"/>
    <s v="128/64"/>
    <n v="61"/>
    <n v="23"/>
    <n v="37"/>
    <n v="29.9"/>
    <s v="Non-Obese"/>
    <n v="91"/>
    <s v="8480-6"/>
    <s v="8462-4"/>
    <s v="8867-4"/>
    <s v="39156-5"/>
    <s v="59408-5"/>
  </r>
  <r>
    <s v="PID-0107"/>
    <s v="ENC-0107-01"/>
    <x v="277"/>
    <x v="3"/>
    <x v="0"/>
    <x v="2"/>
    <s v="Dr. S. Okonkwo"/>
    <d v="1956-04-04T00:00:00"/>
    <n v="69"/>
    <x v="2"/>
    <x v="0"/>
    <s v="South Asian"/>
    <x v="1"/>
    <x v="2"/>
    <x v="1"/>
    <s v="JA00"/>
    <s v="Infectious"/>
    <x v="12"/>
    <x v="0"/>
    <s v="Prednisolone 5mg OD; Furosemide 40mg OD; Lisinopril 10mg OD"/>
    <n v="3"/>
    <s v="2093-3"/>
    <s v="Biochemistry"/>
    <s v="Total cholesterol"/>
    <x v="0"/>
    <s v="Not Tested"/>
    <n v="184"/>
    <n v="80"/>
    <x v="1"/>
    <s v="184/80"/>
    <n v="118"/>
    <n v="15"/>
    <n v="36.9"/>
    <n v="18.3"/>
    <s v="Non-Obese"/>
    <n v="97"/>
    <s v="8480-6"/>
    <s v="8462-4"/>
    <s v="8867-4"/>
    <s v="39156-5"/>
    <s v="59408-5"/>
  </r>
  <r>
    <s v="PID-0108"/>
    <s v="ENC-0108-01"/>
    <x v="278"/>
    <x v="0"/>
    <x v="4"/>
    <x v="3"/>
    <s v="Dr. T. Osei"/>
    <d v="1999-07-12T00:00:00"/>
    <n v="26"/>
    <x v="0"/>
    <x v="1"/>
    <s v="Middle Eastern"/>
    <x v="0"/>
    <x v="2"/>
    <x v="0"/>
    <s v="CA80"/>
    <s v="Respiratory"/>
    <x v="8"/>
    <x v="1"/>
    <s v="None; Atorvastatin 40mg ON"/>
    <n v="2"/>
    <s v="2777-1"/>
    <s v="Biochemistry"/>
    <s v="Serum phosphate"/>
    <x v="0"/>
    <s v="Not Tested"/>
    <n v="179"/>
    <n v="86"/>
    <x v="1"/>
    <s v="179/86"/>
    <n v="112"/>
    <n v="27"/>
    <n v="39"/>
    <n v="24.7"/>
    <s v="Non-Obese"/>
    <n v="98"/>
    <s v="8480-6"/>
    <s v="8462-4"/>
    <s v="8867-4"/>
    <s v="39156-5"/>
    <s v="59408-5"/>
  </r>
  <r>
    <s v="PID-0108"/>
    <s v="ENC-0108-02"/>
    <x v="49"/>
    <x v="2"/>
    <x v="4"/>
    <x v="5"/>
    <s v="Dr. F. Hassan"/>
    <d v="1999-07-12T00:00:00"/>
    <n v="26"/>
    <x v="0"/>
    <x v="1"/>
    <s v="Mixed/Other"/>
    <x v="0"/>
    <x v="2"/>
    <x v="0"/>
    <s v="CA80"/>
    <s v="Respiratory"/>
    <x v="8"/>
    <x v="1"/>
    <s v="Dapagliflozin 10mg OD"/>
    <n v="1"/>
    <s v="2085-9"/>
    <s v="Biochemistry"/>
    <s v="HDL cholesterol"/>
    <x v="0"/>
    <s v="Not Tested"/>
    <n v="162"/>
    <n v="111"/>
    <x v="1"/>
    <s v="162/111"/>
    <n v="66"/>
    <n v="14"/>
    <n v="36.700000000000003"/>
    <n v="25.3"/>
    <s v="Non-Obese"/>
    <n v="92"/>
    <s v="8480-6"/>
    <s v="8462-4"/>
    <s v="8867-4"/>
    <s v="39156-5"/>
    <s v="59408-5"/>
  </r>
  <r>
    <s v="PID-0108"/>
    <s v="ENC-0108-03"/>
    <x v="279"/>
    <x v="4"/>
    <x v="4"/>
    <x v="7"/>
    <s v="Dr. T. Osei"/>
    <d v="1999-07-12T00:00:00"/>
    <n v="26"/>
    <x v="0"/>
    <x v="1"/>
    <s v="South Asian"/>
    <x v="0"/>
    <x v="2"/>
    <x v="0"/>
    <s v="CA80"/>
    <s v="Respiratory"/>
    <x v="8"/>
    <x v="1"/>
    <s v="Amlodipine 5mg OD; Lisinopril 10mg OD; Clopidogrel 75mg OD"/>
    <n v="3"/>
    <s v="17861-6"/>
    <s v="Biochemistry"/>
    <s v="Serum calcium"/>
    <x v="1"/>
    <s v="Not Tested"/>
    <n v="138"/>
    <n v="70"/>
    <x v="0"/>
    <s v="138/70"/>
    <n v="71"/>
    <n v="25"/>
    <n v="36.5"/>
    <n v="31"/>
    <s v="Obese"/>
    <n v="92"/>
    <s v="8480-6"/>
    <s v="8462-4"/>
    <s v="8867-4"/>
    <s v="39156-5"/>
    <s v="59408-5"/>
  </r>
  <r>
    <s v="PID-0108"/>
    <s v="ENC-0108-04"/>
    <x v="91"/>
    <x v="0"/>
    <x v="1"/>
    <x v="0"/>
    <s v="NP J. Nakamura"/>
    <d v="1999-07-12T00:00:00"/>
    <n v="26"/>
    <x v="0"/>
    <x v="1"/>
    <s v="Hispanic/Latino"/>
    <x v="0"/>
    <x v="2"/>
    <x v="0"/>
    <s v="CA80"/>
    <s v="Respiratory"/>
    <x v="8"/>
    <x v="1"/>
    <s v="Bisoprolol 5mg OD; Omeprazole 20mg OD; Metformin 1g BD; Aspirin 75mg OD"/>
    <n v="4"/>
    <s v="2345-7"/>
    <s v="Biochemistry"/>
    <s v="Serum glucose (fasting)"/>
    <x v="0"/>
    <s v="Not Tested"/>
    <n v="181"/>
    <n v="77"/>
    <x v="1"/>
    <s v="181/77"/>
    <n v="111"/>
    <n v="14"/>
    <n v="38.799999999999997"/>
    <n v="41.9"/>
    <s v="Obese"/>
    <n v="92"/>
    <s v="8480-6"/>
    <s v="8462-4"/>
    <s v="8867-4"/>
    <s v="39156-5"/>
    <s v="59408-5"/>
  </r>
  <r>
    <s v="PID-0109"/>
    <s v="ENC-0109-01"/>
    <x v="89"/>
    <x v="4"/>
    <x v="0"/>
    <x v="6"/>
    <s v="Dr. R. Mendes"/>
    <d v="1955-01-09T00:00:00"/>
    <n v="70"/>
    <x v="2"/>
    <x v="1"/>
    <s v="Hispanic/Latino"/>
    <x v="3"/>
    <x v="1"/>
    <x v="1"/>
    <s v="CA80"/>
    <s v="Respiratory"/>
    <x v="8"/>
    <x v="1"/>
    <s v="Amlodipine 5mg OD; Lisinopril 10mg OD; Furosemide 40mg OD; Metoprolol 50mg BD"/>
    <n v="4"/>
    <s v="789-8"/>
    <s v="Biochemistry"/>
    <s v="RBC count"/>
    <x v="1"/>
    <s v="Not Tested"/>
    <n v="169"/>
    <n v="97"/>
    <x v="1"/>
    <s v="169/97"/>
    <n v="88"/>
    <n v="18"/>
    <n v="37.9"/>
    <n v="40.700000000000003"/>
    <s v="Obese"/>
    <n v="97"/>
    <s v="8480-6"/>
    <s v="8462-4"/>
    <s v="8867-4"/>
    <s v="39156-5"/>
    <s v="59408-5"/>
  </r>
  <r>
    <s v="PID-0109"/>
    <s v="ENC-0109-02"/>
    <x v="178"/>
    <x v="0"/>
    <x v="1"/>
    <x v="3"/>
    <s v="Dr. F. Hassan"/>
    <d v="1955-01-09T00:00:00"/>
    <n v="70"/>
    <x v="2"/>
    <x v="1"/>
    <s v="Middle Eastern"/>
    <x v="3"/>
    <x v="1"/>
    <x v="1"/>
    <s v="CA80"/>
    <s v="Respiratory"/>
    <x v="8"/>
    <x v="1"/>
    <s v="Levothyroxine 50mcg OD; Metoprolol 50mg BD; Dapagliflozin 10mg OD; Salbutamol 100mcg PRN"/>
    <n v="4"/>
    <s v="13457-7"/>
    <s v="Biochemistry"/>
    <s v="LDL cholesterol"/>
    <x v="1"/>
    <s v="Not Tested"/>
    <n v="123"/>
    <n v="60"/>
    <x v="0"/>
    <s v="123/60"/>
    <n v="62"/>
    <n v="20"/>
    <n v="39.1"/>
    <n v="41.2"/>
    <s v="Obese"/>
    <n v="97"/>
    <s v="8480-6"/>
    <s v="8462-4"/>
    <s v="8867-4"/>
    <s v="39156-5"/>
    <s v="59408-5"/>
  </r>
  <r>
    <s v="PID-0109"/>
    <s v="ENC-0109-03"/>
    <x v="280"/>
    <x v="2"/>
    <x v="1"/>
    <x v="5"/>
    <s v="NP J. Nakamura"/>
    <d v="1955-01-09T00:00:00"/>
    <n v="70"/>
    <x v="2"/>
    <x v="1"/>
    <s v="White European"/>
    <x v="3"/>
    <x v="1"/>
    <x v="1"/>
    <s v="CA80"/>
    <s v="Respiratory"/>
    <x v="8"/>
    <x v="1"/>
    <s v="Prednisolone 5mg OD"/>
    <n v="1"/>
    <s v="789-8"/>
    <s v="Biochemistry"/>
    <s v="RBC count"/>
    <x v="1"/>
    <s v="Not Tested"/>
    <n v="113"/>
    <n v="80"/>
    <x v="0"/>
    <s v="113/80"/>
    <n v="64"/>
    <n v="26"/>
    <n v="39"/>
    <n v="42.7"/>
    <s v="Obese"/>
    <n v="90"/>
    <s v="8480-6"/>
    <s v="8462-4"/>
    <s v="8867-4"/>
    <s v="39156-5"/>
    <s v="59408-5"/>
  </r>
  <r>
    <s v="PID-0109"/>
    <s v="ENC-0109-04"/>
    <x v="128"/>
    <x v="2"/>
    <x v="3"/>
    <x v="9"/>
    <s v="NP J. Nakamura"/>
    <d v="1955-01-09T00:00:00"/>
    <n v="70"/>
    <x v="2"/>
    <x v="1"/>
    <s v="Black African"/>
    <x v="3"/>
    <x v="1"/>
    <x v="1"/>
    <s v="CA80"/>
    <s v="Respiratory"/>
    <x v="8"/>
    <x v="1"/>
    <s v="Amlodipine 5mg OD"/>
    <n v="1"/>
    <s v="2345-7"/>
    <s v="Biochemistry"/>
    <s v="Serum glucose (fasting)"/>
    <x v="0"/>
    <s v="Not Tested"/>
    <n v="158"/>
    <n v="65"/>
    <x v="1"/>
    <s v="158/65"/>
    <n v="80"/>
    <n v="19"/>
    <n v="36.799999999999997"/>
    <n v="20"/>
    <s v="Non-Obese"/>
    <n v="92"/>
    <s v="8480-6"/>
    <s v="8462-4"/>
    <s v="8867-4"/>
    <s v="39156-5"/>
    <s v="59408-5"/>
  </r>
  <r>
    <s v="PID-0110"/>
    <s v="ENC-0110-01"/>
    <x v="121"/>
    <x v="4"/>
    <x v="4"/>
    <x v="3"/>
    <s v="NP J. Nakamura"/>
    <d v="1981-04-28T00:00:00"/>
    <n v="44"/>
    <x v="1"/>
    <x v="0"/>
    <s v="Black African"/>
    <x v="3"/>
    <x v="1"/>
    <x v="3"/>
    <s v="CA22"/>
    <s v="Respiratory"/>
    <x v="10"/>
    <x v="1"/>
    <s v="Bisoprolol 5mg OD; Aspirin 75mg OD; Metoprolol 50mg BD"/>
    <n v="3"/>
    <s v="789-8"/>
    <s v="Biochemistry"/>
    <s v="RBC count"/>
    <x v="1"/>
    <s v="Not Tested"/>
    <n v="149"/>
    <n v="115"/>
    <x v="1"/>
    <s v="149/115"/>
    <n v="71"/>
    <n v="23"/>
    <n v="37.299999999999997"/>
    <n v="29.1"/>
    <s v="Non-Obese"/>
    <n v="89"/>
    <s v="8480-6"/>
    <s v="8462-4"/>
    <s v="8867-4"/>
    <s v="39156-5"/>
    <s v="59408-5"/>
  </r>
  <r>
    <s v="PID-0110"/>
    <s v="ENC-0110-02"/>
    <x v="281"/>
    <x v="1"/>
    <x v="0"/>
    <x v="4"/>
    <s v="Dr. R. Mendes"/>
    <d v="1981-04-28T00:00:00"/>
    <n v="44"/>
    <x v="1"/>
    <x v="0"/>
    <s v="East Asian"/>
    <x v="3"/>
    <x v="1"/>
    <x v="3"/>
    <s v="CA22"/>
    <s v="Respiratory"/>
    <x v="10"/>
    <x v="1"/>
    <s v="Metformin 1g BD; Atorvastatin 40mg ON; Prednisolone 5mg OD"/>
    <n v="3"/>
    <s v="2345-7"/>
    <s v="Biochemistry"/>
    <s v="Serum glucose (fasting)"/>
    <x v="0"/>
    <s v="Not Tested"/>
    <n v="137"/>
    <n v="107"/>
    <x v="1"/>
    <s v="137/107"/>
    <n v="123"/>
    <n v="18"/>
    <n v="36.700000000000003"/>
    <n v="28.4"/>
    <s v="Non-Obese"/>
    <n v="93"/>
    <s v="8480-6"/>
    <s v="8462-4"/>
    <s v="8867-4"/>
    <s v="39156-5"/>
    <s v="59408-5"/>
  </r>
  <r>
    <s v="PID-0110"/>
    <s v="ENC-0110-03"/>
    <x v="194"/>
    <x v="2"/>
    <x v="0"/>
    <x v="3"/>
    <s v="Dr. L. Patel"/>
    <d v="1981-04-28T00:00:00"/>
    <n v="44"/>
    <x v="1"/>
    <x v="0"/>
    <s v="South Asian"/>
    <x v="3"/>
    <x v="1"/>
    <x v="3"/>
    <s v="CA22"/>
    <s v="Respiratory"/>
    <x v="10"/>
    <x v="1"/>
    <s v="Omeprazole 20mg OD; Amlodipine 10mg OD; Insulin glargine 20u ON; Salbutamol 100mcg PRN"/>
    <n v="4"/>
    <s v="2951-2"/>
    <s v="Biochemistry"/>
    <s v="Serum sodium"/>
    <x v="2"/>
    <s v="Not Tested"/>
    <n v="185"/>
    <n v="111"/>
    <x v="1"/>
    <s v="185/111"/>
    <n v="123"/>
    <n v="22"/>
    <n v="38.4"/>
    <n v="18.8"/>
    <s v="Non-Obese"/>
    <n v="90"/>
    <s v="8480-6"/>
    <s v="8462-4"/>
    <s v="8867-4"/>
    <s v="39156-5"/>
    <s v="59408-5"/>
  </r>
  <r>
    <s v="PID-0111"/>
    <s v="ENC-0111-01"/>
    <x v="282"/>
    <x v="0"/>
    <x v="3"/>
    <x v="0"/>
    <s v="Dr. F. Hassan"/>
    <d v="1943-08-11T00:00:00"/>
    <n v="79.772602739726025"/>
    <x v="2"/>
    <x v="0"/>
    <s v="Hispanic/Latino"/>
    <x v="1"/>
    <x v="3"/>
    <x v="2"/>
    <s v="LA90"/>
    <s v="Renal"/>
    <x v="2"/>
    <x v="1"/>
    <s v="None; Bisoprolol 5mg OD; Empagliflozin 10mg OD"/>
    <n v="3"/>
    <s v="2823-3"/>
    <s v="Biochemistry"/>
    <s v="Serum potassium"/>
    <x v="0"/>
    <s v="Not Tested"/>
    <n v="123"/>
    <n v="114"/>
    <x v="1"/>
    <s v="123/114"/>
    <n v="87"/>
    <n v="28"/>
    <n v="36.9"/>
    <n v="27.8"/>
    <s v="Non-Obese"/>
    <n v="93"/>
    <s v="8480-6"/>
    <s v="8462-4"/>
    <s v="8867-4"/>
    <s v="39156-5"/>
    <s v="59408-5"/>
  </r>
  <r>
    <s v="PID-0111"/>
    <s v="ENC-0111-02"/>
    <x v="283"/>
    <x v="1"/>
    <x v="3"/>
    <x v="4"/>
    <s v="NP J. Nakamura"/>
    <d v="1943-08-11T00:00:00"/>
    <n v="82"/>
    <x v="2"/>
    <x v="0"/>
    <s v="East Asian"/>
    <x v="1"/>
    <x v="3"/>
    <x v="2"/>
    <s v="LA90"/>
    <s v="Renal"/>
    <x v="2"/>
    <x v="1"/>
    <s v="Dapagliflozin 10mg OD"/>
    <n v="1"/>
    <s v="13457-7"/>
    <s v="Biochemistry"/>
    <s v="LDL cholesterol"/>
    <x v="1"/>
    <s v="Not Tested"/>
    <n v="135"/>
    <n v="66"/>
    <x v="0"/>
    <s v="135/66"/>
    <n v="54"/>
    <n v="15"/>
    <n v="37.5"/>
    <s v="Invalid"/>
    <s v="Obese"/>
    <n v="93"/>
    <s v="8480-6"/>
    <s v="8462-4"/>
    <s v="8867-4"/>
    <s v="39156-5"/>
    <s v="59408-5"/>
  </r>
  <r>
    <s v="PID-0112"/>
    <s v="ENC-0112-01"/>
    <x v="183"/>
    <x v="4"/>
    <x v="0"/>
    <x v="5"/>
    <s v="NP J. Nakamura"/>
    <d v="1984-03-24T00:00:00"/>
    <n v="41"/>
    <x v="1"/>
    <x v="1"/>
    <s v="Middle Eastern"/>
    <x v="0"/>
    <x v="0"/>
    <x v="3"/>
    <s v="BA80,5A11,5A00"/>
    <s v="Multi-system"/>
    <x v="11"/>
    <x v="1"/>
    <s v="Clopidogrel 75mg OD; Atorvastatin 40mg ON; Levothyroxine 50mcg OD"/>
    <n v="3"/>
    <s v="2951-2"/>
    <s v="Biochemistry"/>
    <s v="Serum sodium"/>
    <x v="2"/>
    <s v="Not Tested"/>
    <n v="117"/>
    <n v="85"/>
    <x v="0"/>
    <s v="117/85"/>
    <n v="57"/>
    <n v="17"/>
    <n v="36.9"/>
    <n v="45.5"/>
    <s v="Obese"/>
    <n v="89"/>
    <s v="8480-6"/>
    <s v="8462-4"/>
    <s v="8867-4"/>
    <s v="39156-5"/>
    <s v="59408-5"/>
  </r>
  <r>
    <s v="PID-0112"/>
    <s v="ENC-0112-02"/>
    <x v="284"/>
    <x v="1"/>
    <x v="4"/>
    <x v="4"/>
    <s v="Dr. A. Mwangi"/>
    <d v="1984-03-24T00:00:00"/>
    <n v="41"/>
    <x v="1"/>
    <x v="1"/>
    <s v="Hispanic/Latino"/>
    <x v="0"/>
    <x v="0"/>
    <x v="3"/>
    <s v="BA80,5A11,5A00"/>
    <s v="Multi-system"/>
    <x v="11"/>
    <x v="1"/>
    <s v="Levothyroxine 50mcg OD; Clopidogrel 75mg OD; Salbutamol 100mcg PRN; Warfarin (variable)"/>
    <n v="4"/>
    <s v="17861-6"/>
    <s v="Biochemistry"/>
    <s v="Serum calcium"/>
    <x v="1"/>
    <s v="Not Tested"/>
    <n v="154"/>
    <n v="82"/>
    <x v="1"/>
    <s v="154/82"/>
    <n v="122"/>
    <n v="22"/>
    <n v="36"/>
    <n v="45.1"/>
    <s v="Obese"/>
    <n v="96"/>
    <s v="8480-6"/>
    <s v="8462-4"/>
    <s v="8867-4"/>
    <s v="39156-5"/>
    <s v="59408-5"/>
  </r>
  <r>
    <s v="PID-0112"/>
    <s v="ENC-0112-03"/>
    <x v="285"/>
    <x v="4"/>
    <x v="3"/>
    <x v="6"/>
    <s v="Dr. Y. Kim"/>
    <d v="1984-03-24T00:00:00"/>
    <n v="41"/>
    <x v="1"/>
    <x v="1"/>
    <s v="Hispanic/Latino"/>
    <x v="0"/>
    <x v="0"/>
    <x v="3"/>
    <s v="BA80,5A11,5A00"/>
    <s v="Multi-system"/>
    <x v="11"/>
    <x v="1"/>
    <s v="Warfarin (variable)"/>
    <n v="1"/>
    <s v="2345-7"/>
    <s v="Biochemistry"/>
    <s v="Serum glucose (fasting)"/>
    <x v="0"/>
    <s v="Not Tested"/>
    <n v="144"/>
    <n v="91"/>
    <x v="1"/>
    <s v="144/91"/>
    <n v="57"/>
    <n v="16"/>
    <n v="36.799999999999997"/>
    <n v="39.5"/>
    <s v="Obese"/>
    <n v="92"/>
    <s v="8480-6"/>
    <s v="8462-4"/>
    <s v="8867-4"/>
    <s v="39156-5"/>
    <s v="59408-5"/>
  </r>
  <r>
    <s v="PID-0113"/>
    <s v="ENC-0113-01"/>
    <x v="268"/>
    <x v="3"/>
    <x v="0"/>
    <x v="2"/>
    <s v="Dr. F. Hassan"/>
    <d v="1992-05-16T00:00:00"/>
    <n v="33"/>
    <x v="0"/>
    <x v="0"/>
    <s v="East Asian"/>
    <x v="2"/>
    <x v="2"/>
    <x v="1"/>
    <s v="8A25"/>
    <s v="Neurological"/>
    <x v="3"/>
    <x v="1"/>
    <s v="None; Furosemide 40mg OD; Ramipril 5mg OD"/>
    <n v="3"/>
    <s v="2093-3"/>
    <s v="Biochemistry"/>
    <s v="Total cholesterol"/>
    <x v="0"/>
    <s v="Not Tested"/>
    <n v="141"/>
    <n v="84"/>
    <x v="1"/>
    <s v="141/84"/>
    <n v="116"/>
    <n v="20"/>
    <n v="37.799999999999997"/>
    <n v="29.6"/>
    <s v="Non-Obese"/>
    <n v="97"/>
    <s v="8480-6"/>
    <s v="8462-4"/>
    <s v="8867-4"/>
    <s v="39156-5"/>
    <s v="59408-5"/>
  </r>
  <r>
    <s v="PID-0113"/>
    <s v="ENC-0113-02"/>
    <x v="286"/>
    <x v="4"/>
    <x v="4"/>
    <x v="8"/>
    <s v="Dr. T. Osei"/>
    <d v="1992-05-16T00:00:00"/>
    <n v="33"/>
    <x v="0"/>
    <x v="0"/>
    <s v="South Asian"/>
    <x v="2"/>
    <x v="2"/>
    <x v="1"/>
    <s v="8A25"/>
    <s v="Neurological"/>
    <x v="3"/>
    <x v="1"/>
    <s v="Metformin 1g BD; Dapagliflozin 10mg OD; Omeprazole 20mg OD; Salbutamol 100mcg PRN"/>
    <n v="4"/>
    <s v="13457-7"/>
    <s v="Biochemistry"/>
    <s v="LDL cholesterol"/>
    <x v="1"/>
    <s v="Not Tested"/>
    <n v="115"/>
    <n v="96"/>
    <x v="1"/>
    <s v="115/96"/>
    <n v="62"/>
    <n v="20"/>
    <n v="38"/>
    <n v="32.5"/>
    <s v="Obese"/>
    <n v="91"/>
    <s v="8480-6"/>
    <s v="8462-4"/>
    <s v="8867-4"/>
    <s v="39156-5"/>
    <s v="59408-5"/>
  </r>
  <r>
    <s v="PID-0113"/>
    <s v="ENC-0113-03"/>
    <x v="160"/>
    <x v="2"/>
    <x v="0"/>
    <x v="5"/>
    <s v="NP J. Nakamura"/>
    <d v="1992-05-16T00:00:00"/>
    <n v="33"/>
    <x v="0"/>
    <x v="0"/>
    <s v="White European"/>
    <x v="2"/>
    <x v="2"/>
    <x v="1"/>
    <s v="8A25"/>
    <s v="Neurological"/>
    <x v="3"/>
    <x v="1"/>
    <s v="Insulin glargine 20u ON; Bisoprolol 5mg OD; Metformin 1g BD"/>
    <n v="3"/>
    <s v="2160-0"/>
    <s v="Biochemistry"/>
    <s v="Serum creatinine"/>
    <x v="0"/>
    <s v="Not Tested"/>
    <n v="99"/>
    <n v="60"/>
    <x v="0"/>
    <s v="99/60"/>
    <n v="53"/>
    <n v="14"/>
    <n v="37.4"/>
    <n v="20.2"/>
    <s v="Non-Obese"/>
    <n v="96"/>
    <s v="8480-6"/>
    <s v="8462-4"/>
    <s v="8867-4"/>
    <s v="39156-5"/>
    <s v="59408-5"/>
  </r>
  <r>
    <s v="PID-0113"/>
    <s v="ENC-0113-04"/>
    <x v="287"/>
    <x v="4"/>
    <x v="1"/>
    <x v="5"/>
    <s v="Dr. Y. Kim"/>
    <d v="1992-05-16T00:00:00"/>
    <n v="33"/>
    <x v="0"/>
    <x v="0"/>
    <s v="Middle Eastern"/>
    <x v="2"/>
    <x v="2"/>
    <x v="1"/>
    <s v="8A25"/>
    <s v="Neurological"/>
    <x v="3"/>
    <x v="1"/>
    <s v="None; Bisoprolol 5mg OD; Levothyroxine 50mcg OD; Furosemide 40mg OD"/>
    <n v="4"/>
    <s v="2823-3"/>
    <s v="Biochemistry"/>
    <s v="Serum potassium"/>
    <x v="0"/>
    <s v="Not Tested"/>
    <n v="111"/>
    <n v="79"/>
    <x v="0"/>
    <s v="111/79"/>
    <n v="56"/>
    <n v="26"/>
    <n v="37"/>
    <n v="34.200000000000003"/>
    <s v="Obese"/>
    <n v="93"/>
    <s v="8480-6"/>
    <s v="8462-4"/>
    <s v="8867-4"/>
    <s v="39156-5"/>
    <s v="59408-5"/>
  </r>
  <r>
    <s v="PID-0113"/>
    <s v="ENC-0113-05"/>
    <x v="201"/>
    <x v="1"/>
    <x v="1"/>
    <x v="0"/>
    <s v="Dr. A. Mwangi"/>
    <d v="1992-05-16T00:00:00"/>
    <n v="33"/>
    <x v="0"/>
    <x v="0"/>
    <s v="White European"/>
    <x v="2"/>
    <x v="2"/>
    <x v="1"/>
    <s v="8A25"/>
    <s v="Neurological"/>
    <x v="3"/>
    <x v="1"/>
    <s v="Omeprazole 20mg OD; Insulin glargine 20u ON; Amlodipine 10mg OD; None"/>
    <n v="4"/>
    <s v="14627-4"/>
    <s v="Biochemistry"/>
    <s v="eGFR (CKD-EPI)"/>
    <x v="1"/>
    <s v="Not Tested"/>
    <n v="105"/>
    <n v="87"/>
    <x v="0"/>
    <s v="105/87"/>
    <n v="50"/>
    <n v="14"/>
    <n v="36.5"/>
    <n v="31.1"/>
    <s v="Obese"/>
    <n v="96"/>
    <s v="8480-6"/>
    <s v="8462-4"/>
    <s v="8867-4"/>
    <s v="39156-5"/>
    <s v="59408-5"/>
  </r>
  <r>
    <s v="PID-0113"/>
    <s v="ENC-0113-06"/>
    <x v="7"/>
    <x v="3"/>
    <x v="1"/>
    <x v="9"/>
    <s v="Dr. T. Osei"/>
    <d v="1992-05-16T00:00:00"/>
    <n v="33"/>
    <x v="0"/>
    <x v="0"/>
    <s v="Black African"/>
    <x v="2"/>
    <x v="2"/>
    <x v="1"/>
    <s v="8A25"/>
    <s v="Neurological"/>
    <x v="3"/>
    <x v="1"/>
    <s v="Metformin 1g BD; Omeprazole 20mg OD"/>
    <n v="2"/>
    <s v="13457-7"/>
    <s v="Biochemistry"/>
    <s v="LDL cholesterol"/>
    <x v="1"/>
    <s v="Not Tested"/>
    <n v="168"/>
    <n v="97"/>
    <x v="1"/>
    <s v="168/97"/>
    <n v="64"/>
    <n v="12"/>
    <n v="37.5"/>
    <n v="21.6"/>
    <s v="Non-Obese"/>
    <n v="90"/>
    <s v="8480-6"/>
    <s v="8462-4"/>
    <s v="8867-4"/>
    <s v="39156-5"/>
    <s v="59408-5"/>
  </r>
  <r>
    <s v="PID-0114"/>
    <s v="ENC-0114-01"/>
    <x v="288"/>
    <x v="1"/>
    <x v="3"/>
    <x v="6"/>
    <s v="NP J. Nakamura"/>
    <d v="1986-03-24T00:00:00"/>
    <n v="39"/>
    <x v="1"/>
    <x v="0"/>
    <s v="Mixed/Other"/>
    <x v="3"/>
    <x v="0"/>
    <x v="2"/>
    <s v="LA90"/>
    <s v="Renal"/>
    <x v="2"/>
    <x v="1"/>
    <s v="Dapagliflozin 10mg OD; Clopidogrel 75mg OD; Prednisolone 5mg OD; Omeprazole 20mg OD"/>
    <n v="4"/>
    <s v="4548-4"/>
    <s v="Biochemistry"/>
    <s v="HbA1c"/>
    <x v="1"/>
    <s v="High"/>
    <n v="122"/>
    <n v="105"/>
    <x v="1"/>
    <s v="122/105"/>
    <n v="79"/>
    <n v="17"/>
    <n v="36.299999999999997"/>
    <n v="41.7"/>
    <s v="Obese"/>
    <n v="93"/>
    <s v="8480-6"/>
    <s v="8462-4"/>
    <s v="8867-4"/>
    <s v="39156-5"/>
    <s v="59408-5"/>
  </r>
  <r>
    <s v="PID-0114"/>
    <s v="ENC-0114-02"/>
    <x v="289"/>
    <x v="3"/>
    <x v="3"/>
    <x v="5"/>
    <s v="NP J. Nakamura"/>
    <d v="1986-03-24T00:00:00"/>
    <n v="39"/>
    <x v="1"/>
    <x v="0"/>
    <s v="Mixed/Other"/>
    <x v="3"/>
    <x v="0"/>
    <x v="2"/>
    <s v="LA90"/>
    <s v="Renal"/>
    <x v="2"/>
    <x v="1"/>
    <s v="Prednisolone 5mg OD; Metformin 1g BD; Bisoprolol 5mg OD"/>
    <n v="3"/>
    <s v="2085-9"/>
    <s v="Biochemistry"/>
    <s v="HDL cholesterol"/>
    <x v="0"/>
    <s v="Not Tested"/>
    <n v="160"/>
    <n v="111"/>
    <x v="1"/>
    <s v="160/111"/>
    <n v="118"/>
    <n v="26"/>
    <n v="36.700000000000003"/>
    <n v="19.2"/>
    <s v="Non-Obese"/>
    <n v="87"/>
    <s v="8480-6"/>
    <s v="8462-4"/>
    <s v="8867-4"/>
    <s v="39156-5"/>
    <s v="59408-5"/>
  </r>
  <r>
    <s v="PID-0114"/>
    <s v="ENC-0114-03"/>
    <x v="290"/>
    <x v="2"/>
    <x v="3"/>
    <x v="0"/>
    <s v="Dr. Y. Kim"/>
    <d v="1986-03-24T00:00:00"/>
    <n v="39"/>
    <x v="1"/>
    <x v="0"/>
    <s v="Hispanic/Latino"/>
    <x v="3"/>
    <x v="0"/>
    <x v="2"/>
    <s v="LA90"/>
    <s v="Renal"/>
    <x v="2"/>
    <x v="1"/>
    <s v="Clopidogrel 75mg OD; Levothyroxine 50mcg OD"/>
    <n v="2"/>
    <s v="2345-7"/>
    <s v="Biochemistry"/>
    <s v="Serum glucose (fasting)"/>
    <x v="0"/>
    <s v="Not Tested"/>
    <n v="126"/>
    <n v="97"/>
    <x v="1"/>
    <s v="126/97"/>
    <n v="52"/>
    <n v="17"/>
    <n v="36.6"/>
    <n v="27.3"/>
    <s v="Non-Obese"/>
    <n v="90"/>
    <s v="8480-6"/>
    <s v="8462-4"/>
    <s v="8867-4"/>
    <s v="39156-5"/>
    <s v="59408-5"/>
  </r>
  <r>
    <s v="PID-0114"/>
    <s v="ENC-0114-04"/>
    <x v="155"/>
    <x v="0"/>
    <x v="0"/>
    <x v="9"/>
    <s v="Dr. L. Patel"/>
    <d v="1986-03-24T00:00:00"/>
    <n v="39"/>
    <x v="1"/>
    <x v="0"/>
    <s v="White European"/>
    <x v="3"/>
    <x v="0"/>
    <x v="2"/>
    <s v="LA90"/>
    <s v="Renal"/>
    <x v="2"/>
    <x v="1"/>
    <s v="None; Warfarin (variable)"/>
    <n v="2"/>
    <s v="13457-7"/>
    <s v="Biochemistry"/>
    <s v="LDL cholesterol"/>
    <x v="1"/>
    <s v="Not Tested"/>
    <n v="130"/>
    <n v="80"/>
    <x v="0"/>
    <s v="130/80"/>
    <n v="121"/>
    <n v="22"/>
    <n v="37.200000000000003"/>
    <n v="31"/>
    <s v="Obese"/>
    <n v="100"/>
    <s v="8480-6"/>
    <s v="8462-4"/>
    <s v="8867-4"/>
    <s v="39156-5"/>
    <s v="59408-5"/>
  </r>
  <r>
    <s v="PID-0115"/>
    <s v="ENC-0115-01"/>
    <x v="291"/>
    <x v="3"/>
    <x v="0"/>
    <x v="3"/>
    <s v="Dr. R. Mendes"/>
    <d v="1987-10-16T00:00:00"/>
    <n v="38"/>
    <x v="1"/>
    <x v="0"/>
    <s v="Black African"/>
    <x v="3"/>
    <x v="3"/>
    <x v="3"/>
    <s v="BA41"/>
    <s v="Cardiovascular"/>
    <x v="4"/>
    <x v="0"/>
    <s v="Levothyroxine 50mcg OD"/>
    <n v="1"/>
    <s v="14627-4"/>
    <s v="Biochemistry"/>
    <s v="eGFR (CKD-EPI)"/>
    <x v="1"/>
    <s v="Not Tested"/>
    <n v="185"/>
    <n v="77"/>
    <x v="1"/>
    <s v="185/77"/>
    <n v="70"/>
    <n v="23"/>
    <n v="36.6"/>
    <n v="42"/>
    <s v="Obese"/>
    <n v="94"/>
    <s v="8480-6"/>
    <s v="8462-4"/>
    <s v="8867-4"/>
    <s v="39156-5"/>
    <s v="59408-5"/>
  </r>
  <r>
    <s v="PID-0115"/>
    <s v="ENC-0115-02"/>
    <x v="292"/>
    <x v="1"/>
    <x v="3"/>
    <x v="9"/>
    <s v="Dr. S. Okonkwo"/>
    <d v="1987-10-16T00:00:00"/>
    <n v="38"/>
    <x v="1"/>
    <x v="0"/>
    <s v="Black African"/>
    <x v="3"/>
    <x v="3"/>
    <x v="3"/>
    <s v="BA41"/>
    <s v="Cardiovascular"/>
    <x v="4"/>
    <x v="0"/>
    <s v="Empagliflozin 10mg OD; Atorvastatin 40mg ON"/>
    <n v="2"/>
    <s v="6690-2"/>
    <s v="Biochemistry"/>
    <s v="WBC count"/>
    <x v="2"/>
    <s v="Not Tested"/>
    <n v="115"/>
    <n v="70"/>
    <x v="0"/>
    <s v="115/70"/>
    <n v="76"/>
    <n v="18"/>
    <n v="36.1"/>
    <n v="42.5"/>
    <s v="Obese"/>
    <n v="90"/>
    <s v="8480-6"/>
    <s v="8462-4"/>
    <s v="8867-4"/>
    <s v="39156-5"/>
    <s v="59408-5"/>
  </r>
  <r>
    <s v="PID-0116"/>
    <s v="ENC-0116-01"/>
    <x v="205"/>
    <x v="3"/>
    <x v="3"/>
    <x v="2"/>
    <s v="Dr. R. Mendes"/>
    <d v="2002-09-04T00:00:00"/>
    <n v="23"/>
    <x v="0"/>
    <x v="0"/>
    <s v="Middle Eastern"/>
    <x v="1"/>
    <x v="2"/>
    <x v="1"/>
    <s v="5A00"/>
    <s v="Endocrine"/>
    <x v="15"/>
    <x v="1"/>
    <s v="Warfarin (variable)"/>
    <n v="1"/>
    <s v="2160-0"/>
    <s v="Biochemistry"/>
    <s v="Serum creatinine"/>
    <x v="0"/>
    <s v="Not Tested"/>
    <n v="159"/>
    <n v="101"/>
    <x v="1"/>
    <s v="159/101"/>
    <n v="87"/>
    <n v="26"/>
    <n v="36.5"/>
    <n v="27.9"/>
    <s v="Non-Obese"/>
    <n v="98"/>
    <s v="8480-6"/>
    <s v="8462-4"/>
    <s v="8867-4"/>
    <s v="39156-5"/>
    <s v="59408-5"/>
  </r>
  <r>
    <s v="PID-0116"/>
    <s v="ENC-0116-02"/>
    <x v="293"/>
    <x v="4"/>
    <x v="1"/>
    <x v="6"/>
    <s v="Dr. T. Osei"/>
    <d v="2002-09-04T00:00:00"/>
    <n v="23"/>
    <x v="0"/>
    <x v="0"/>
    <s v="East Asian"/>
    <x v="1"/>
    <x v="2"/>
    <x v="1"/>
    <s v="5A00"/>
    <s v="Endocrine"/>
    <x v="15"/>
    <x v="1"/>
    <s v="Empagliflozin 10mg OD; Ramipril 5mg OD"/>
    <n v="2"/>
    <s v="2093-3"/>
    <s v="Biochemistry"/>
    <s v="Total cholesterol"/>
    <x v="0"/>
    <s v="Not Tested"/>
    <n v="126"/>
    <n v="85"/>
    <x v="0"/>
    <s v="126/85"/>
    <n v="56"/>
    <n v="18"/>
    <n v="38.4"/>
    <n v="27.8"/>
    <s v="Non-Obese"/>
    <n v="96"/>
    <s v="8480-6"/>
    <s v="8462-4"/>
    <s v="8867-4"/>
    <s v="39156-5"/>
    <s v="59408-5"/>
  </r>
  <r>
    <s v="PID-0116"/>
    <s v="ENC-0116-03"/>
    <x v="294"/>
    <x v="0"/>
    <x v="4"/>
    <x v="6"/>
    <s v="Dr. L. Patel"/>
    <d v="2002-09-04T00:00:00"/>
    <n v="23"/>
    <x v="0"/>
    <x v="0"/>
    <s v="East Asian"/>
    <x v="1"/>
    <x v="2"/>
    <x v="1"/>
    <s v="5A00"/>
    <s v="Endocrine"/>
    <x v="15"/>
    <x v="1"/>
    <s v="Metformin 1g BD"/>
    <n v="1"/>
    <s v="2160-0"/>
    <s v="Biochemistry"/>
    <s v="Serum creatinine"/>
    <x v="0"/>
    <s v="Not Tested"/>
    <n v="181"/>
    <n v="86"/>
    <x v="1"/>
    <s v="181/86"/>
    <n v="101"/>
    <n v="27"/>
    <n v="37.4"/>
    <n v="39.4"/>
    <s v="Obese"/>
    <n v="96"/>
    <s v="8480-6"/>
    <s v="8462-4"/>
    <s v="8867-4"/>
    <s v="39156-5"/>
    <s v="59408-5"/>
  </r>
  <r>
    <s v="PID-0116"/>
    <s v="ENC-0116-04"/>
    <x v="295"/>
    <x v="0"/>
    <x v="4"/>
    <x v="4"/>
    <s v="Dr. A. Mwangi"/>
    <d v="2002-09-04T00:00:00"/>
    <n v="23"/>
    <x v="0"/>
    <x v="0"/>
    <s v="Middle Eastern"/>
    <x v="1"/>
    <x v="2"/>
    <x v="1"/>
    <s v="5A00"/>
    <s v="Endocrine"/>
    <x v="15"/>
    <x v="1"/>
    <s v="Ramipril 5mg OD; Amlodipine 10mg OD; Prednisolone 5mg OD"/>
    <n v="3"/>
    <s v="718-7"/>
    <s v="Biochemistry"/>
    <s v="Haemoglobin"/>
    <x v="0"/>
    <s v="Not Tested"/>
    <n v="130"/>
    <n v="57"/>
    <x v="0"/>
    <s v="130/57"/>
    <n v="119"/>
    <n v="14"/>
    <n v="37.799999999999997"/>
    <n v="45.4"/>
    <s v="Obese"/>
    <n v="100"/>
    <s v="8480-6"/>
    <s v="8462-4"/>
    <s v="8867-4"/>
    <s v="39156-5"/>
    <s v="59408-5"/>
  </r>
  <r>
    <s v="PID-0116"/>
    <s v="ENC-0116-05"/>
    <x v="296"/>
    <x v="1"/>
    <x v="0"/>
    <x v="7"/>
    <s v="Dr. F. Hassan"/>
    <d v="2002-09-04T00:00:00"/>
    <n v="23"/>
    <x v="0"/>
    <x v="0"/>
    <s v="East Asian"/>
    <x v="1"/>
    <x v="2"/>
    <x v="1"/>
    <s v="5A00"/>
    <s v="Endocrine"/>
    <x v="15"/>
    <x v="1"/>
    <s v="Insulin glargine 20u ON; Amlodipine 10mg OD; Warfarin (variable); Omeprazole 20mg OD"/>
    <n v="4"/>
    <s v="6768-6"/>
    <s v="Biochemistry"/>
    <s v="ALP"/>
    <x v="1"/>
    <s v="Not Tested"/>
    <n v="176"/>
    <n v="92"/>
    <x v="1"/>
    <s v="176/92"/>
    <n v="61"/>
    <n v="18"/>
    <n v="38.1"/>
    <n v="42.8"/>
    <s v="Obese"/>
    <n v="95"/>
    <s v="8480-6"/>
    <s v="8462-4"/>
    <s v="8867-4"/>
    <s v="39156-5"/>
    <s v="59408-5"/>
  </r>
  <r>
    <s v="PID-0116"/>
    <s v="ENC-0116-06"/>
    <x v="297"/>
    <x v="2"/>
    <x v="2"/>
    <x v="1"/>
    <s v="Dr. R. Mendes"/>
    <d v="2002-09-04T00:00:00"/>
    <n v="23"/>
    <x v="0"/>
    <x v="0"/>
    <s v="Middle Eastern"/>
    <x v="1"/>
    <x v="2"/>
    <x v="1"/>
    <s v="5A00"/>
    <s v="Endocrine"/>
    <x v="15"/>
    <x v="1"/>
    <s v="Furosemide 40mg OD; Amlodipine 5mg OD; Clopidogrel 75mg OD"/>
    <n v="3"/>
    <s v="17861-6"/>
    <s v="Biochemistry"/>
    <s v="Serum calcium"/>
    <x v="1"/>
    <s v="Not Tested"/>
    <n v="160"/>
    <n v="108"/>
    <x v="1"/>
    <s v="160/108"/>
    <n v="89"/>
    <n v="21"/>
    <n v="36.700000000000003"/>
    <n v="32.1"/>
    <s v="Obese"/>
    <n v="91"/>
    <s v="8480-6"/>
    <s v="8462-4"/>
    <s v="8867-4"/>
    <s v="39156-5"/>
    <s v="59408-5"/>
  </r>
  <r>
    <s v="PID-0117"/>
    <s v="ENC-0117-01"/>
    <x v="298"/>
    <x v="0"/>
    <x v="2"/>
    <x v="0"/>
    <s v="Dr. T. Osei"/>
    <d v="1953-09-04T00:00:00"/>
    <n v="72"/>
    <x v="2"/>
    <x v="1"/>
    <s v="Mixed/Other"/>
    <x v="2"/>
    <x v="3"/>
    <x v="0"/>
    <s v="5A11"/>
    <s v="Endocrine"/>
    <x v="13"/>
    <x v="1"/>
    <s v="Insulin glargine 20u ON; Omeprazole 20mg OD"/>
    <n v="2"/>
    <s v="6768-6"/>
    <s v="Biochemistry"/>
    <s v="ALP"/>
    <x v="1"/>
    <s v="Not Tested"/>
    <n v="180"/>
    <s v="Not Recorded"/>
    <x v="2"/>
    <s v="180/Not Recorded"/>
    <n v="93"/>
    <n v="12"/>
    <n v="37.1"/>
    <n v="24.2"/>
    <s v="Non-Obese"/>
    <n v="97"/>
    <s v="8480-6"/>
    <s v="8462-4"/>
    <s v="8867-4"/>
    <s v="39156-5"/>
    <s v="59408-5"/>
  </r>
  <r>
    <s v="PID-0117"/>
    <s v="ENC-0117-02"/>
    <x v="299"/>
    <x v="2"/>
    <x v="2"/>
    <x v="7"/>
    <s v="Dr. T. Osei"/>
    <d v="1953-09-04T00:00:00"/>
    <n v="72"/>
    <x v="2"/>
    <x v="1"/>
    <s v="Middle Eastern"/>
    <x v="2"/>
    <x v="3"/>
    <x v="0"/>
    <s v="5A11"/>
    <s v="Endocrine"/>
    <x v="13"/>
    <x v="1"/>
    <s v="Metformin 1g BD; Insulin glargine 20u ON; Empagliflozin 10mg OD; Amlodipine 10mg OD"/>
    <n v="4"/>
    <s v="4548-4"/>
    <s v="Biochemistry"/>
    <s v="HbA1c"/>
    <x v="1"/>
    <s v="High"/>
    <s v="Not Recorded"/>
    <n v="98"/>
    <x v="2"/>
    <s v="Not Recorded/98"/>
    <n v="112"/>
    <n v="13"/>
    <n v="36.200000000000003"/>
    <n v="42.8"/>
    <s v="Obese"/>
    <n v="93"/>
    <s v="8480-6"/>
    <s v="8462-4"/>
    <s v="8867-4"/>
    <s v="39156-5"/>
    <s v="59408-5"/>
  </r>
  <r>
    <s v="PID-0117"/>
    <s v="ENC-0117-03"/>
    <x v="154"/>
    <x v="3"/>
    <x v="3"/>
    <x v="2"/>
    <s v="Dr. L. Patel"/>
    <d v="1953-09-04T00:00:00"/>
    <n v="72"/>
    <x v="2"/>
    <x v="1"/>
    <s v="Mixed/Other"/>
    <x v="2"/>
    <x v="3"/>
    <x v="0"/>
    <s v="5A11"/>
    <s v="Endocrine"/>
    <x v="13"/>
    <x v="1"/>
    <s v="Warfarin (variable)"/>
    <n v="1"/>
    <s v="2823-3"/>
    <s v="Biochemistry"/>
    <s v="Serum potassium"/>
    <x v="0"/>
    <s v="Not Tested"/>
    <s v="Not Recorded"/>
    <n v="80"/>
    <x v="2"/>
    <s v="Not Recorded/80"/>
    <n v="62"/>
    <n v="20"/>
    <n v="37.6"/>
    <s v="Invalid"/>
    <s v="Obese"/>
    <n v="100"/>
    <s v="8480-6"/>
    <s v="8462-4"/>
    <s v="8867-4"/>
    <s v="39156-5"/>
    <s v="59408-5"/>
  </r>
  <r>
    <s v="PID-0118"/>
    <s v="ENC-0118-01"/>
    <x v="300"/>
    <x v="1"/>
    <x v="0"/>
    <x v="6"/>
    <s v="NP J. Nakamura"/>
    <d v="2002-09-05T00:00:00"/>
    <n v="23"/>
    <x v="0"/>
    <x v="1"/>
    <s v="Mixed/Other"/>
    <x v="2"/>
    <x v="3"/>
    <x v="1"/>
    <s v="BA41"/>
    <s v="Cardiovascular"/>
    <x v="4"/>
    <x v="0"/>
    <s v="Amlodipine 5mg OD; Atorvastatin 40mg ON; Prednisolone 5mg OD; Insulin glargine 20u ON"/>
    <n v="4"/>
    <s v="718-7"/>
    <s v="Biochemistry"/>
    <s v="Haemoglobin"/>
    <x v="0"/>
    <s v="Not Tested"/>
    <n v="166"/>
    <n v="64"/>
    <x v="1"/>
    <s v="166/64"/>
    <n v="94"/>
    <n v="13"/>
    <n v="38.9"/>
    <n v="42.8"/>
    <s v="Obese"/>
    <n v="90"/>
    <s v="8480-6"/>
    <s v="8462-4"/>
    <s v="8867-4"/>
    <s v="39156-5"/>
    <s v="59408-5"/>
  </r>
  <r>
    <s v="PID-0118"/>
    <s v="ENC-0118-02"/>
    <x v="61"/>
    <x v="1"/>
    <x v="2"/>
    <x v="3"/>
    <s v="Dr. T. Osei"/>
    <d v="2002-09-05T00:00:00"/>
    <n v="23"/>
    <x v="0"/>
    <x v="1"/>
    <s v="East Asian"/>
    <x v="2"/>
    <x v="3"/>
    <x v="1"/>
    <s v="BA41"/>
    <s v="Cardiovascular"/>
    <x v="4"/>
    <x v="0"/>
    <s v="Metoprolol 50mg BD; None; Salbutamol 100mcg PRN; Levothyroxine 50mcg OD"/>
    <n v="4"/>
    <s v="13457-7"/>
    <s v="Biochemistry"/>
    <s v="LDL cholesterol"/>
    <x v="1"/>
    <s v="Not Tested"/>
    <n v="146"/>
    <n v="109"/>
    <x v="1"/>
    <s v="146/109"/>
    <n v="109"/>
    <n v="20"/>
    <n v="38.299999999999997"/>
    <n v="34.799999999999997"/>
    <s v="Obese"/>
    <n v="97"/>
    <s v="8480-6"/>
    <s v="8462-4"/>
    <s v="8867-4"/>
    <s v="39156-5"/>
    <s v="59408-5"/>
  </r>
  <r>
    <s v="PID-0119"/>
    <s v="ENC-0119-01"/>
    <x v="284"/>
    <x v="2"/>
    <x v="1"/>
    <x v="9"/>
    <s v="Dr. A. Mwangi"/>
    <d v="1957-06-18T00:00:00"/>
    <n v="68"/>
    <x v="2"/>
    <x v="0"/>
    <s v="Black African"/>
    <x v="3"/>
    <x v="3"/>
    <x v="0"/>
    <s v="5A11"/>
    <s v="Endocrine"/>
    <x v="13"/>
    <x v="1"/>
    <s v="Clopidogrel 75mg OD"/>
    <n v="1"/>
    <s v="2951-2"/>
    <s v="Biochemistry"/>
    <s v="Serum sodium"/>
    <x v="2"/>
    <s v="Not Tested"/>
    <n v="97"/>
    <n v="93"/>
    <x v="1"/>
    <s v="97/93"/>
    <n v="108"/>
    <n v="17"/>
    <n v="38.1"/>
    <n v="35.9"/>
    <s v="Obese"/>
    <n v="88"/>
    <s v="8480-6"/>
    <s v="8462-4"/>
    <s v="8867-4"/>
    <s v="39156-5"/>
    <s v="59408-5"/>
  </r>
  <r>
    <s v="PID-0119"/>
    <s v="ENC-0119-02"/>
    <x v="301"/>
    <x v="2"/>
    <x v="0"/>
    <x v="9"/>
    <s v="Dr. A. Mwangi"/>
    <d v="1957-06-18T00:00:00"/>
    <n v="68"/>
    <x v="2"/>
    <x v="0"/>
    <s v="South Asian"/>
    <x v="3"/>
    <x v="3"/>
    <x v="0"/>
    <s v="5A11"/>
    <s v="Endocrine"/>
    <x v="13"/>
    <x v="1"/>
    <s v="Metformin 1g BD; Prednisolone 5mg OD; Levothyroxine 50mcg OD; Amlodipine 10mg OD"/>
    <n v="4"/>
    <s v="718-7"/>
    <s v="Biochemistry"/>
    <s v="Haemoglobin"/>
    <x v="0"/>
    <s v="Not Tested"/>
    <n v="179"/>
    <n v="66"/>
    <x v="1"/>
    <s v="179/66"/>
    <n v="51"/>
    <n v="25"/>
    <n v="36.799999999999997"/>
    <n v="37.6"/>
    <s v="Obese"/>
    <n v="99"/>
    <s v="8480-6"/>
    <s v="8462-4"/>
    <s v="8867-4"/>
    <s v="39156-5"/>
    <s v="59408-5"/>
  </r>
  <r>
    <s v="PID-0119"/>
    <s v="ENC-0119-03"/>
    <x v="302"/>
    <x v="1"/>
    <x v="1"/>
    <x v="1"/>
    <s v="Dr. T. Osei"/>
    <d v="1957-06-18T00:00:00"/>
    <n v="68"/>
    <x v="2"/>
    <x v="0"/>
    <s v="Hispanic/Latino"/>
    <x v="3"/>
    <x v="3"/>
    <x v="0"/>
    <s v="5A11"/>
    <s v="Endocrine"/>
    <x v="13"/>
    <x v="1"/>
    <s v="Salbutamol 100mcg PRN; Furosemide 40mg OD; Bisoprolol 5mg OD"/>
    <n v="3"/>
    <s v="2823-3"/>
    <s v="Biochemistry"/>
    <s v="Serum potassium"/>
    <x v="0"/>
    <s v="Not Tested"/>
    <n v="111"/>
    <n v="56"/>
    <x v="0"/>
    <s v="111/56"/>
    <n v="90"/>
    <n v="18"/>
    <n v="36.299999999999997"/>
    <n v="45.4"/>
    <s v="Obese"/>
    <n v="94"/>
    <s v="8480-6"/>
    <s v="8462-4"/>
    <s v="8867-4"/>
    <s v="39156-5"/>
    <s v="59408-5"/>
  </r>
  <r>
    <s v="PID-0119"/>
    <s v="ENC-0119-04"/>
    <x v="303"/>
    <x v="1"/>
    <x v="1"/>
    <x v="8"/>
    <s v="Dr. R. Mendes"/>
    <d v="1957-06-18T00:00:00"/>
    <n v="68"/>
    <x v="2"/>
    <x v="0"/>
    <s v="East Asian"/>
    <x v="3"/>
    <x v="3"/>
    <x v="0"/>
    <s v="5A11"/>
    <s v="Endocrine"/>
    <x v="13"/>
    <x v="1"/>
    <s v="Bisoprolol 5mg OD; Amlodipine 10mg OD; Atorvastatin 40mg ON"/>
    <n v="3"/>
    <s v="2823-3"/>
    <s v="Biochemistry"/>
    <s v="Serum potassium"/>
    <x v="0"/>
    <s v="Not Tested"/>
    <n v="100"/>
    <n v="113"/>
    <x v="1"/>
    <s v="100/113"/>
    <n v="64"/>
    <n v="23"/>
    <n v="37"/>
    <n v="20.3"/>
    <s v="Non-Obese"/>
    <n v="89"/>
    <s v="8480-6"/>
    <s v="8462-4"/>
    <s v="8867-4"/>
    <s v="39156-5"/>
    <s v="59408-5"/>
  </r>
  <r>
    <s v="PID-0119"/>
    <s v="ENC-0119-05"/>
    <x v="304"/>
    <x v="4"/>
    <x v="2"/>
    <x v="0"/>
    <s v="Dr. Y. Kim"/>
    <d v="1957-06-18T00:00:00"/>
    <n v="68"/>
    <x v="2"/>
    <x v="0"/>
    <s v="Mixed/Other"/>
    <x v="3"/>
    <x v="3"/>
    <x v="0"/>
    <s v="5A11"/>
    <s v="Endocrine"/>
    <x v="13"/>
    <x v="1"/>
    <s v="Aspirin 75mg OD; Amlodipine 5mg OD; Bisoprolol 5mg OD; Atorvastatin 40mg ON"/>
    <n v="4"/>
    <s v="2345-7"/>
    <s v="Biochemistry"/>
    <s v="Serum glucose (fasting)"/>
    <x v="0"/>
    <s v="Not Tested"/>
    <n v="163"/>
    <n v="78"/>
    <x v="1"/>
    <s v="163/78"/>
    <n v="59"/>
    <n v="13"/>
    <n v="37.5"/>
    <n v="29.1"/>
    <s v="Non-Obese"/>
    <n v="93"/>
    <s v="8480-6"/>
    <s v="8462-4"/>
    <s v="8867-4"/>
    <s v="39156-5"/>
    <s v="59408-5"/>
  </r>
  <r>
    <s v="PID-0119"/>
    <s v="ENC-0119-06"/>
    <x v="32"/>
    <x v="2"/>
    <x v="3"/>
    <x v="2"/>
    <s v="Dr. A. Mwangi"/>
    <d v="1957-06-18T00:00:00"/>
    <n v="68"/>
    <x v="2"/>
    <x v="0"/>
    <s v="Middle Eastern"/>
    <x v="3"/>
    <x v="3"/>
    <x v="0"/>
    <s v="5A11"/>
    <s v="Endocrine"/>
    <x v="13"/>
    <x v="1"/>
    <s v="Prednisolone 5mg OD; Ramipril 5mg OD"/>
    <n v="2"/>
    <s v="2085-9"/>
    <s v="Biochemistry"/>
    <s v="HDL cholesterol"/>
    <x v="0"/>
    <s v="Not Tested"/>
    <n v="135"/>
    <n v="106"/>
    <x v="1"/>
    <s v="135/106"/>
    <n v="88"/>
    <n v="25"/>
    <n v="36.5"/>
    <n v="32.9"/>
    <s v="Obese"/>
    <n v="89"/>
    <s v="8480-6"/>
    <s v="8462-4"/>
    <s v="8867-4"/>
    <s v="39156-5"/>
    <s v="59408-5"/>
  </r>
  <r>
    <s v="PID-0120"/>
    <s v="ENC-0120-01"/>
    <x v="228"/>
    <x v="1"/>
    <x v="3"/>
    <x v="5"/>
    <s v="Dr. L. Patel"/>
    <d v="1970-11-06T00:00:00"/>
    <n v="55"/>
    <x v="3"/>
    <x v="1"/>
    <s v="Hispanic/Latino"/>
    <x v="3"/>
    <x v="3"/>
    <x v="1"/>
    <s v="BA80"/>
    <s v="Cardiovascular"/>
    <x v="16"/>
    <x v="1"/>
    <s v="Omeprazole 20mg OD"/>
    <n v="1"/>
    <s v="14627-4"/>
    <s v="Biochemistry"/>
    <s v="eGFR (CKD-EPI)"/>
    <x v="1"/>
    <s v="Not Tested"/>
    <n v="185"/>
    <n v="106"/>
    <x v="1"/>
    <s v="185/106"/>
    <n v="66"/>
    <n v="25"/>
    <n v="36.9"/>
    <n v="22.1"/>
    <s v="Non-Obese"/>
    <n v="94"/>
    <s v="8480-6"/>
    <s v="8462-4"/>
    <s v="8867-4"/>
    <s v="39156-5"/>
    <s v="5940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96A427-E41C-8544-8699-F0B0A22F89CA}" name="Patients by Insurance Status"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13:Q18" firstHeaderRow="1" firstDataRow="1" firstDataCol="1"/>
  <pivotFields count="41">
    <pivotField dataField="1" showAll="0"/>
    <pivotField showAll="0"/>
    <pivotField numFmtId="164" showAll="0"/>
    <pivotField showAll="0"/>
    <pivotField showAll="0"/>
    <pivotField showAll="0"/>
    <pivotField showAll="0"/>
    <pivotField numFmtId="164" showAll="0"/>
    <pivotField showAll="0"/>
    <pivotField showAll="0">
      <items count="6">
        <item h="1" x="4"/>
        <item x="3"/>
        <item x="1"/>
        <item x="2"/>
        <item x="0"/>
        <item t="default"/>
      </items>
    </pivotField>
    <pivotField showAll="0">
      <items count="3">
        <item x="1"/>
        <item x="0"/>
        <item t="default"/>
      </items>
    </pivotField>
    <pivotField showAll="0"/>
    <pivotField axis="axisRow" showAll="0">
      <items count="5">
        <item x="3"/>
        <item x="0"/>
        <item x="1"/>
        <item x="2"/>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Count of Patient_ID" fld="0" subtotal="count"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2" count="1" selected="0">
            <x v="0"/>
          </reference>
        </references>
      </pivotArea>
    </chartFormat>
    <chartFormat chart="6" format="12">
      <pivotArea type="data" outline="0" fieldPosition="0">
        <references count="2">
          <reference field="4294967294" count="1" selected="0">
            <x v="0"/>
          </reference>
          <reference field="12" count="1" selected="0">
            <x v="1"/>
          </reference>
        </references>
      </pivotArea>
    </chartFormat>
    <chartFormat chart="6" format="13">
      <pivotArea type="data" outline="0" fieldPosition="0">
        <references count="2">
          <reference field="4294967294" count="1" selected="0">
            <x v="0"/>
          </reference>
          <reference field="12" count="1" selected="0">
            <x v="2"/>
          </reference>
        </references>
      </pivotArea>
    </chartFormat>
    <chartFormat chart="6"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53ED6-8510-CA4E-8956-76BDABBD8960}" name="Number of Patients per Facility"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3:Q9" firstHeaderRow="1" firstDataRow="1" firstDataCol="1"/>
  <pivotFields count="41">
    <pivotField showAll="0"/>
    <pivotField dataField="1" showAll="0"/>
    <pivotField numFmtId="164" showAll="0"/>
    <pivotField showAll="0"/>
    <pivotField axis="axisRow" showAll="0">
      <items count="6">
        <item x="0"/>
        <item x="3"/>
        <item x="1"/>
        <item x="4"/>
        <item x="2"/>
        <item t="default"/>
      </items>
    </pivotField>
    <pivotField showAll="0"/>
    <pivotField showAll="0"/>
    <pivotField numFmtId="164" showAll="0"/>
    <pivotField showAll="0"/>
    <pivotField showAll="0">
      <items count="6">
        <item h="1" x="4"/>
        <item x="3"/>
        <item x="1"/>
        <item x="2"/>
        <item x="0"/>
        <item t="default"/>
      </items>
    </pivotField>
    <pivotField showAll="0">
      <items count="3">
        <item x="1"/>
        <item x="0"/>
        <item t="default"/>
      </items>
    </pivotField>
    <pivotField showAll="0"/>
    <pivotField showAll="0"/>
    <pivotField showAll="0">
      <items count="5">
        <item x="3"/>
        <item x="2"/>
        <item x="0"/>
        <item x="1"/>
        <item t="default"/>
      </items>
    </pivotField>
    <pivotField showAll="0">
      <items count="5">
        <item x="0"/>
        <item x="3"/>
        <item x="1"/>
        <item x="2"/>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ncounter_ID" fld="1" subtotal="count" baseField="0" baseItem="0"/>
  </dataField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4" format="16">
      <pivotArea type="data" outline="0" fieldPosition="0">
        <references count="2">
          <reference field="4294967294" count="1" selected="0">
            <x v="0"/>
          </reference>
          <reference field="4" count="1" selected="0">
            <x v="3"/>
          </reference>
        </references>
      </pivotArea>
    </chartFormat>
    <chartFormat chart="4"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9D17E-3778-FC48-9051-E676C0FE289A}" name="Abnormal Lab Rates by Diagnosis"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0:L39" firstHeaderRow="1" firstDataRow="2" firstDataCol="1"/>
  <pivotFields count="41">
    <pivotField showAll="0"/>
    <pivotField dataField="1" showAll="0"/>
    <pivotField numFmtId="164" showAll="0"/>
    <pivotField showAll="0"/>
    <pivotField showAll="0"/>
    <pivotField showAll="0"/>
    <pivotField showAll="0"/>
    <pivotField numFmtId="164" showAll="0"/>
    <pivotField showAll="0"/>
    <pivotField showAll="0">
      <items count="6">
        <item h="1" x="4"/>
        <item x="3"/>
        <item x="1"/>
        <item x="2"/>
        <item x="0"/>
        <item t="default"/>
      </items>
    </pivotField>
    <pivotField showAll="0">
      <items count="3">
        <item x="1"/>
        <item x="0"/>
        <item t="default"/>
      </items>
    </pivotField>
    <pivotField showAll="0"/>
    <pivotField showAll="0"/>
    <pivotField showAll="0">
      <items count="5">
        <item x="3"/>
        <item x="2"/>
        <item x="0"/>
        <item x="1"/>
        <item t="default"/>
      </items>
    </pivotField>
    <pivotField showAll="0">
      <items count="5">
        <item x="0"/>
        <item x="3"/>
        <item x="1"/>
        <item x="2"/>
        <item t="default"/>
      </items>
    </pivotField>
    <pivotField showAll="0"/>
    <pivotField showAll="0"/>
    <pivotField axis="axisRow" showAll="0">
      <items count="18">
        <item x="4"/>
        <item x="8"/>
        <item x="2"/>
        <item x="12"/>
        <item x="10"/>
        <item x="3"/>
        <item x="16"/>
        <item x="5"/>
        <item x="6"/>
        <item x="0"/>
        <item x="9"/>
        <item x="14"/>
        <item x="11"/>
        <item x="15"/>
        <item x="1"/>
        <item x="13"/>
        <item x="7"/>
        <item t="default"/>
      </items>
    </pivotField>
    <pivotField showAll="0">
      <items count="3">
        <item x="0"/>
        <item x="1"/>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8">
    <i>
      <x/>
    </i>
    <i>
      <x v="1"/>
    </i>
    <i>
      <x v="2"/>
    </i>
    <i>
      <x v="3"/>
    </i>
    <i>
      <x v="4"/>
    </i>
    <i>
      <x v="5"/>
    </i>
    <i>
      <x v="6"/>
    </i>
    <i>
      <x v="7"/>
    </i>
    <i>
      <x v="8"/>
    </i>
    <i>
      <x v="9"/>
    </i>
    <i>
      <x v="10"/>
    </i>
    <i>
      <x v="11"/>
    </i>
    <i>
      <x v="12"/>
    </i>
    <i>
      <x v="13"/>
    </i>
    <i>
      <x v="14"/>
    </i>
    <i>
      <x v="15"/>
    </i>
    <i>
      <x v="16"/>
    </i>
    <i t="grand">
      <x/>
    </i>
  </rowItems>
  <colFields count="1">
    <field x="24"/>
  </colFields>
  <colItems count="4">
    <i>
      <x/>
    </i>
    <i>
      <x v="1"/>
    </i>
    <i>
      <x v="2"/>
    </i>
    <i t="grand">
      <x/>
    </i>
  </colItems>
  <dataFields count="1">
    <dataField name="Count of Encounter_ID" fld="1" subtotal="count" showDataAs="percentOfRow" baseField="0" baseItem="0" numFmtId="10"/>
  </dataFields>
  <chartFormats count="3">
    <chartFormat chart="5" format="6" series="1">
      <pivotArea type="data" outline="0" fieldPosition="0">
        <references count="2">
          <reference field="4294967294" count="1" selected="0">
            <x v="0"/>
          </reference>
          <reference field="24" count="1" selected="0">
            <x v="0"/>
          </reference>
        </references>
      </pivotArea>
    </chartFormat>
    <chartFormat chart="5" format="7" series="1">
      <pivotArea type="data" outline="0" fieldPosition="0">
        <references count="2">
          <reference field="4294967294" count="1" selected="0">
            <x v="0"/>
          </reference>
          <reference field="24" count="1" selected="0">
            <x v="1"/>
          </reference>
        </references>
      </pivotArea>
    </chartFormat>
    <chartFormat chart="5" format="8"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C7886E-2A64-274E-B27A-84B2E28C665E}" name="Encounter Type by County" cacheId="10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H3:N15" firstHeaderRow="1" firstDataRow="2" firstDataCol="1"/>
  <pivotFields count="41">
    <pivotField showAll="0"/>
    <pivotField dataField="1" showAll="0"/>
    <pivotField numFmtId="164" showAll="0">
      <items count="306">
        <item x="16"/>
        <item x="193"/>
        <item x="281"/>
        <item x="132"/>
        <item x="157"/>
        <item x="186"/>
        <item x="247"/>
        <item x="53"/>
        <item x="300"/>
        <item x="0"/>
        <item x="271"/>
        <item x="73"/>
        <item x="88"/>
        <item x="50"/>
        <item x="291"/>
        <item x="41"/>
        <item x="145"/>
        <item x="221"/>
        <item x="295"/>
        <item x="136"/>
        <item x="172"/>
        <item x="75"/>
        <item x="232"/>
        <item x="12"/>
        <item x="285"/>
        <item x="183"/>
        <item x="188"/>
        <item x="175"/>
        <item x="207"/>
        <item x="69"/>
        <item x="65"/>
        <item x="158"/>
        <item x="89"/>
        <item x="7"/>
        <item x="156"/>
        <item x="15"/>
        <item x="282"/>
        <item x="146"/>
        <item x="39"/>
        <item x="66"/>
        <item x="204"/>
        <item x="122"/>
        <item x="77"/>
        <item x="102"/>
        <item x="184"/>
        <item x="251"/>
        <item x="209"/>
        <item x="124"/>
        <item x="115"/>
        <item x="202"/>
        <item x="161"/>
        <item x="108"/>
        <item x="303"/>
        <item x="198"/>
        <item x="100"/>
        <item x="10"/>
        <item x="43"/>
        <item x="269"/>
        <item x="28"/>
        <item x="192"/>
        <item x="288"/>
        <item x="13"/>
        <item x="121"/>
        <item x="86"/>
        <item x="220"/>
        <item x="59"/>
        <item x="52"/>
        <item x="93"/>
        <item x="42"/>
        <item x="48"/>
        <item x="144"/>
        <item x="129"/>
        <item x="104"/>
        <item x="82"/>
        <item x="227"/>
        <item x="5"/>
        <item x="169"/>
        <item x="149"/>
        <item x="128"/>
        <item x="272"/>
        <item x="37"/>
        <item x="11"/>
        <item x="167"/>
        <item x="3"/>
        <item x="142"/>
        <item x="159"/>
        <item x="196"/>
        <item x="296"/>
        <item x="280"/>
        <item x="231"/>
        <item x="267"/>
        <item x="90"/>
        <item x="205"/>
        <item x="87"/>
        <item x="97"/>
        <item x="92"/>
        <item x="63"/>
        <item x="178"/>
        <item x="190"/>
        <item x="61"/>
        <item x="81"/>
        <item x="76"/>
        <item x="40"/>
        <item x="152"/>
        <item x="79"/>
        <item x="237"/>
        <item x="153"/>
        <item x="123"/>
        <item x="106"/>
        <item x="9"/>
        <item x="105"/>
        <item x="200"/>
        <item x="24"/>
        <item x="275"/>
        <item x="27"/>
        <item x="233"/>
        <item x="57"/>
        <item x="1"/>
        <item x="256"/>
        <item x="194"/>
        <item x="101"/>
        <item x="263"/>
        <item x="189"/>
        <item x="83"/>
        <item x="211"/>
        <item x="268"/>
        <item x="84"/>
        <item x="214"/>
        <item x="258"/>
        <item x="219"/>
        <item x="113"/>
        <item x="228"/>
        <item x="126"/>
        <item x="119"/>
        <item x="107"/>
        <item x="191"/>
        <item x="117"/>
        <item x="4"/>
        <item x="54"/>
        <item x="20"/>
        <item x="60"/>
        <item x="32"/>
        <item x="185"/>
        <item x="223"/>
        <item x="22"/>
        <item x="47"/>
        <item x="279"/>
        <item x="187"/>
        <item x="173"/>
        <item x="218"/>
        <item x="31"/>
        <item x="302"/>
        <item x="210"/>
        <item x="45"/>
        <item x="58"/>
        <item x="260"/>
        <item x="226"/>
        <item x="299"/>
        <item x="294"/>
        <item x="215"/>
        <item x="147"/>
        <item x="181"/>
        <item x="72"/>
        <item x="293"/>
        <item x="262"/>
        <item x="141"/>
        <item x="208"/>
        <item x="114"/>
        <item x="34"/>
        <item x="253"/>
        <item x="118"/>
        <item x="154"/>
        <item x="270"/>
        <item x="36"/>
        <item x="229"/>
        <item x="71"/>
        <item x="278"/>
        <item x="133"/>
        <item x="55"/>
        <item x="304"/>
        <item x="95"/>
        <item x="276"/>
        <item x="170"/>
        <item x="236"/>
        <item x="130"/>
        <item x="135"/>
        <item x="33"/>
        <item x="103"/>
        <item x="30"/>
        <item x="26"/>
        <item x="234"/>
        <item x="112"/>
        <item x="14"/>
        <item x="44"/>
        <item x="217"/>
        <item x="134"/>
        <item x="212"/>
        <item x="35"/>
        <item x="240"/>
        <item x="23"/>
        <item x="277"/>
        <item x="292"/>
        <item x="94"/>
        <item x="180"/>
        <item x="177"/>
        <item x="160"/>
        <item x="64"/>
        <item x="140"/>
        <item x="259"/>
        <item x="245"/>
        <item x="29"/>
        <item x="241"/>
        <item x="176"/>
        <item x="248"/>
        <item x="151"/>
        <item x="25"/>
        <item x="182"/>
        <item x="274"/>
        <item x="261"/>
        <item x="289"/>
        <item x="239"/>
        <item x="127"/>
        <item x="235"/>
        <item x="165"/>
        <item x="62"/>
        <item x="224"/>
        <item x="225"/>
        <item x="206"/>
        <item x="195"/>
        <item x="109"/>
        <item x="273"/>
        <item x="230"/>
        <item x="199"/>
        <item x="246"/>
        <item x="163"/>
        <item x="91"/>
        <item x="148"/>
        <item x="216"/>
        <item x="290"/>
        <item x="168"/>
        <item x="125"/>
        <item x="8"/>
        <item x="242"/>
        <item x="150"/>
        <item x="301"/>
        <item x="21"/>
        <item x="17"/>
        <item x="18"/>
        <item x="2"/>
        <item x="162"/>
        <item x="201"/>
        <item x="255"/>
        <item x="286"/>
        <item x="222"/>
        <item x="99"/>
        <item x="85"/>
        <item x="137"/>
        <item x="264"/>
        <item x="174"/>
        <item x="51"/>
        <item x="249"/>
        <item x="244"/>
        <item x="197"/>
        <item x="96"/>
        <item x="166"/>
        <item x="284"/>
        <item x="19"/>
        <item x="78"/>
        <item x="155"/>
        <item x="131"/>
        <item x="238"/>
        <item x="70"/>
        <item x="46"/>
        <item x="120"/>
        <item x="171"/>
        <item x="297"/>
        <item x="74"/>
        <item x="203"/>
        <item x="98"/>
        <item x="110"/>
        <item x="252"/>
        <item x="49"/>
        <item x="56"/>
        <item x="116"/>
        <item x="6"/>
        <item x="266"/>
        <item x="265"/>
        <item x="213"/>
        <item x="111"/>
        <item x="67"/>
        <item x="179"/>
        <item x="164"/>
        <item x="250"/>
        <item x="68"/>
        <item x="287"/>
        <item x="38"/>
        <item x="257"/>
        <item x="138"/>
        <item x="254"/>
        <item x="283"/>
        <item x="298"/>
        <item x="139"/>
        <item x="143"/>
        <item x="243"/>
        <item x="80"/>
        <item t="default"/>
      </items>
    </pivotField>
    <pivotField axis="axisCol" showAll="0">
      <items count="6">
        <item x="4"/>
        <item x="2"/>
        <item x="0"/>
        <item x="1"/>
        <item x="3"/>
        <item t="default"/>
      </items>
    </pivotField>
    <pivotField showAll="0"/>
    <pivotField axis="axisRow" showAll="0">
      <items count="11">
        <item x="1"/>
        <item x="7"/>
        <item x="0"/>
        <item x="3"/>
        <item x="6"/>
        <item x="5"/>
        <item x="2"/>
        <item x="8"/>
        <item x="9"/>
        <item x="4"/>
        <item t="default"/>
      </items>
    </pivotField>
    <pivotField showAll="0"/>
    <pivotField numFmtId="164" showAll="0"/>
    <pivotField showAll="0"/>
    <pivotField showAll="0">
      <items count="6">
        <item h="1" x="4"/>
        <item x="3"/>
        <item x="1"/>
        <item x="2"/>
        <item x="0"/>
        <item t="default"/>
      </items>
    </pivotField>
    <pivotField showAll="0">
      <items count="3">
        <item x="1"/>
        <item x="0"/>
        <item t="default"/>
      </items>
    </pivotField>
    <pivotField showAll="0"/>
    <pivotField showAll="0"/>
    <pivotField showAll="0">
      <items count="5">
        <item x="3"/>
        <item x="2"/>
        <item x="0"/>
        <item x="1"/>
        <item t="default"/>
      </items>
    </pivotField>
    <pivotField showAll="0">
      <items count="5">
        <item x="0"/>
        <item x="3"/>
        <item x="1"/>
        <item x="2"/>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
    </i>
    <i>
      <x v="2"/>
    </i>
    <i>
      <x v="3"/>
    </i>
    <i>
      <x v="4"/>
    </i>
    <i>
      <x v="5"/>
    </i>
    <i>
      <x v="6"/>
    </i>
    <i>
      <x v="7"/>
    </i>
    <i>
      <x v="8"/>
    </i>
    <i>
      <x v="9"/>
    </i>
    <i t="grand">
      <x/>
    </i>
  </rowItems>
  <colFields count="1">
    <field x="3"/>
  </colFields>
  <colItems count="6">
    <i>
      <x/>
    </i>
    <i>
      <x v="1"/>
    </i>
    <i>
      <x v="2"/>
    </i>
    <i>
      <x v="3"/>
    </i>
    <i>
      <x v="4"/>
    </i>
    <i t="grand">
      <x/>
    </i>
  </colItems>
  <dataFields count="1">
    <dataField name="Count of Encounter_ID" fld="1" subtotal="count" baseField="0" baseItem="0"/>
  </dataFields>
  <chartFormats count="5">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5A9D38-86FA-DF4E-93A8-DC33AEE9B6EB}" name="Number of Patients by Diagnosis"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31" firstHeaderRow="1" firstDataRow="1" firstDataCol="1"/>
  <pivotFields count="41">
    <pivotField showAll="0"/>
    <pivotField dataField="1" showAll="0"/>
    <pivotField numFmtId="164" showAll="0"/>
    <pivotField showAll="0"/>
    <pivotField showAll="0"/>
    <pivotField showAll="0"/>
    <pivotField showAll="0"/>
    <pivotField numFmtId="164" showAll="0"/>
    <pivotField showAll="0"/>
    <pivotField showAll="0">
      <items count="6">
        <item h="1" x="4"/>
        <item x="3"/>
        <item x="1"/>
        <item x="2"/>
        <item x="0"/>
        <item t="default"/>
      </items>
    </pivotField>
    <pivotField showAll="0">
      <items count="3">
        <item x="1"/>
        <item x="0"/>
        <item t="default"/>
      </items>
    </pivotField>
    <pivotField showAll="0"/>
    <pivotField showAll="0"/>
    <pivotField showAll="0">
      <items count="5">
        <item x="3"/>
        <item x="2"/>
        <item x="0"/>
        <item x="1"/>
        <item t="default"/>
      </items>
    </pivotField>
    <pivotField showAll="0">
      <items count="5">
        <item x="0"/>
        <item x="3"/>
        <item x="1"/>
        <item x="2"/>
        <item t="default"/>
      </items>
    </pivotField>
    <pivotField showAll="0"/>
    <pivotField showAll="0"/>
    <pivotField axis="axisRow" showAll="0" sortType="ascending">
      <items count="18">
        <item x="4"/>
        <item x="8"/>
        <item x="2"/>
        <item x="12"/>
        <item x="10"/>
        <item x="3"/>
        <item x="16"/>
        <item x="5"/>
        <item x="6"/>
        <item x="0"/>
        <item x="9"/>
        <item x="14"/>
        <item x="11"/>
        <item x="15"/>
        <item x="1"/>
        <item x="13"/>
        <item x="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8">
    <i>
      <x/>
    </i>
    <i>
      <x v="3"/>
    </i>
    <i>
      <x v="10"/>
    </i>
    <i>
      <x v="13"/>
    </i>
    <i>
      <x v="9"/>
    </i>
    <i>
      <x v="6"/>
    </i>
    <i>
      <x v="16"/>
    </i>
    <i>
      <x v="11"/>
    </i>
    <i>
      <x v="7"/>
    </i>
    <i>
      <x v="8"/>
    </i>
    <i>
      <x v="4"/>
    </i>
    <i>
      <x v="2"/>
    </i>
    <i>
      <x v="15"/>
    </i>
    <i>
      <x v="14"/>
    </i>
    <i>
      <x v="5"/>
    </i>
    <i>
      <x v="1"/>
    </i>
    <i>
      <x v="12"/>
    </i>
    <i t="grand">
      <x/>
    </i>
  </rowItems>
  <colItems count="1">
    <i/>
  </colItems>
  <dataFields count="1">
    <dataField name="Count of Encounter_ID" fld="1"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BF8CCA-103B-514E-9CE8-453012533FDC}" name="BP Control by Age Group"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9" firstHeaderRow="1" firstDataRow="2" firstDataCol="1"/>
  <pivotFields count="41">
    <pivotField showAll="0"/>
    <pivotField dataField="1" showAll="0"/>
    <pivotField numFmtId="164" showAll="0"/>
    <pivotField showAll="0"/>
    <pivotField showAll="0"/>
    <pivotField showAll="0"/>
    <pivotField showAll="0"/>
    <pivotField numFmtId="164" showAll="0"/>
    <pivotField showAll="0"/>
    <pivotField axis="axisRow" showAll="0" sortType="descending">
      <items count="6">
        <item h="1" x="4"/>
        <item x="3"/>
        <item x="1"/>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5">
        <item x="3"/>
        <item x="2"/>
        <item x="0"/>
        <item x="1"/>
        <item t="default"/>
      </items>
    </pivotField>
    <pivotField showAll="0">
      <items count="5">
        <item x="0"/>
        <item x="3"/>
        <item x="1"/>
        <item x="2"/>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Col"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v="3"/>
    </i>
    <i>
      <x v="4"/>
    </i>
    <i>
      <x v="1"/>
    </i>
    <i>
      <x v="2"/>
    </i>
    <i t="grand">
      <x/>
    </i>
  </rowItems>
  <colFields count="1">
    <field x="28"/>
  </colFields>
  <colItems count="4">
    <i>
      <x/>
    </i>
    <i>
      <x v="1"/>
    </i>
    <i>
      <x v="2"/>
    </i>
    <i t="grand">
      <x/>
    </i>
  </colItems>
  <dataFields count="1">
    <dataField name="Count of Encounter_ID" fld="1" subtotal="count" showDataAs="percentOfRow" baseField="0" baseItem="0" numFmtId="10"/>
  </dataFields>
  <chartFormats count="3">
    <chartFormat chart="5" format="6" series="1">
      <pivotArea type="data" outline="0" fieldPosition="0">
        <references count="2">
          <reference field="4294967294" count="1" selected="0">
            <x v="0"/>
          </reference>
          <reference field="28" count="1" selected="0">
            <x v="0"/>
          </reference>
        </references>
      </pivotArea>
    </chartFormat>
    <chartFormat chart="5" format="7" series="1">
      <pivotArea type="data" outline="0" fieldPosition="0">
        <references count="2">
          <reference field="4294967294" count="1" selected="0">
            <x v="0"/>
          </reference>
          <reference field="28" count="1" selected="0">
            <x v="1"/>
          </reference>
        </references>
      </pivotArea>
    </chartFormat>
    <chartFormat chart="5" format="8" series="1">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433C747-5EF5-5041-9228-963FAEB8D507}" sourceName="Age Group">
  <pivotTables>
    <pivotTable tabId="8" name="Number of Patients per Facility"/>
    <pivotTable tabId="8" name="Abnormal Lab Rates by Diagnosis"/>
    <pivotTable tabId="8" name="BP Control by Age Group"/>
    <pivotTable tabId="8" name="Encounter Type by County"/>
    <pivotTable tabId="8" name="Number of Patients by Diagnosis"/>
    <pivotTable tabId="8" name="Patients by Insurance Status"/>
  </pivotTables>
  <data>
    <tabular pivotCacheId="1062368054">
      <items count="5">
        <i x="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182706D7-2149-5F4C-BE59-303FF4C7AB99}" sourceName="Sex">
  <pivotTables>
    <pivotTable tabId="8" name="Number of Patients per Facility"/>
    <pivotTable tabId="8" name="Abnormal Lab Rates by Diagnosis"/>
    <pivotTable tabId="8" name="BP Control by Age Group"/>
    <pivotTable tabId="8" name="Encounter Type by County"/>
    <pivotTable tabId="8" name="Number of Patients by Diagnosis"/>
    <pivotTable tabId="8" name="Patients by Insurance Status"/>
  </pivotTables>
  <data>
    <tabular pivotCacheId="106236805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BF0682E1-A24A-664E-AAE4-7812D81A5371}" sourceName="Smoking_Status">
  <pivotTables>
    <pivotTable tabId="8" name="Number of Patients per Facility"/>
    <pivotTable tabId="8" name="Abnormal Lab Rates by Diagnosis"/>
    <pivotTable tabId="8" name="BP Control by Age Group"/>
    <pivotTable tabId="8" name="Encounter Type by County"/>
    <pivotTable tabId="8" name="Number of Patients by Diagnosis"/>
  </pivotTables>
  <data>
    <tabular pivotCacheId="1062368054">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ronic_Condition" xr10:uid="{A3BB50E5-4B9A-2449-BBEF-FE74CE555F1D}" sourceName="Chronic_Condition">
  <pivotTables>
    <pivotTable tabId="8" name="Number of Patients per Facility"/>
    <pivotTable tabId="8" name="Abnormal Lab Rates by Diagnosis"/>
    <pivotTable tabId="8" name="BP Control by Age Group"/>
    <pivotTable tabId="8" name="Encounter Type by County"/>
    <pivotTable tabId="8" name="Number of Patients by Diagnosis"/>
    <pivotTable tabId="8" name="Patients by Insurance Status"/>
  </pivotTables>
  <data>
    <tabular pivotCacheId="106236805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cohol_Use" xr10:uid="{D4211BAD-4596-F44E-80F6-8EA28E7BA139}" sourceName="Alcohol_Use">
  <pivotTables>
    <pivotTable tabId="8" name="Number of Patients per Facility"/>
    <pivotTable tabId="8" name="Abnormal Lab Rates by Diagnosis"/>
    <pivotTable tabId="8" name="BP Control by Age Group"/>
    <pivotTable tabId="8" name="Encounter Type by County"/>
    <pivotTable tabId="8" name="Number of Patients by Diagnosis"/>
  </pivotTables>
  <data>
    <tabular pivotCacheId="1062368054">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9015E75-5322-1D4C-8152-816B690E6481}" cache="Slicer_Age_Group" caption="Age Group" columnCount="2" rowHeight="274320"/>
  <slicer name="Sex" xr10:uid="{CDFC8670-152D-F540-A8A6-F285B062BAF6}" cache="Slicer_Sex" caption="Sex" rowHeight="274320"/>
  <slicer name="Smoking_Status" xr10:uid="{3D5C7595-7366-AD42-B5AC-36D7158A96C9}" cache="Slicer_Smoking_Status" caption="Smoking_Status" columnCount="2" rowHeight="274320"/>
  <slicer name="Chronic_Condition" xr10:uid="{12C0A04B-12C4-2343-8F78-8B98E7F6E930}" cache="Slicer_Chronic_Condition" caption="Chronic_Condition" rowHeight="274320"/>
  <slicer name="Alcohol_Use" xr10:uid="{344B1583-312B-1E48-878B-47C125EAFB89}" cache="Slicer_Alcohol_Use" caption="Alcohol_Use" columnCount="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B604DE-0F60-5D4F-B804-DBCD3523FB3D}" name="EHR" displayName="EHR" ref="A1:AO399" totalsRowShown="0" headerRowDxfId="45" dataDxfId="43" headerRowBorderDxfId="44" tableBorderDxfId="42" totalsRowBorderDxfId="41">
  <autoFilter ref="A1:AO399" xr:uid="{6DB604DE-0F60-5D4F-B804-DBCD3523FB3D}"/>
  <tableColumns count="41">
    <tableColumn id="1" xr3:uid="{3C99CBE0-9D55-0E4B-B9F0-5D44DE98DBCC}" name="Patient_ID" dataDxfId="40"/>
    <tableColumn id="2" xr3:uid="{854DE45A-3BCD-BC44-8666-F2412F3BD85D}" name="Encounter_ID" dataDxfId="39"/>
    <tableColumn id="3" xr3:uid="{D762A8B8-54EE-6946-81A4-46B56C2933F5}" name="Encounter_Date" dataDxfId="11"/>
    <tableColumn id="4" xr3:uid="{B47DAAF5-127F-734D-AAC8-0ADE4A768FFC}" name="Encounter_Type" dataDxfId="38"/>
    <tableColumn id="5" xr3:uid="{CEC01E35-26BA-5A4A-B788-FCA515F31650}" name="Facility" dataDxfId="37"/>
    <tableColumn id="6" xr3:uid="{6F7DDB65-41A4-554E-BD1B-9748ADB35D3C}" name="County" dataDxfId="36"/>
    <tableColumn id="7" xr3:uid="{FC9BF64B-E03F-FB42-BB7E-682DBF64E763}" name="Provider" dataDxfId="35"/>
    <tableColumn id="8" xr3:uid="{578BF464-7E59-5D42-B972-C6B5F344D9EE}" name="Patient_DOB" dataDxfId="10"/>
    <tableColumn id="9" xr3:uid="{86AF0A3A-A133-AA4A-B495-A73122E6EB3C}" name="Age_at_Encounter" dataDxfId="34"/>
    <tableColumn id="34" xr3:uid="{B4534978-AB4D-6244-A2F0-24D04C37ECDF}" name="Age Group" dataDxfId="9">
      <calculatedColumnFormula array="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calculatedColumnFormula>
    </tableColumn>
    <tableColumn id="10" xr3:uid="{2F78ADAF-54A2-0749-BD80-85E4C54A11F6}" name="Sex" dataDxfId="33"/>
    <tableColumn id="11" xr3:uid="{E5BFCD67-34D9-104E-A924-7E776127C37C}" name="Ethnicity" dataDxfId="32"/>
    <tableColumn id="12" xr3:uid="{7CA68A14-9B74-A14D-888C-9C10C19291C7}" name="Insurance_Status" dataDxfId="31"/>
    <tableColumn id="13" xr3:uid="{D009C49A-1A96-7842-8C0D-C818A96C7268}" name="Smoking_Status" dataDxfId="30"/>
    <tableColumn id="14" xr3:uid="{6CEB3DF7-7E12-104C-B547-9AFAC8D2C8DC}" name="Alcohol_Use" dataDxfId="29"/>
    <tableColumn id="15" xr3:uid="{0C3ADC54-94A2-9F49-8163-6BA35099EB9B}" name="Primary_ICD11_Code" dataDxfId="28"/>
    <tableColumn id="36" xr3:uid="{42A47F96-9CE5-9141-85DF-62866492A8AF}" name="Disease Category" dataDxfId="8">
      <calculatedColumnFormula>_xlfn.XLOOKUP(EHR[[#This Row],[Primary_ICD11_Code]],'03_ICD11_Reference'!A:A,'03_ICD11_Reference'!D:D,,0)</calculatedColumnFormula>
    </tableColumn>
    <tableColumn id="16" xr3:uid="{C8BE15B0-BFA7-9D4F-90BC-AFB847620F7F}" name="Primary_Diagnosis" dataDxfId="27"/>
    <tableColumn id="17" xr3:uid="{EC6228D9-3D87-C548-9601-ECF68B864200}" name="Chronic_Condition" dataDxfId="26"/>
    <tableColumn id="18" xr3:uid="{1C1F7658-660B-7F4B-836E-516627F837F4}" name="Current_Medications" dataDxfId="25"/>
    <tableColumn id="19" xr3:uid="{A213C63A-1EE2-564F-9366-6DA5CEBBE9D0}" name="Num_Medications" dataDxfId="24"/>
    <tableColumn id="37" xr3:uid="{66693AD9-E5E4-A14E-B436-66C0694B50A4}" name="LOINC Code" dataDxfId="7">
      <calculatedColumnFormula>_xlfn.XLOOKUP(EHR[[#This Row],[Encounter_ID]],'02_Lab_Results'!B:B,'02_Lab_Results'!D:D,,0)</calculatedColumnFormula>
    </tableColumn>
    <tableColumn id="40" xr3:uid="{BDB39F37-823F-0945-964E-FD10FF5B31FE}" name="Test Category" dataDxfId="4">
      <calculatedColumnFormula>_xlfn.XLOOKUP(EHR[[#This Row],[LOINC Code]],'04_LOINC_Reference'!A:A,'04_LOINC_Reference'!F:F,,0)</calculatedColumnFormula>
    </tableColumn>
    <tableColumn id="38" xr3:uid="{CB575B0D-F6F2-9942-826B-DC01ABCF4B0D}" name="Test Name" dataDxfId="6">
      <calculatedColumnFormula>_xlfn.XLOOKUP(EHR[[#This Row],[LOINC Code]],'02_Lab_Results'!D:D,'02_Lab_Results'!E:E,,0)</calculatedColumnFormula>
    </tableColumn>
    <tableColumn id="39" xr3:uid="{2D9A51D8-6A4C-9C4D-BAFF-5DDE196AB695}" name="Test Results" dataDxfId="5">
      <calculatedColumnFormula>_xlfn.XLOOKUP(EHR[[#This Row],[LOINC Code]],'02_Lab_Results'!D:D,'02_Lab_Results'!J:J,,0)</calculatedColumnFormula>
    </tableColumn>
    <tableColumn id="43" xr3:uid="{0CBAE1E6-A704-9341-85AE-E7BA6A7E18FE}" name="HBA1C Category" dataDxfId="1">
      <calculatedColumnFormula array="1">_xlfn.XLOOKUP(1,(B2=B$2:B$500)*(V$2:V$500="4548-4"),Y$2:Y$500,"Not Tested")</calculatedColumnFormula>
    </tableColumn>
    <tableColumn id="20" xr3:uid="{0D3C408B-28A5-404B-8309-01CA9AF89F43}" name="BP_Systolic_mmHg" dataDxfId="23"/>
    <tableColumn id="21" xr3:uid="{1EC1F1AA-6FCE-F34B-83F3-A187ED9A761F}" name="BP_Diastolic_mmHg" dataDxfId="22"/>
    <tableColumn id="44" xr3:uid="{EA70C624-069E-E146-A44B-77318A64F87B}" name="BP Control" dataDxfId="0">
      <calculatedColumnFormula>IF(AND(EHR[[#This Row],[BP_Systolic_mmHg]]&lt;140,EHR[[#This Row],[BP_Diastolic_mmHg]]&lt;90),"Controlled",IF(OR(EHR[[#This Row],[BP_Systolic_mmHg]]="Not Recorded",EHR[[#This Row],[BP_Diastolic_mmHg]]="Not Recorded"),"No Reading","Uncontrolled"))</calculatedColumnFormula>
    </tableColumn>
    <tableColumn id="41" xr3:uid="{EF618DA4-970D-C34E-9882-3ECFFC61B7CB}" name="Blood Pressure Reading (mmHg)" dataDxfId="3">
      <calculatedColumnFormula>_xlfn.CONCAT(EHR[[#This Row],[BP_Systolic_mmHg]],"/",EHR[[#This Row],[BP_Diastolic_mmHg]])</calculatedColumnFormula>
    </tableColumn>
    <tableColumn id="22" xr3:uid="{C21B4E1E-C425-FA42-9864-3A7DA1DAA2A1}" name="HR_bpm" dataDxfId="21"/>
    <tableColumn id="23" xr3:uid="{98D24A18-CC45-474A-8709-DDC87E843A2C}" name="RR_breaths_per_min" dataDxfId="20"/>
    <tableColumn id="24" xr3:uid="{4872C09E-90A2-D742-A2A2-676E5B84F2C1}" name="Temp_C" dataDxfId="19"/>
    <tableColumn id="25" xr3:uid="{4154EE9E-15D1-DD40-904D-5B5DFABC9A51}" name="BMI_kg_m2" dataDxfId="18"/>
    <tableColumn id="42" xr3:uid="{4EA0459E-7728-AE45-B5AF-8920D6623CEF}" name="BMI_Category" dataDxfId="2">
      <calculatedColumnFormula>IF(EHR[[#This Row],[BMI_kg_m2]]&gt;=30,"Obese","Non-Obese")</calculatedColumnFormula>
    </tableColumn>
    <tableColumn id="26" xr3:uid="{248A56CB-D0C5-8641-929A-3C17C9CAC6A8}" name="SpO2_pct" dataDxfId="17"/>
    <tableColumn id="27" xr3:uid="{E7ACAE80-ECE5-4F4F-9329-931E043A7140}" name="LOINC_BP_Sys" dataDxfId="16"/>
    <tableColumn id="28" xr3:uid="{9C45FF6D-0755-1F42-B494-E58EF103AA74}" name="LOINC_BP_Dia" dataDxfId="15"/>
    <tableColumn id="29" xr3:uid="{82AFA124-DA25-AA49-A82E-B6DCE4AB5BB0}" name="LOINC_HR" dataDxfId="14"/>
    <tableColumn id="30" xr3:uid="{9557F47D-8797-EC4C-B90E-F305E7000B44}" name="LOINC_BMI" dataDxfId="13"/>
    <tableColumn id="31" xr3:uid="{DBB6DA96-78D3-174D-8E97-AFC04ADF044E}" name="LOINC_SpO2" dataDxfId="1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ncounter_Date" xr10:uid="{76AA61A2-620F-7040-9A9B-5627133369EA}" sourceName="Encounter_Date">
  <pivotTables>
    <pivotTable tabId="8" name="Encounter Type by County"/>
  </pivotTables>
  <state minimalRefreshVersion="6" lastRefreshVersion="6" pivotCacheId="106236805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ncounter_Date" xr10:uid="{31AE0F86-AE3F-8545-A021-4F72D058D890}" cache="NativeTimeline_Encounter_Date" caption="Encounter_Date" level="2" selectionLevel="2"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CA33-F1A8-D748-A622-795F055285C4}">
  <sheetPr>
    <tabColor rgb="FF2E75B6"/>
  </sheetPr>
  <dimension ref="A1:AR399"/>
  <sheetViews>
    <sheetView tabSelected="1" topLeftCell="AE1" workbookViewId="0">
      <pane ySplit="1" topLeftCell="A4" activePane="bottomLeft" state="frozen"/>
      <selection pane="bottomLeft" activeCell="AR15" sqref="AR15"/>
    </sheetView>
  </sheetViews>
  <sheetFormatPr baseColWidth="10" defaultColWidth="8.83203125" defaultRowHeight="15" x14ac:dyDescent="0.2"/>
  <cols>
    <col min="1" max="1" width="12" customWidth="1"/>
    <col min="2" max="2" width="16" customWidth="1"/>
    <col min="3" max="3" width="16.5" style="17" customWidth="1"/>
    <col min="4" max="4" width="16.83203125" customWidth="1"/>
    <col min="5" max="5" width="26" customWidth="1"/>
    <col min="6" max="6" width="16.1640625" customWidth="1"/>
    <col min="7" max="7" width="22.6640625" customWidth="1"/>
    <col min="8" max="8" width="16.6640625" style="17" customWidth="1"/>
    <col min="9" max="10" width="18.5" customWidth="1"/>
    <col min="11" max="11" width="11.1640625" customWidth="1"/>
    <col min="12" max="12" width="18.33203125" customWidth="1"/>
    <col min="13" max="13" width="23.33203125" customWidth="1"/>
    <col min="14" max="14" width="20.6640625" customWidth="1"/>
    <col min="15" max="15" width="19.33203125" customWidth="1"/>
    <col min="16" max="17" width="23.6640625" customWidth="1"/>
    <col min="18" max="18" width="28" customWidth="1"/>
    <col min="19" max="19" width="22" customWidth="1"/>
    <col min="20" max="20" width="40" customWidth="1"/>
    <col min="21" max="26" width="22" customWidth="1"/>
    <col min="27" max="27" width="19.83203125" customWidth="1"/>
    <col min="28" max="30" width="21" customWidth="1"/>
    <col min="31" max="31" width="16" customWidth="1"/>
    <col min="32" max="32" width="20.6640625" customWidth="1"/>
    <col min="33" max="33" width="15.6640625" customWidth="1"/>
    <col min="34" max="35" width="15.5" customWidth="1"/>
    <col min="36" max="36" width="16.5" customWidth="1"/>
    <col min="37" max="37" width="18" customWidth="1"/>
    <col min="38" max="38" width="21.33203125" customWidth="1"/>
    <col min="39" max="39" width="18.33203125" customWidth="1"/>
    <col min="40" max="40" width="14.83203125" customWidth="1"/>
    <col min="41" max="41" width="20.5" customWidth="1"/>
    <col min="44" max="44" width="10" bestFit="1" customWidth="1"/>
  </cols>
  <sheetData>
    <row r="1" spans="1:44" x14ac:dyDescent="0.2">
      <c r="A1" s="8" t="s">
        <v>0</v>
      </c>
      <c r="B1" s="9" t="s">
        <v>1</v>
      </c>
      <c r="C1" s="12" t="s">
        <v>2</v>
      </c>
      <c r="D1" s="9" t="s">
        <v>3</v>
      </c>
      <c r="E1" s="9" t="s">
        <v>4</v>
      </c>
      <c r="F1" s="9" t="s">
        <v>5</v>
      </c>
      <c r="G1" s="9" t="s">
        <v>6</v>
      </c>
      <c r="H1" s="12" t="s">
        <v>7</v>
      </c>
      <c r="I1" s="9" t="s">
        <v>8</v>
      </c>
      <c r="J1" s="9" t="s">
        <v>1571</v>
      </c>
      <c r="K1" s="9" t="s">
        <v>9</v>
      </c>
      <c r="L1" s="9" t="s">
        <v>10</v>
      </c>
      <c r="M1" s="9" t="s">
        <v>11</v>
      </c>
      <c r="N1" s="9" t="s">
        <v>12</v>
      </c>
      <c r="O1" s="9" t="s">
        <v>13</v>
      </c>
      <c r="P1" s="9" t="s">
        <v>14</v>
      </c>
      <c r="Q1" s="9" t="s">
        <v>1575</v>
      </c>
      <c r="R1" s="9" t="s">
        <v>15</v>
      </c>
      <c r="S1" s="9" t="s">
        <v>16</v>
      </c>
      <c r="T1" s="9" t="s">
        <v>17</v>
      </c>
      <c r="U1" s="9" t="s">
        <v>18</v>
      </c>
      <c r="V1" s="9" t="s">
        <v>1577</v>
      </c>
      <c r="W1" s="9" t="s">
        <v>1580</v>
      </c>
      <c r="X1" s="9" t="s">
        <v>1578</v>
      </c>
      <c r="Y1" s="9" t="s">
        <v>1579</v>
      </c>
      <c r="Z1" s="9" t="s">
        <v>1583</v>
      </c>
      <c r="AA1" s="9" t="s">
        <v>19</v>
      </c>
      <c r="AB1" s="9" t="s">
        <v>20</v>
      </c>
      <c r="AC1" s="9" t="s">
        <v>1584</v>
      </c>
      <c r="AD1" s="9" t="s">
        <v>1581</v>
      </c>
      <c r="AE1" s="9" t="s">
        <v>21</v>
      </c>
      <c r="AF1" s="9" t="s">
        <v>22</v>
      </c>
      <c r="AG1" s="9" t="s">
        <v>23</v>
      </c>
      <c r="AH1" s="9" t="s">
        <v>24</v>
      </c>
      <c r="AI1" s="9" t="s">
        <v>1582</v>
      </c>
      <c r="AJ1" s="9" t="s">
        <v>25</v>
      </c>
      <c r="AK1" s="9" t="s">
        <v>26</v>
      </c>
      <c r="AL1" s="9" t="s">
        <v>27</v>
      </c>
      <c r="AM1" s="9" t="s">
        <v>28</v>
      </c>
      <c r="AN1" s="9" t="s">
        <v>29</v>
      </c>
      <c r="AO1" s="9" t="s">
        <v>30</v>
      </c>
    </row>
    <row r="2" spans="1:44" x14ac:dyDescent="0.2">
      <c r="A2" s="6" t="s">
        <v>33</v>
      </c>
      <c r="B2" s="2" t="s">
        <v>34</v>
      </c>
      <c r="C2" s="13">
        <v>44959</v>
      </c>
      <c r="D2" s="2" t="s">
        <v>36</v>
      </c>
      <c r="E2" s="2" t="s">
        <v>37</v>
      </c>
      <c r="F2" s="2" t="s">
        <v>38</v>
      </c>
      <c r="G2" s="2" t="s">
        <v>39</v>
      </c>
      <c r="H2" s="13">
        <v>38330</v>
      </c>
      <c r="I2" s="2">
        <v>21</v>
      </c>
      <c r="J2" s="2" t="str" cm="1">
        <f t="array" ref="J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 s="2" t="s">
        <v>1572</v>
      </c>
      <c r="L2" s="2" t="s">
        <v>42</v>
      </c>
      <c r="M2" s="2" t="s">
        <v>43</v>
      </c>
      <c r="N2" s="2" t="s">
        <v>44</v>
      </c>
      <c r="O2" s="2" t="s">
        <v>45</v>
      </c>
      <c r="P2" s="2" t="s">
        <v>46</v>
      </c>
      <c r="Q2" s="2" t="str">
        <f>_xlfn.XLOOKUP(EHR[[#This Row],[Primary_ICD11_Code]],'03_ICD11_Reference'!A:A,'03_ICD11_Reference'!D:D,,0)</f>
        <v>Haematological</v>
      </c>
      <c r="R2" s="2" t="s">
        <v>47</v>
      </c>
      <c r="S2" s="2" t="s">
        <v>48</v>
      </c>
      <c r="T2" s="2" t="s">
        <v>49</v>
      </c>
      <c r="U2" s="2">
        <v>2</v>
      </c>
      <c r="V2" s="2" t="str">
        <f>_xlfn.XLOOKUP(EHR[[#This Row],[Encounter_ID]],'02_Lab_Results'!B:B,'02_Lab_Results'!D:D,,0)</f>
        <v>2085-9</v>
      </c>
      <c r="W2" s="2" t="str">
        <f>_xlfn.XLOOKUP(EHR[[#This Row],[LOINC Code]],'04_LOINC_Reference'!A:A,'04_LOINC_Reference'!F:F,,0)</f>
        <v>Biochemistry</v>
      </c>
      <c r="X2" s="2" t="str">
        <f>_xlfn.XLOOKUP(EHR[[#This Row],[LOINC Code]],'02_Lab_Results'!D:D,'02_Lab_Results'!E:E,,0)</f>
        <v>HDL cholesterol</v>
      </c>
      <c r="Y2" s="2" t="str">
        <f>_xlfn.XLOOKUP(EHR[[#This Row],[LOINC Code]],'02_Lab_Results'!D:D,'02_Lab_Results'!J:J,,0)</f>
        <v>Normal</v>
      </c>
      <c r="Z2" s="2" t="str" cm="1">
        <f t="array" ref="Z2">_xlfn.XLOOKUP(1,(B2=B$2:B$500)*(V$2:V$500="4548-4"),Y$2:Y$500,"Not Tested")</f>
        <v>Not Tested</v>
      </c>
      <c r="AA2" s="2">
        <v>98</v>
      </c>
      <c r="AB2" s="2">
        <v>68</v>
      </c>
      <c r="AC2" s="2" t="str">
        <f>IF(AND(EHR[[#This Row],[BP_Systolic_mmHg]]&lt;140,EHR[[#This Row],[BP_Diastolic_mmHg]]&lt;90),"Controlled",IF(OR(EHR[[#This Row],[BP_Systolic_mmHg]]="Not Recorded",EHR[[#This Row],[BP_Diastolic_mmHg]]="Not Recorded"),"No Reading","Uncontrolled"))</f>
        <v>Controlled</v>
      </c>
      <c r="AD2" s="2" t="str">
        <f>_xlfn.CONCAT(EHR[[#This Row],[BP_Systolic_mmHg]],"/",EHR[[#This Row],[BP_Diastolic_mmHg]])</f>
        <v>98/68</v>
      </c>
      <c r="AE2" s="2">
        <v>88</v>
      </c>
      <c r="AF2" s="2">
        <v>12</v>
      </c>
      <c r="AG2" s="2">
        <v>36.6</v>
      </c>
      <c r="AH2" s="2">
        <v>36</v>
      </c>
      <c r="AI2" s="2" t="str">
        <f>IF(EHR[[#This Row],[BMI_kg_m2]]&gt;=30,"Obese","Non-Obese")</f>
        <v>Obese</v>
      </c>
      <c r="AJ2" s="2">
        <v>94</v>
      </c>
      <c r="AK2" s="2" t="s">
        <v>50</v>
      </c>
      <c r="AL2" s="2" t="s">
        <v>51</v>
      </c>
      <c r="AM2" s="2" t="s">
        <v>52</v>
      </c>
      <c r="AN2" s="2" t="s">
        <v>53</v>
      </c>
      <c r="AO2" s="2" t="s">
        <v>54</v>
      </c>
    </row>
    <row r="3" spans="1:44" x14ac:dyDescent="0.2">
      <c r="A3" s="7" t="s">
        <v>57</v>
      </c>
      <c r="B3" s="3" t="s">
        <v>58</v>
      </c>
      <c r="C3" s="14">
        <v>45279</v>
      </c>
      <c r="D3" s="3" t="s">
        <v>60</v>
      </c>
      <c r="E3" s="3" t="s">
        <v>61</v>
      </c>
      <c r="F3" s="3" t="s">
        <v>62</v>
      </c>
      <c r="G3" s="3" t="s">
        <v>63</v>
      </c>
      <c r="H3" s="14">
        <v>32258</v>
      </c>
      <c r="I3" s="3">
        <v>37</v>
      </c>
      <c r="J3" s="3" t="str" cm="1">
        <f t="array" ref="J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 s="3" t="s">
        <v>1573</v>
      </c>
      <c r="L3" s="3" t="s">
        <v>66</v>
      </c>
      <c r="M3" s="3" t="s">
        <v>45</v>
      </c>
      <c r="N3" s="3" t="s">
        <v>1574</v>
      </c>
      <c r="O3" s="3" t="s">
        <v>45</v>
      </c>
      <c r="P3" s="3" t="s">
        <v>67</v>
      </c>
      <c r="Q3" s="3" t="str">
        <f>_xlfn.XLOOKUP(EHR[[#This Row],[Primary_ICD11_Code]],'03_ICD11_Reference'!A:A,'03_ICD11_Reference'!D:D,,0)</f>
        <v>Endocrine</v>
      </c>
      <c r="R3" s="3" t="s">
        <v>68</v>
      </c>
      <c r="S3" s="3" t="s">
        <v>69</v>
      </c>
      <c r="T3" s="3" t="s">
        <v>70</v>
      </c>
      <c r="U3" s="3">
        <v>3</v>
      </c>
      <c r="V3" s="3" t="str">
        <f>_xlfn.XLOOKUP(EHR[[#This Row],[Encounter_ID]],'02_Lab_Results'!B:B,'02_Lab_Results'!D:D,,0)</f>
        <v>718-7</v>
      </c>
      <c r="W3" s="3" t="str">
        <f>_xlfn.XLOOKUP(EHR[[#This Row],[LOINC Code]],'04_LOINC_Reference'!A:A,'04_LOINC_Reference'!F:F,,0)</f>
        <v>Biochemistry</v>
      </c>
      <c r="X3" s="3" t="str">
        <f>_xlfn.XLOOKUP(EHR[[#This Row],[LOINC Code]],'02_Lab_Results'!D:D,'02_Lab_Results'!E:E,,0)</f>
        <v>Haemoglobin</v>
      </c>
      <c r="Y3" s="3" t="str">
        <f>_xlfn.XLOOKUP(EHR[[#This Row],[LOINC Code]],'02_Lab_Results'!D:D,'02_Lab_Results'!J:J,,0)</f>
        <v>Normal</v>
      </c>
      <c r="Z3" s="3" t="str" cm="1">
        <f t="array" ref="Z3">_xlfn.XLOOKUP(1,(B3=B$2:B$500)*(V$2:V$500="4548-4"),Y$2:Y$500,"Not Tested")</f>
        <v>Not Tested</v>
      </c>
      <c r="AA3" s="3">
        <v>149</v>
      </c>
      <c r="AB3" s="3">
        <v>103</v>
      </c>
      <c r="AC3" s="3" t="str">
        <f>IF(AND(EHR[[#This Row],[BP_Systolic_mmHg]]&lt;140,EHR[[#This Row],[BP_Diastolic_mmHg]]&lt;90),"Controlled",IF(OR(EHR[[#This Row],[BP_Systolic_mmHg]]="Not Recorded",EHR[[#This Row],[BP_Diastolic_mmHg]]="Not Recorded"),"No Reading","Uncontrolled"))</f>
        <v>Uncontrolled</v>
      </c>
      <c r="AD3" s="3" t="str">
        <f>_xlfn.CONCAT(EHR[[#This Row],[BP_Systolic_mmHg]],"/",EHR[[#This Row],[BP_Diastolic_mmHg]])</f>
        <v>149/103</v>
      </c>
      <c r="AE3" s="3">
        <v>105</v>
      </c>
      <c r="AF3" s="3">
        <v>21</v>
      </c>
      <c r="AG3" s="3">
        <v>39.1</v>
      </c>
      <c r="AH3" s="3">
        <v>28.3</v>
      </c>
      <c r="AI3" s="3" t="str">
        <f>IF(EHR[[#This Row],[BMI_kg_m2]]&gt;=30,"Obese","Non-Obese")</f>
        <v>Non-Obese</v>
      </c>
      <c r="AJ3" s="3">
        <v>94</v>
      </c>
      <c r="AK3" s="3" t="s">
        <v>50</v>
      </c>
      <c r="AL3" s="3" t="s">
        <v>51</v>
      </c>
      <c r="AM3" s="3" t="s">
        <v>52</v>
      </c>
      <c r="AN3" s="3" t="s">
        <v>53</v>
      </c>
      <c r="AO3" s="3" t="s">
        <v>54</v>
      </c>
    </row>
    <row r="4" spans="1:44" x14ac:dyDescent="0.2">
      <c r="A4" s="6" t="s">
        <v>72</v>
      </c>
      <c r="B4" s="2" t="s">
        <v>73</v>
      </c>
      <c r="C4" s="13">
        <v>45613</v>
      </c>
      <c r="D4" s="2" t="s">
        <v>60</v>
      </c>
      <c r="E4" s="2" t="s">
        <v>61</v>
      </c>
      <c r="F4" s="2" t="s">
        <v>75</v>
      </c>
      <c r="G4" s="2" t="s">
        <v>76</v>
      </c>
      <c r="H4" s="13">
        <v>34889</v>
      </c>
      <c r="I4" s="2">
        <v>30</v>
      </c>
      <c r="J4" s="2" t="str" cm="1">
        <f t="array" ref="J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4" s="2" t="s">
        <v>1572</v>
      </c>
      <c r="L4" s="2" t="s">
        <v>78</v>
      </c>
      <c r="M4" s="2" t="s">
        <v>79</v>
      </c>
      <c r="N4" s="2" t="s">
        <v>80</v>
      </c>
      <c r="O4" s="2" t="s">
        <v>81</v>
      </c>
      <c r="P4" s="2" t="s">
        <v>82</v>
      </c>
      <c r="Q4" s="2" t="str">
        <f>_xlfn.XLOOKUP(EHR[[#This Row],[Primary_ICD11_Code]],'03_ICD11_Reference'!A:A,'03_ICD11_Reference'!D:D,,0)</f>
        <v>Renal</v>
      </c>
      <c r="R4" s="2" t="s">
        <v>83</v>
      </c>
      <c r="S4" s="2" t="s">
        <v>69</v>
      </c>
      <c r="T4" s="2" t="s">
        <v>84</v>
      </c>
      <c r="U4" s="2">
        <v>4</v>
      </c>
      <c r="V4" s="2" t="str">
        <f>_xlfn.XLOOKUP(EHR[[#This Row],[Encounter_ID]],'02_Lab_Results'!B:B,'02_Lab_Results'!D:D,,0)</f>
        <v>2160-0</v>
      </c>
      <c r="W4" s="2" t="str">
        <f>_xlfn.XLOOKUP(EHR[[#This Row],[LOINC Code]],'04_LOINC_Reference'!A:A,'04_LOINC_Reference'!F:F,,0)</f>
        <v>Biochemistry</v>
      </c>
      <c r="X4" s="2" t="str">
        <f>_xlfn.XLOOKUP(EHR[[#This Row],[LOINC Code]],'02_Lab_Results'!D:D,'02_Lab_Results'!E:E,,0)</f>
        <v>Serum creatinine</v>
      </c>
      <c r="Y4" s="2" t="str">
        <f>_xlfn.XLOOKUP(EHR[[#This Row],[LOINC Code]],'02_Lab_Results'!D:D,'02_Lab_Results'!J:J,,0)</f>
        <v>Normal</v>
      </c>
      <c r="Z4" s="2" t="str" cm="1">
        <f t="array" ref="Z4">_xlfn.XLOOKUP(1,(B4=B$2:B$500)*(V$2:V$500="4548-4"),Y$2:Y$500,"Not Tested")</f>
        <v>Not Tested</v>
      </c>
      <c r="AA4" s="2">
        <v>119</v>
      </c>
      <c r="AB4" s="2">
        <v>111</v>
      </c>
      <c r="AC4" s="2" t="str">
        <f>IF(AND(EHR[[#This Row],[BP_Systolic_mmHg]]&lt;140,EHR[[#This Row],[BP_Diastolic_mmHg]]&lt;90),"Controlled",IF(OR(EHR[[#This Row],[BP_Systolic_mmHg]]="Not Recorded",EHR[[#This Row],[BP_Diastolic_mmHg]]="Not Recorded"),"No Reading","Uncontrolled"))</f>
        <v>Uncontrolled</v>
      </c>
      <c r="AD4" s="2" t="str">
        <f>_xlfn.CONCAT(EHR[[#This Row],[BP_Systolic_mmHg]],"/",EHR[[#This Row],[BP_Diastolic_mmHg]])</f>
        <v>119/111</v>
      </c>
      <c r="AE4" s="2">
        <v>99</v>
      </c>
      <c r="AF4" s="2">
        <v>22</v>
      </c>
      <c r="AG4" s="2">
        <v>36.5</v>
      </c>
      <c r="AH4" s="2">
        <v>38.299999999999997</v>
      </c>
      <c r="AI4" s="2" t="str">
        <f>IF(EHR[[#This Row],[BMI_kg_m2]]&gt;=30,"Obese","Non-Obese")</f>
        <v>Obese</v>
      </c>
      <c r="AJ4" s="2">
        <v>89</v>
      </c>
      <c r="AK4" s="2" t="s">
        <v>50</v>
      </c>
      <c r="AL4" s="2" t="s">
        <v>51</v>
      </c>
      <c r="AM4" s="2" t="s">
        <v>52</v>
      </c>
      <c r="AN4" s="2" t="s">
        <v>53</v>
      </c>
      <c r="AO4" s="2" t="s">
        <v>54</v>
      </c>
    </row>
    <row r="5" spans="1:44" x14ac:dyDescent="0.2">
      <c r="A5" s="7" t="s">
        <v>72</v>
      </c>
      <c r="B5" s="3" t="s">
        <v>86</v>
      </c>
      <c r="C5" s="14">
        <v>45201</v>
      </c>
      <c r="D5" s="3" t="s">
        <v>88</v>
      </c>
      <c r="E5" s="3" t="s">
        <v>89</v>
      </c>
      <c r="F5" s="3" t="s">
        <v>62</v>
      </c>
      <c r="G5" s="3" t="s">
        <v>39</v>
      </c>
      <c r="H5" s="14">
        <v>34889</v>
      </c>
      <c r="I5" s="3">
        <v>30</v>
      </c>
      <c r="J5" s="3" t="str" cm="1">
        <f t="array" ref="J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5" s="3" t="s">
        <v>1572</v>
      </c>
      <c r="L5" s="3" t="s">
        <v>90</v>
      </c>
      <c r="M5" s="3" t="s">
        <v>79</v>
      </c>
      <c r="N5" s="3" t="s">
        <v>80</v>
      </c>
      <c r="O5" s="3" t="s">
        <v>81</v>
      </c>
      <c r="P5" s="3" t="s">
        <v>82</v>
      </c>
      <c r="Q5" s="3" t="str">
        <f>_xlfn.XLOOKUP(EHR[[#This Row],[Primary_ICD11_Code]],'03_ICD11_Reference'!A:A,'03_ICD11_Reference'!D:D,,0)</f>
        <v>Renal</v>
      </c>
      <c r="R5" s="3" t="s">
        <v>83</v>
      </c>
      <c r="S5" s="3" t="s">
        <v>69</v>
      </c>
      <c r="T5" s="3" t="s">
        <v>91</v>
      </c>
      <c r="U5" s="3">
        <v>4</v>
      </c>
      <c r="V5" s="3" t="str">
        <f>_xlfn.XLOOKUP(EHR[[#This Row],[Encounter_ID]],'02_Lab_Results'!B:B,'02_Lab_Results'!D:D,,0)</f>
        <v>2345-7</v>
      </c>
      <c r="W5" s="3" t="str">
        <f>_xlfn.XLOOKUP(EHR[[#This Row],[LOINC Code]],'04_LOINC_Reference'!A:A,'04_LOINC_Reference'!F:F,,0)</f>
        <v>Biochemistry</v>
      </c>
      <c r="X5" s="3" t="str">
        <f>_xlfn.XLOOKUP(EHR[[#This Row],[LOINC Code]],'02_Lab_Results'!D:D,'02_Lab_Results'!E:E,,0)</f>
        <v>Serum glucose (fasting)</v>
      </c>
      <c r="Y5" s="3" t="str">
        <f>_xlfn.XLOOKUP(EHR[[#This Row],[LOINC Code]],'02_Lab_Results'!D:D,'02_Lab_Results'!J:J,,0)</f>
        <v>Normal</v>
      </c>
      <c r="Z5" s="3" t="str" cm="1">
        <f t="array" ref="Z5">_xlfn.XLOOKUP(1,(B5=B$2:B$500)*(V$2:V$500="4548-4"),Y$2:Y$500,"Not Tested")</f>
        <v>Not Tested</v>
      </c>
      <c r="AA5" s="3">
        <v>101</v>
      </c>
      <c r="AB5" s="3">
        <v>110</v>
      </c>
      <c r="AC5" s="3" t="str">
        <f>IF(AND(EHR[[#This Row],[BP_Systolic_mmHg]]&lt;140,EHR[[#This Row],[BP_Diastolic_mmHg]]&lt;90),"Controlled",IF(OR(EHR[[#This Row],[BP_Systolic_mmHg]]="Not Recorded",EHR[[#This Row],[BP_Diastolic_mmHg]]="Not Recorded"),"No Reading","Uncontrolled"))</f>
        <v>Uncontrolled</v>
      </c>
      <c r="AD5" s="3" t="str">
        <f>_xlfn.CONCAT(EHR[[#This Row],[BP_Systolic_mmHg]],"/",EHR[[#This Row],[BP_Diastolic_mmHg]])</f>
        <v>101/110</v>
      </c>
      <c r="AE5" s="3">
        <v>93</v>
      </c>
      <c r="AF5" s="3">
        <v>23</v>
      </c>
      <c r="AG5" s="3">
        <v>36.700000000000003</v>
      </c>
      <c r="AH5" s="3">
        <v>31.7</v>
      </c>
      <c r="AI5" s="3" t="str">
        <f>IF(EHR[[#This Row],[BMI_kg_m2]]&gt;=30,"Obese","Non-Obese")</f>
        <v>Obese</v>
      </c>
      <c r="AJ5" s="3">
        <v>99</v>
      </c>
      <c r="AK5" s="3" t="s">
        <v>50</v>
      </c>
      <c r="AL5" s="3" t="s">
        <v>51</v>
      </c>
      <c r="AM5" s="3" t="s">
        <v>52</v>
      </c>
      <c r="AN5" s="3" t="s">
        <v>53</v>
      </c>
      <c r="AO5" s="3" t="s">
        <v>54</v>
      </c>
    </row>
    <row r="6" spans="1:44" x14ac:dyDescent="0.2">
      <c r="A6" s="6" t="s">
        <v>72</v>
      </c>
      <c r="B6" s="2" t="s">
        <v>93</v>
      </c>
      <c r="C6" s="13">
        <v>45335</v>
      </c>
      <c r="D6" s="2" t="s">
        <v>95</v>
      </c>
      <c r="E6" s="2" t="s">
        <v>96</v>
      </c>
      <c r="F6" s="2" t="s">
        <v>97</v>
      </c>
      <c r="G6" s="2" t="s">
        <v>98</v>
      </c>
      <c r="H6" s="13">
        <v>34889</v>
      </c>
      <c r="I6" s="2">
        <v>30</v>
      </c>
      <c r="J6" s="2" t="str" cm="1">
        <f t="array" ref="J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 s="2" t="s">
        <v>1572</v>
      </c>
      <c r="L6" s="2" t="s">
        <v>90</v>
      </c>
      <c r="M6" s="2" t="s">
        <v>79</v>
      </c>
      <c r="N6" s="2" t="s">
        <v>80</v>
      </c>
      <c r="O6" s="2" t="s">
        <v>81</v>
      </c>
      <c r="P6" s="2" t="s">
        <v>82</v>
      </c>
      <c r="Q6" s="2" t="str">
        <f>_xlfn.XLOOKUP(EHR[[#This Row],[Primary_ICD11_Code]],'03_ICD11_Reference'!A:A,'03_ICD11_Reference'!D:D,,0)</f>
        <v>Renal</v>
      </c>
      <c r="R6" s="2" t="s">
        <v>83</v>
      </c>
      <c r="S6" s="2" t="s">
        <v>69</v>
      </c>
      <c r="T6" s="2" t="s">
        <v>99</v>
      </c>
      <c r="U6" s="2">
        <v>2</v>
      </c>
      <c r="V6" s="2" t="str">
        <f>_xlfn.XLOOKUP(EHR[[#This Row],[Encounter_ID]],'02_Lab_Results'!B:B,'02_Lab_Results'!D:D,,0)</f>
        <v>2093-3</v>
      </c>
      <c r="W6" s="2" t="str">
        <f>_xlfn.XLOOKUP(EHR[[#This Row],[LOINC Code]],'04_LOINC_Reference'!A:A,'04_LOINC_Reference'!F:F,,0)</f>
        <v>Biochemistry</v>
      </c>
      <c r="X6" s="2" t="str">
        <f>_xlfn.XLOOKUP(EHR[[#This Row],[LOINC Code]],'02_Lab_Results'!D:D,'02_Lab_Results'!E:E,,0)</f>
        <v>Total cholesterol</v>
      </c>
      <c r="Y6" s="2" t="str">
        <f>_xlfn.XLOOKUP(EHR[[#This Row],[LOINC Code]],'02_Lab_Results'!D:D,'02_Lab_Results'!J:J,,0)</f>
        <v>Normal</v>
      </c>
      <c r="Z6" s="2" t="str" cm="1">
        <f t="array" ref="Z6">_xlfn.XLOOKUP(1,(B6=B$2:B$500)*(V$2:V$500="4548-4"),Y$2:Y$500,"Not Tested")</f>
        <v>Not Tested</v>
      </c>
      <c r="AA6" s="2">
        <v>128</v>
      </c>
      <c r="AB6" s="2">
        <v>115</v>
      </c>
      <c r="AC6" s="2" t="str">
        <f>IF(AND(EHR[[#This Row],[BP_Systolic_mmHg]]&lt;140,EHR[[#This Row],[BP_Diastolic_mmHg]]&lt;90),"Controlled",IF(OR(EHR[[#This Row],[BP_Systolic_mmHg]]="Not Recorded",EHR[[#This Row],[BP_Diastolic_mmHg]]="Not Recorded"),"No Reading","Uncontrolled"))</f>
        <v>Uncontrolled</v>
      </c>
      <c r="AD6" s="2" t="str">
        <f>_xlfn.CONCAT(EHR[[#This Row],[BP_Systolic_mmHg]],"/",EHR[[#This Row],[BP_Diastolic_mmHg]])</f>
        <v>128/115</v>
      </c>
      <c r="AE6" s="2">
        <v>60</v>
      </c>
      <c r="AF6" s="2">
        <v>20</v>
      </c>
      <c r="AG6" s="2">
        <v>38.4</v>
      </c>
      <c r="AH6" s="2">
        <v>42</v>
      </c>
      <c r="AI6" s="2" t="str">
        <f>IF(EHR[[#This Row],[BMI_kg_m2]]&gt;=30,"Obese","Non-Obese")</f>
        <v>Obese</v>
      </c>
      <c r="AJ6" s="2">
        <v>89</v>
      </c>
      <c r="AK6" s="2" t="s">
        <v>50</v>
      </c>
      <c r="AL6" s="2" t="s">
        <v>51</v>
      </c>
      <c r="AM6" s="2" t="s">
        <v>52</v>
      </c>
      <c r="AN6" s="2" t="s">
        <v>53</v>
      </c>
      <c r="AO6" s="2" t="s">
        <v>54</v>
      </c>
      <c r="AR6" s="26" t="s">
        <v>1603</v>
      </c>
    </row>
    <row r="7" spans="1:44" x14ac:dyDescent="0.2">
      <c r="A7" s="7" t="s">
        <v>72</v>
      </c>
      <c r="B7" s="3" t="s">
        <v>101</v>
      </c>
      <c r="C7" s="14">
        <v>45184</v>
      </c>
      <c r="D7" s="3" t="s">
        <v>103</v>
      </c>
      <c r="E7" s="3" t="s">
        <v>96</v>
      </c>
      <c r="F7" s="3" t="s">
        <v>75</v>
      </c>
      <c r="G7" s="3" t="s">
        <v>104</v>
      </c>
      <c r="H7" s="14">
        <v>34889</v>
      </c>
      <c r="I7" s="3">
        <v>30</v>
      </c>
      <c r="J7" s="3" t="str" cm="1">
        <f t="array" ref="J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7" s="3" t="s">
        <v>1572</v>
      </c>
      <c r="L7" s="3" t="s">
        <v>90</v>
      </c>
      <c r="M7" s="3" t="s">
        <v>79</v>
      </c>
      <c r="N7" s="3" t="s">
        <v>80</v>
      </c>
      <c r="O7" s="3" t="s">
        <v>81</v>
      </c>
      <c r="P7" s="3" t="s">
        <v>82</v>
      </c>
      <c r="Q7" s="3" t="str">
        <f>_xlfn.XLOOKUP(EHR[[#This Row],[Primary_ICD11_Code]],'03_ICD11_Reference'!A:A,'03_ICD11_Reference'!D:D,,0)</f>
        <v>Renal</v>
      </c>
      <c r="R7" s="3" t="s">
        <v>83</v>
      </c>
      <c r="S7" s="3" t="s">
        <v>69</v>
      </c>
      <c r="T7" s="3" t="s">
        <v>105</v>
      </c>
      <c r="U7" s="3">
        <v>3</v>
      </c>
      <c r="V7" s="3" t="str">
        <f>_xlfn.XLOOKUP(EHR[[#This Row],[Encounter_ID]],'02_Lab_Results'!B:B,'02_Lab_Results'!D:D,,0)</f>
        <v>2777-1</v>
      </c>
      <c r="W7" s="3" t="str">
        <f>_xlfn.XLOOKUP(EHR[[#This Row],[LOINC Code]],'04_LOINC_Reference'!A:A,'04_LOINC_Reference'!F:F,,0)</f>
        <v>Biochemistry</v>
      </c>
      <c r="X7" s="3" t="str">
        <f>_xlfn.XLOOKUP(EHR[[#This Row],[LOINC Code]],'02_Lab_Results'!D:D,'02_Lab_Results'!E:E,,0)</f>
        <v>Serum phosphate</v>
      </c>
      <c r="Y7" s="3" t="str">
        <f>_xlfn.XLOOKUP(EHR[[#This Row],[LOINC Code]],'02_Lab_Results'!D:D,'02_Lab_Results'!J:J,,0)</f>
        <v>Normal</v>
      </c>
      <c r="Z7" s="3" t="str" cm="1">
        <f t="array" ref="Z7">_xlfn.XLOOKUP(1,(B7=B$2:B$500)*(V$2:V$500="4548-4"),Y$2:Y$500,"Not Tested")</f>
        <v>Not Tested</v>
      </c>
      <c r="AA7" s="3">
        <v>182</v>
      </c>
      <c r="AB7" s="3">
        <v>107</v>
      </c>
      <c r="AC7" s="3" t="str">
        <f>IF(AND(EHR[[#This Row],[BP_Systolic_mmHg]]&lt;140,EHR[[#This Row],[BP_Diastolic_mmHg]]&lt;90),"Controlled",IF(OR(EHR[[#This Row],[BP_Systolic_mmHg]]="Not Recorded",EHR[[#This Row],[BP_Diastolic_mmHg]]="Not Recorded"),"No Reading","Uncontrolled"))</f>
        <v>Uncontrolled</v>
      </c>
      <c r="AD7" s="3" t="str">
        <f>_xlfn.CONCAT(EHR[[#This Row],[BP_Systolic_mmHg]],"/",EHR[[#This Row],[BP_Diastolic_mmHg]])</f>
        <v>182/107</v>
      </c>
      <c r="AE7" s="3">
        <v>51</v>
      </c>
      <c r="AF7" s="3">
        <v>24</v>
      </c>
      <c r="AG7" s="3">
        <v>38.200000000000003</v>
      </c>
      <c r="AH7" s="3">
        <v>32.799999999999997</v>
      </c>
      <c r="AI7" s="3" t="str">
        <f>IF(EHR[[#This Row],[BMI_kg_m2]]&gt;=30,"Obese","Non-Obese")</f>
        <v>Obese</v>
      </c>
      <c r="AJ7" s="3">
        <v>90</v>
      </c>
      <c r="AK7" s="3" t="s">
        <v>50</v>
      </c>
      <c r="AL7" s="3" t="s">
        <v>51</v>
      </c>
      <c r="AM7" s="3" t="s">
        <v>52</v>
      </c>
      <c r="AN7" s="3" t="s">
        <v>53</v>
      </c>
      <c r="AO7" s="3" t="s">
        <v>54</v>
      </c>
      <c r="AR7" cm="1">
        <f t="array" ref="AR7">SUMPRODUCT(1/COUNTIF(EHR[Patient_ID],EHR[Patient_ID]))</f>
        <v>120.0000000000002</v>
      </c>
    </row>
    <row r="8" spans="1:44" x14ac:dyDescent="0.2">
      <c r="A8" s="6" t="s">
        <v>72</v>
      </c>
      <c r="B8" s="2" t="s">
        <v>107</v>
      </c>
      <c r="C8" s="13">
        <v>45707</v>
      </c>
      <c r="D8" s="2" t="s">
        <v>60</v>
      </c>
      <c r="E8" s="2" t="s">
        <v>89</v>
      </c>
      <c r="F8" s="2" t="s">
        <v>109</v>
      </c>
      <c r="G8" s="2" t="s">
        <v>98</v>
      </c>
      <c r="H8" s="13">
        <v>34889</v>
      </c>
      <c r="I8" s="2">
        <v>30</v>
      </c>
      <c r="J8" s="2" t="str" cm="1">
        <f t="array" ref="J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8" s="2" t="s">
        <v>1572</v>
      </c>
      <c r="L8" s="2" t="s">
        <v>110</v>
      </c>
      <c r="M8" s="2" t="s">
        <v>79</v>
      </c>
      <c r="N8" s="2" t="s">
        <v>80</v>
      </c>
      <c r="O8" s="2" t="s">
        <v>81</v>
      </c>
      <c r="P8" s="2" t="s">
        <v>82</v>
      </c>
      <c r="Q8" s="2" t="str">
        <f>_xlfn.XLOOKUP(EHR[[#This Row],[Primary_ICD11_Code]],'03_ICD11_Reference'!A:A,'03_ICD11_Reference'!D:D,,0)</f>
        <v>Renal</v>
      </c>
      <c r="R8" s="2" t="s">
        <v>83</v>
      </c>
      <c r="S8" s="2" t="s">
        <v>69</v>
      </c>
      <c r="T8" s="2" t="s">
        <v>111</v>
      </c>
      <c r="U8" s="2">
        <v>2</v>
      </c>
      <c r="V8" s="2" t="str">
        <f>_xlfn.XLOOKUP(EHR[[#This Row],[Encounter_ID]],'02_Lab_Results'!B:B,'02_Lab_Results'!D:D,,0)</f>
        <v>2823-3</v>
      </c>
      <c r="W8" s="2" t="str">
        <f>_xlfn.XLOOKUP(EHR[[#This Row],[LOINC Code]],'04_LOINC_Reference'!A:A,'04_LOINC_Reference'!F:F,,0)</f>
        <v>Biochemistry</v>
      </c>
      <c r="X8" s="2" t="str">
        <f>_xlfn.XLOOKUP(EHR[[#This Row],[LOINC Code]],'02_Lab_Results'!D:D,'02_Lab_Results'!E:E,,0)</f>
        <v>Serum potassium</v>
      </c>
      <c r="Y8" s="2" t="str">
        <f>_xlfn.XLOOKUP(EHR[[#This Row],[LOINC Code]],'02_Lab_Results'!D:D,'02_Lab_Results'!J:J,,0)</f>
        <v>Normal</v>
      </c>
      <c r="Z8" s="2" t="str" cm="1">
        <f t="array" ref="Z8">_xlfn.XLOOKUP(1,(B8=B$2:B$500)*(V$2:V$500="4548-4"),Y$2:Y$500,"Not Tested")</f>
        <v>Not Tested</v>
      </c>
      <c r="AA8" s="2">
        <v>111</v>
      </c>
      <c r="AB8" s="2">
        <v>110</v>
      </c>
      <c r="AC8" s="2" t="str">
        <f>IF(AND(EHR[[#This Row],[BP_Systolic_mmHg]]&lt;140,EHR[[#This Row],[BP_Diastolic_mmHg]]&lt;90),"Controlled",IF(OR(EHR[[#This Row],[BP_Systolic_mmHg]]="Not Recorded",EHR[[#This Row],[BP_Diastolic_mmHg]]="Not Recorded"),"No Reading","Uncontrolled"))</f>
        <v>Uncontrolled</v>
      </c>
      <c r="AD8" s="2" t="str">
        <f>_xlfn.CONCAT(EHR[[#This Row],[BP_Systolic_mmHg]],"/",EHR[[#This Row],[BP_Diastolic_mmHg]])</f>
        <v>111/110</v>
      </c>
      <c r="AE8" s="2">
        <v>115</v>
      </c>
      <c r="AF8" s="2">
        <v>17</v>
      </c>
      <c r="AG8" s="2">
        <v>38</v>
      </c>
      <c r="AH8" s="2">
        <v>34.9</v>
      </c>
      <c r="AI8" s="2" t="str">
        <f>IF(EHR[[#This Row],[BMI_kg_m2]]&gt;=30,"Obese","Non-Obese")</f>
        <v>Obese</v>
      </c>
      <c r="AJ8" s="2">
        <v>89</v>
      </c>
      <c r="AK8" s="2" t="s">
        <v>50</v>
      </c>
      <c r="AL8" s="2" t="s">
        <v>51</v>
      </c>
      <c r="AM8" s="2" t="s">
        <v>52</v>
      </c>
      <c r="AN8" s="2" t="s">
        <v>53</v>
      </c>
      <c r="AO8" s="2" t="s">
        <v>54</v>
      </c>
      <c r="AR8" s="26" t="s">
        <v>1604</v>
      </c>
    </row>
    <row r="9" spans="1:44" x14ac:dyDescent="0.2">
      <c r="A9" s="7" t="s">
        <v>72</v>
      </c>
      <c r="B9" s="3" t="s">
        <v>113</v>
      </c>
      <c r="C9" s="14">
        <v>45041</v>
      </c>
      <c r="D9" s="3" t="s">
        <v>60</v>
      </c>
      <c r="E9" s="3" t="s">
        <v>89</v>
      </c>
      <c r="F9" s="3" t="s">
        <v>38</v>
      </c>
      <c r="G9" s="3" t="s">
        <v>115</v>
      </c>
      <c r="H9" s="14">
        <v>34889</v>
      </c>
      <c r="I9" s="3">
        <v>30</v>
      </c>
      <c r="J9" s="3" t="str" cm="1">
        <f t="array" ref="J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9" s="3" t="s">
        <v>1572</v>
      </c>
      <c r="L9" s="3" t="s">
        <v>116</v>
      </c>
      <c r="M9" s="3" t="s">
        <v>79</v>
      </c>
      <c r="N9" s="3" t="s">
        <v>80</v>
      </c>
      <c r="O9" s="3" t="s">
        <v>81</v>
      </c>
      <c r="P9" s="3" t="s">
        <v>82</v>
      </c>
      <c r="Q9" s="3" t="str">
        <f>_xlfn.XLOOKUP(EHR[[#This Row],[Primary_ICD11_Code]],'03_ICD11_Reference'!A:A,'03_ICD11_Reference'!D:D,,0)</f>
        <v>Renal</v>
      </c>
      <c r="R9" s="3" t="s">
        <v>83</v>
      </c>
      <c r="S9" s="3" t="s">
        <v>69</v>
      </c>
      <c r="T9" s="3" t="s">
        <v>117</v>
      </c>
      <c r="U9" s="3">
        <v>1</v>
      </c>
      <c r="V9" s="3" t="str">
        <f>_xlfn.XLOOKUP(EHR[[#This Row],[Encounter_ID]],'02_Lab_Results'!B:B,'02_Lab_Results'!D:D,,0)</f>
        <v>2823-3</v>
      </c>
      <c r="W9" s="3" t="str">
        <f>_xlfn.XLOOKUP(EHR[[#This Row],[LOINC Code]],'04_LOINC_Reference'!A:A,'04_LOINC_Reference'!F:F,,0)</f>
        <v>Biochemistry</v>
      </c>
      <c r="X9" s="3" t="str">
        <f>_xlfn.XLOOKUP(EHR[[#This Row],[LOINC Code]],'02_Lab_Results'!D:D,'02_Lab_Results'!E:E,,0)</f>
        <v>Serum potassium</v>
      </c>
      <c r="Y9" s="3" t="str">
        <f>_xlfn.XLOOKUP(EHR[[#This Row],[LOINC Code]],'02_Lab_Results'!D:D,'02_Lab_Results'!J:J,,0)</f>
        <v>Normal</v>
      </c>
      <c r="Z9" s="3" t="str" cm="1">
        <f t="array" ref="Z9">_xlfn.XLOOKUP(1,(B9=B$2:B$500)*(V$2:V$500="4548-4"),Y$2:Y$500,"Not Tested")</f>
        <v>Not Tested</v>
      </c>
      <c r="AA9" s="3">
        <v>179</v>
      </c>
      <c r="AB9" s="3">
        <v>108</v>
      </c>
      <c r="AC9" s="3" t="str">
        <f>IF(AND(EHR[[#This Row],[BP_Systolic_mmHg]]&lt;140,EHR[[#This Row],[BP_Diastolic_mmHg]]&lt;90),"Controlled",IF(OR(EHR[[#This Row],[BP_Systolic_mmHg]]="Not Recorded",EHR[[#This Row],[BP_Diastolic_mmHg]]="Not Recorded"),"No Reading","Uncontrolled"))</f>
        <v>Uncontrolled</v>
      </c>
      <c r="AD9" s="3" t="str">
        <f>_xlfn.CONCAT(EHR[[#This Row],[BP_Systolic_mmHg]],"/",EHR[[#This Row],[BP_Diastolic_mmHg]])</f>
        <v>179/108</v>
      </c>
      <c r="AE9" s="3">
        <v>112</v>
      </c>
      <c r="AF9" s="3">
        <v>17</v>
      </c>
      <c r="AG9" s="3">
        <v>36.200000000000003</v>
      </c>
      <c r="AH9" s="3">
        <v>42.5</v>
      </c>
      <c r="AI9" s="3" t="str">
        <f>IF(EHR[[#This Row],[BMI_kg_m2]]&gt;=30,"Obese","Non-Obese")</f>
        <v>Obese</v>
      </c>
      <c r="AJ9" s="3">
        <v>99</v>
      </c>
      <c r="AK9" s="3" t="s">
        <v>50</v>
      </c>
      <c r="AL9" s="3" t="s">
        <v>51</v>
      </c>
      <c r="AM9" s="3" t="s">
        <v>52</v>
      </c>
      <c r="AN9" s="3" t="s">
        <v>53</v>
      </c>
      <c r="AO9" s="3" t="s">
        <v>54</v>
      </c>
      <c r="AR9" t="str" cm="1">
        <f t="array" ref="AR9">INDEX(EHR[Primary_Diagnosis],MATCH(MAX(COUNTIF(EHR[Primary_Diagnosis],EHR[Primary_Diagnosis])),COUNTIF(EHR[Primary_Diagnosis],EHR[Primary_Diagnosis]),0))</f>
        <v>Metabolic syndrome</v>
      </c>
    </row>
    <row r="10" spans="1:44" x14ac:dyDescent="0.2">
      <c r="A10" s="6" t="s">
        <v>119</v>
      </c>
      <c r="B10" s="2" t="s">
        <v>120</v>
      </c>
      <c r="C10" s="13">
        <v>45592</v>
      </c>
      <c r="D10" s="2" t="s">
        <v>60</v>
      </c>
      <c r="E10" s="2" t="s">
        <v>61</v>
      </c>
      <c r="F10" s="2" t="s">
        <v>122</v>
      </c>
      <c r="G10" s="2" t="s">
        <v>123</v>
      </c>
      <c r="H10" s="13">
        <v>31549</v>
      </c>
      <c r="I10" s="2">
        <v>39</v>
      </c>
      <c r="J10" s="2" t="str" cm="1">
        <f t="array" ref="J1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0" s="2" t="s">
        <v>1573</v>
      </c>
      <c r="L10" s="2" t="s">
        <v>66</v>
      </c>
      <c r="M10" s="2" t="s">
        <v>43</v>
      </c>
      <c r="N10" s="2" t="s">
        <v>125</v>
      </c>
      <c r="O10" s="2" t="s">
        <v>1574</v>
      </c>
      <c r="P10" s="2" t="s">
        <v>126</v>
      </c>
      <c r="Q10" s="2" t="str">
        <f>_xlfn.XLOOKUP(EHR[[#This Row],[Primary_ICD11_Code]],'03_ICD11_Reference'!A:A,'03_ICD11_Reference'!D:D,,0)</f>
        <v>Neurological</v>
      </c>
      <c r="R10" s="2" t="s">
        <v>127</v>
      </c>
      <c r="S10" s="2" t="s">
        <v>69</v>
      </c>
      <c r="T10" s="2" t="s">
        <v>128</v>
      </c>
      <c r="U10" s="2">
        <v>2</v>
      </c>
      <c r="V10" s="2" t="str">
        <f>_xlfn.XLOOKUP(EHR[[#This Row],[Encounter_ID]],'02_Lab_Results'!B:B,'02_Lab_Results'!D:D,,0)</f>
        <v>6768-6</v>
      </c>
      <c r="W10" s="2" t="str">
        <f>_xlfn.XLOOKUP(EHR[[#This Row],[LOINC Code]],'04_LOINC_Reference'!A:A,'04_LOINC_Reference'!F:F,,0)</f>
        <v>Biochemistry</v>
      </c>
      <c r="X10" s="2" t="str">
        <f>_xlfn.XLOOKUP(EHR[[#This Row],[LOINC Code]],'02_Lab_Results'!D:D,'02_Lab_Results'!E:E,,0)</f>
        <v>ALP</v>
      </c>
      <c r="Y10" s="2" t="str">
        <f>_xlfn.XLOOKUP(EHR[[#This Row],[LOINC Code]],'02_Lab_Results'!D:D,'02_Lab_Results'!J:J,,0)</f>
        <v>High</v>
      </c>
      <c r="Z10" s="2" t="str" cm="1">
        <f t="array" ref="Z10">_xlfn.XLOOKUP(1,(B10=B$2:B$500)*(V$2:V$500="4548-4"),Y$2:Y$500,"Not Tested")</f>
        <v>Not Tested</v>
      </c>
      <c r="AA10" s="2">
        <v>129</v>
      </c>
      <c r="AB10" s="2">
        <v>109</v>
      </c>
      <c r="AC10" s="2" t="str">
        <f>IF(AND(EHR[[#This Row],[BP_Systolic_mmHg]]&lt;140,EHR[[#This Row],[BP_Diastolic_mmHg]]&lt;90),"Controlled",IF(OR(EHR[[#This Row],[BP_Systolic_mmHg]]="Not Recorded",EHR[[#This Row],[BP_Diastolic_mmHg]]="Not Recorded"),"No Reading","Uncontrolled"))</f>
        <v>Uncontrolled</v>
      </c>
      <c r="AD10" s="2" t="str">
        <f>_xlfn.CONCAT(EHR[[#This Row],[BP_Systolic_mmHg]],"/",EHR[[#This Row],[BP_Diastolic_mmHg]])</f>
        <v>129/109</v>
      </c>
      <c r="AE10" s="2">
        <v>84</v>
      </c>
      <c r="AF10" s="2">
        <v>16</v>
      </c>
      <c r="AG10" s="2">
        <v>36.200000000000003</v>
      </c>
      <c r="AH10" s="2">
        <v>18.100000000000001</v>
      </c>
      <c r="AI10" s="2" t="str">
        <f>IF(EHR[[#This Row],[BMI_kg_m2]]&gt;=30,"Obese","Non-Obese")</f>
        <v>Non-Obese</v>
      </c>
      <c r="AJ10" s="2">
        <v>94</v>
      </c>
      <c r="AK10" s="2" t="s">
        <v>50</v>
      </c>
      <c r="AL10" s="2" t="s">
        <v>51</v>
      </c>
      <c r="AM10" s="2" t="s">
        <v>52</v>
      </c>
      <c r="AN10" s="2" t="s">
        <v>53</v>
      </c>
      <c r="AO10" s="2" t="s">
        <v>54</v>
      </c>
      <c r="AR10" s="26" t="s">
        <v>1605</v>
      </c>
    </row>
    <row r="11" spans="1:44" x14ac:dyDescent="0.2">
      <c r="A11" s="7" t="s">
        <v>119</v>
      </c>
      <c r="B11" s="3" t="s">
        <v>130</v>
      </c>
      <c r="C11" s="14">
        <v>45265</v>
      </c>
      <c r="D11" s="3" t="s">
        <v>60</v>
      </c>
      <c r="E11" s="3" t="s">
        <v>37</v>
      </c>
      <c r="F11" s="3" t="s">
        <v>132</v>
      </c>
      <c r="G11" s="3" t="s">
        <v>76</v>
      </c>
      <c r="H11" s="14">
        <v>31549</v>
      </c>
      <c r="I11" s="3">
        <v>39</v>
      </c>
      <c r="J11" s="3" t="str" cm="1">
        <f t="array" ref="J1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1" s="3" t="s">
        <v>1573</v>
      </c>
      <c r="L11" s="3" t="s">
        <v>78</v>
      </c>
      <c r="M11" s="3" t="s">
        <v>43</v>
      </c>
      <c r="N11" s="3" t="s">
        <v>125</v>
      </c>
      <c r="O11" s="3" t="s">
        <v>1574</v>
      </c>
      <c r="P11" s="3" t="s">
        <v>126</v>
      </c>
      <c r="Q11" s="3" t="str">
        <f>_xlfn.XLOOKUP(EHR[[#This Row],[Primary_ICD11_Code]],'03_ICD11_Reference'!A:A,'03_ICD11_Reference'!D:D,,0)</f>
        <v>Neurological</v>
      </c>
      <c r="R11" s="3" t="s">
        <v>127</v>
      </c>
      <c r="S11" s="3" t="s">
        <v>69</v>
      </c>
      <c r="T11" s="3" t="s">
        <v>133</v>
      </c>
      <c r="U11" s="3">
        <v>4</v>
      </c>
      <c r="V11" s="3" t="str">
        <f>_xlfn.XLOOKUP(EHR[[#This Row],[Encounter_ID]],'02_Lab_Results'!B:B,'02_Lab_Results'!D:D,,0)</f>
        <v>789-8</v>
      </c>
      <c r="W11" s="3" t="str">
        <f>_xlfn.XLOOKUP(EHR[[#This Row],[LOINC Code]],'04_LOINC_Reference'!A:A,'04_LOINC_Reference'!F:F,,0)</f>
        <v>Biochemistry</v>
      </c>
      <c r="X11" s="3" t="str">
        <f>_xlfn.XLOOKUP(EHR[[#This Row],[LOINC Code]],'02_Lab_Results'!D:D,'02_Lab_Results'!E:E,,0)</f>
        <v>RBC count</v>
      </c>
      <c r="Y11" s="3" t="str">
        <f>_xlfn.XLOOKUP(EHR[[#This Row],[LOINC Code]],'02_Lab_Results'!D:D,'02_Lab_Results'!J:J,,0)</f>
        <v>High</v>
      </c>
      <c r="Z11" s="3" t="str" cm="1">
        <f t="array" ref="Z11">_xlfn.XLOOKUP(1,(B11=B$2:B$500)*(V$2:V$500="4548-4"),Y$2:Y$500,"Not Tested")</f>
        <v>Not Tested</v>
      </c>
      <c r="AA11" s="3">
        <v>101</v>
      </c>
      <c r="AB11" s="3">
        <v>69</v>
      </c>
      <c r="AC11" s="3" t="str">
        <f>IF(AND(EHR[[#This Row],[BP_Systolic_mmHg]]&lt;140,EHR[[#This Row],[BP_Diastolic_mmHg]]&lt;90),"Controlled",IF(OR(EHR[[#This Row],[BP_Systolic_mmHg]]="Not Recorded",EHR[[#This Row],[BP_Diastolic_mmHg]]="Not Recorded"),"No Reading","Uncontrolled"))</f>
        <v>Controlled</v>
      </c>
      <c r="AD11" s="3" t="str">
        <f>_xlfn.CONCAT(EHR[[#This Row],[BP_Systolic_mmHg]],"/",EHR[[#This Row],[BP_Diastolic_mmHg]])</f>
        <v>101/69</v>
      </c>
      <c r="AE11" s="3">
        <v>100</v>
      </c>
      <c r="AF11" s="3">
        <v>15</v>
      </c>
      <c r="AG11" s="3">
        <v>36.4</v>
      </c>
      <c r="AH11" s="3">
        <v>44.2</v>
      </c>
      <c r="AI11" s="3" t="str">
        <f>IF(EHR[[#This Row],[BMI_kg_m2]]&gt;=30,"Obese","Non-Obese")</f>
        <v>Obese</v>
      </c>
      <c r="AJ11" s="3">
        <v>94</v>
      </c>
      <c r="AK11" s="3" t="s">
        <v>50</v>
      </c>
      <c r="AL11" s="3" t="s">
        <v>51</v>
      </c>
      <c r="AM11" s="3" t="s">
        <v>52</v>
      </c>
      <c r="AN11" s="3" t="s">
        <v>53</v>
      </c>
      <c r="AO11" s="3" t="s">
        <v>54</v>
      </c>
      <c r="AR11" s="25">
        <f>COUNTA(EHR[Encounter_ID])</f>
        <v>398</v>
      </c>
    </row>
    <row r="12" spans="1:44" x14ac:dyDescent="0.2">
      <c r="A12" s="6" t="s">
        <v>135</v>
      </c>
      <c r="B12" s="2" t="s">
        <v>136</v>
      </c>
      <c r="C12" s="13">
        <v>45121</v>
      </c>
      <c r="D12" s="2" t="s">
        <v>88</v>
      </c>
      <c r="E12" s="2" t="s">
        <v>37</v>
      </c>
      <c r="F12" s="2" t="s">
        <v>122</v>
      </c>
      <c r="G12" s="2" t="s">
        <v>138</v>
      </c>
      <c r="H12" s="13">
        <v>17869</v>
      </c>
      <c r="I12" s="2">
        <v>77</v>
      </c>
      <c r="J12" s="2" t="str" cm="1">
        <f t="array" ref="J1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2" s="2" t="s">
        <v>1573</v>
      </c>
      <c r="L12" s="2" t="s">
        <v>140</v>
      </c>
      <c r="M12" s="2" t="s">
        <v>141</v>
      </c>
      <c r="N12" s="2" t="s">
        <v>125</v>
      </c>
      <c r="O12" s="2" t="s">
        <v>45</v>
      </c>
      <c r="P12" s="2" t="s">
        <v>142</v>
      </c>
      <c r="Q12" s="2" t="str">
        <f>_xlfn.XLOOKUP(EHR[[#This Row],[Primary_ICD11_Code]],'03_ICD11_Reference'!A:A,'03_ICD11_Reference'!D:D,,0)</f>
        <v>Cardiovascular</v>
      </c>
      <c r="R12" s="2" t="s">
        <v>143</v>
      </c>
      <c r="S12" s="2" t="s">
        <v>48</v>
      </c>
      <c r="T12" s="2" t="s">
        <v>144</v>
      </c>
      <c r="U12" s="2">
        <v>1</v>
      </c>
      <c r="V12" s="2" t="str">
        <f>_xlfn.XLOOKUP(EHR[[#This Row],[Encounter_ID]],'02_Lab_Results'!B:B,'02_Lab_Results'!D:D,,0)</f>
        <v>17861-6</v>
      </c>
      <c r="W12" s="2" t="str">
        <f>_xlfn.XLOOKUP(EHR[[#This Row],[LOINC Code]],'04_LOINC_Reference'!A:A,'04_LOINC_Reference'!F:F,,0)</f>
        <v>Biochemistry</v>
      </c>
      <c r="X12" s="2" t="str">
        <f>_xlfn.XLOOKUP(EHR[[#This Row],[LOINC Code]],'02_Lab_Results'!D:D,'02_Lab_Results'!E:E,,0)</f>
        <v>Serum calcium</v>
      </c>
      <c r="Y12" s="2" t="str">
        <f>_xlfn.XLOOKUP(EHR[[#This Row],[LOINC Code]],'02_Lab_Results'!D:D,'02_Lab_Results'!J:J,,0)</f>
        <v>High</v>
      </c>
      <c r="Z12" s="2" t="str" cm="1">
        <f t="array" ref="Z12">_xlfn.XLOOKUP(1,(B12=B$2:B$500)*(V$2:V$500="4548-4"),Y$2:Y$500,"Not Tested")</f>
        <v>Not Tested</v>
      </c>
      <c r="AA12" s="2">
        <v>143</v>
      </c>
      <c r="AB12" s="2">
        <v>63</v>
      </c>
      <c r="AC12" s="2" t="str">
        <f>IF(AND(EHR[[#This Row],[BP_Systolic_mmHg]]&lt;140,EHR[[#This Row],[BP_Diastolic_mmHg]]&lt;90),"Controlled",IF(OR(EHR[[#This Row],[BP_Systolic_mmHg]]="Not Recorded",EHR[[#This Row],[BP_Diastolic_mmHg]]="Not Recorded"),"No Reading","Uncontrolled"))</f>
        <v>Uncontrolled</v>
      </c>
      <c r="AD12" s="2" t="str">
        <f>_xlfn.CONCAT(EHR[[#This Row],[BP_Systolic_mmHg]],"/",EHR[[#This Row],[BP_Diastolic_mmHg]])</f>
        <v>143/63</v>
      </c>
      <c r="AE12" s="2">
        <v>64</v>
      </c>
      <c r="AF12" s="2">
        <v>19</v>
      </c>
      <c r="AG12" s="2">
        <v>38.799999999999997</v>
      </c>
      <c r="AH12" s="2">
        <v>19.600000000000001</v>
      </c>
      <c r="AI12" s="2" t="str">
        <f>IF(EHR[[#This Row],[BMI_kg_m2]]&gt;=30,"Obese","Non-Obese")</f>
        <v>Non-Obese</v>
      </c>
      <c r="AJ12" s="2">
        <v>98</v>
      </c>
      <c r="AK12" s="2" t="s">
        <v>50</v>
      </c>
      <c r="AL12" s="2" t="s">
        <v>51</v>
      </c>
      <c r="AM12" s="2" t="s">
        <v>52</v>
      </c>
      <c r="AN12" s="2" t="s">
        <v>53</v>
      </c>
      <c r="AO12" s="2" t="s">
        <v>54</v>
      </c>
      <c r="AR12" s="26" t="s">
        <v>1606</v>
      </c>
    </row>
    <row r="13" spans="1:44" x14ac:dyDescent="0.2">
      <c r="A13" s="7" t="s">
        <v>145</v>
      </c>
      <c r="B13" s="3" t="s">
        <v>146</v>
      </c>
      <c r="C13" s="14">
        <v>45198</v>
      </c>
      <c r="D13" s="3" t="s">
        <v>60</v>
      </c>
      <c r="E13" s="3" t="s">
        <v>89</v>
      </c>
      <c r="F13" s="3" t="s">
        <v>148</v>
      </c>
      <c r="G13" s="3" t="s">
        <v>123</v>
      </c>
      <c r="H13" s="14">
        <v>16656</v>
      </c>
      <c r="I13" s="3">
        <v>80</v>
      </c>
      <c r="J13" s="3" t="str" cm="1">
        <f t="array" ref="J1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 s="3" t="s">
        <v>1573</v>
      </c>
      <c r="L13" s="3" t="s">
        <v>116</v>
      </c>
      <c r="M13" s="3" t="s">
        <v>43</v>
      </c>
      <c r="N13" s="3" t="s">
        <v>1574</v>
      </c>
      <c r="O13" s="3" t="s">
        <v>45</v>
      </c>
      <c r="P13" s="3" t="s">
        <v>150</v>
      </c>
      <c r="Q13" s="3" t="str">
        <f>_xlfn.XLOOKUP(EHR[[#This Row],[Primary_ICD11_Code]],'03_ICD11_Reference'!A:A,'03_ICD11_Reference'!D:D,,0)</f>
        <v>Gastroenterology</v>
      </c>
      <c r="R13" s="3" t="s">
        <v>151</v>
      </c>
      <c r="S13" s="3" t="s">
        <v>69</v>
      </c>
      <c r="T13" s="3" t="s">
        <v>152</v>
      </c>
      <c r="U13" s="3">
        <v>4</v>
      </c>
      <c r="V13" s="3" t="str">
        <f>_xlfn.XLOOKUP(EHR[[#This Row],[Encounter_ID]],'02_Lab_Results'!B:B,'02_Lab_Results'!D:D,,0)</f>
        <v>2345-7</v>
      </c>
      <c r="W13" s="3" t="str">
        <f>_xlfn.XLOOKUP(EHR[[#This Row],[LOINC Code]],'04_LOINC_Reference'!A:A,'04_LOINC_Reference'!F:F,,0)</f>
        <v>Biochemistry</v>
      </c>
      <c r="X13" s="3" t="str">
        <f>_xlfn.XLOOKUP(EHR[[#This Row],[LOINC Code]],'02_Lab_Results'!D:D,'02_Lab_Results'!E:E,,0)</f>
        <v>Serum glucose (fasting)</v>
      </c>
      <c r="Y13" s="3" t="str">
        <f>_xlfn.XLOOKUP(EHR[[#This Row],[LOINC Code]],'02_Lab_Results'!D:D,'02_Lab_Results'!J:J,,0)</f>
        <v>Normal</v>
      </c>
      <c r="Z13" s="3" t="str" cm="1">
        <f t="array" ref="Z13">_xlfn.XLOOKUP(1,(B13=B$2:B$500)*(V$2:V$500="4548-4"),Y$2:Y$500,"Not Tested")</f>
        <v>Not Tested</v>
      </c>
      <c r="AA13" s="3">
        <v>178</v>
      </c>
      <c r="AB13" s="3">
        <v>102</v>
      </c>
      <c r="AC13" s="3" t="str">
        <f>IF(AND(EHR[[#This Row],[BP_Systolic_mmHg]]&lt;140,EHR[[#This Row],[BP_Diastolic_mmHg]]&lt;90),"Controlled",IF(OR(EHR[[#This Row],[BP_Systolic_mmHg]]="Not Recorded",EHR[[#This Row],[BP_Diastolic_mmHg]]="Not Recorded"),"No Reading","Uncontrolled"))</f>
        <v>Uncontrolled</v>
      </c>
      <c r="AD13" s="3" t="str">
        <f>_xlfn.CONCAT(EHR[[#This Row],[BP_Systolic_mmHg]],"/",EHR[[#This Row],[BP_Diastolic_mmHg]])</f>
        <v>178/102</v>
      </c>
      <c r="AE13" s="3">
        <v>71</v>
      </c>
      <c r="AF13" s="3">
        <v>23</v>
      </c>
      <c r="AG13" s="3">
        <v>38.299999999999997</v>
      </c>
      <c r="AH13" s="3">
        <v>39.799999999999997</v>
      </c>
      <c r="AI13" s="3" t="str">
        <f>IF(EHR[[#This Row],[BMI_kg_m2]]&gt;=30,"Obese","Non-Obese")</f>
        <v>Obese</v>
      </c>
      <c r="AJ13" s="3">
        <v>96</v>
      </c>
      <c r="AK13" s="3" t="s">
        <v>50</v>
      </c>
      <c r="AL13" s="3" t="s">
        <v>51</v>
      </c>
      <c r="AM13" s="3" t="s">
        <v>52</v>
      </c>
      <c r="AN13" s="3" t="s">
        <v>53</v>
      </c>
      <c r="AO13" s="3" t="s">
        <v>54</v>
      </c>
      <c r="AR13" s="24">
        <f>AVERAGEIF(EHR[BMI_kg_m2],"&gt;"&amp;0,EHR[BMI_kg_m2])</f>
        <v>31.557105943152433</v>
      </c>
    </row>
    <row r="14" spans="1:44" x14ac:dyDescent="0.2">
      <c r="A14" s="6" t="s">
        <v>153</v>
      </c>
      <c r="B14" s="2" t="s">
        <v>154</v>
      </c>
      <c r="C14" s="13">
        <v>44997</v>
      </c>
      <c r="D14" s="2" t="s">
        <v>88</v>
      </c>
      <c r="E14" s="2" t="s">
        <v>89</v>
      </c>
      <c r="F14" s="2" t="s">
        <v>148</v>
      </c>
      <c r="G14" s="2" t="s">
        <v>76</v>
      </c>
      <c r="H14" s="13">
        <v>36544</v>
      </c>
      <c r="I14" s="2">
        <v>25</v>
      </c>
      <c r="J14" s="2" t="str" cm="1">
        <f t="array" ref="J1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4" s="2" t="s">
        <v>1573</v>
      </c>
      <c r="L14" s="2" t="s">
        <v>42</v>
      </c>
      <c r="M14" s="2" t="s">
        <v>43</v>
      </c>
      <c r="N14" s="2" t="s">
        <v>44</v>
      </c>
      <c r="O14" s="2" t="s">
        <v>45</v>
      </c>
      <c r="P14" s="2" t="s">
        <v>157</v>
      </c>
      <c r="Q14" s="2" t="str">
        <f>_xlfn.XLOOKUP(EHR[[#This Row],[Primary_ICD11_Code]],'03_ICD11_Reference'!A:A,'03_ICD11_Reference'!D:D,,0)</f>
        <v>Multi-system</v>
      </c>
      <c r="R14" s="2" t="s">
        <v>158</v>
      </c>
      <c r="S14" s="2" t="s">
        <v>69</v>
      </c>
      <c r="T14" s="2" t="s">
        <v>159</v>
      </c>
      <c r="U14" s="2">
        <v>1</v>
      </c>
      <c r="V14" s="2" t="str">
        <f>_xlfn.XLOOKUP(EHR[[#This Row],[Encounter_ID]],'02_Lab_Results'!B:B,'02_Lab_Results'!D:D,,0)</f>
        <v>17861-6</v>
      </c>
      <c r="W14" s="2" t="str">
        <f>_xlfn.XLOOKUP(EHR[[#This Row],[LOINC Code]],'04_LOINC_Reference'!A:A,'04_LOINC_Reference'!F:F,,0)</f>
        <v>Biochemistry</v>
      </c>
      <c r="X14" s="2" t="str">
        <f>_xlfn.XLOOKUP(EHR[[#This Row],[LOINC Code]],'02_Lab_Results'!D:D,'02_Lab_Results'!E:E,,0)</f>
        <v>Serum calcium</v>
      </c>
      <c r="Y14" s="2" t="str">
        <f>_xlfn.XLOOKUP(EHR[[#This Row],[LOINC Code]],'02_Lab_Results'!D:D,'02_Lab_Results'!J:J,,0)</f>
        <v>High</v>
      </c>
      <c r="Z14" s="2" t="str" cm="1">
        <f t="array" ref="Z14">_xlfn.XLOOKUP(1,(B14=B$2:B$500)*(V$2:V$500="4548-4"),Y$2:Y$500,"Not Tested")</f>
        <v>Not Tested</v>
      </c>
      <c r="AA14" s="2">
        <v>149</v>
      </c>
      <c r="AB14" s="2">
        <v>96</v>
      </c>
      <c r="AC14" s="2" t="str">
        <f>IF(AND(EHR[[#This Row],[BP_Systolic_mmHg]]&lt;140,EHR[[#This Row],[BP_Diastolic_mmHg]]&lt;90),"Controlled",IF(OR(EHR[[#This Row],[BP_Systolic_mmHg]]="Not Recorded",EHR[[#This Row],[BP_Diastolic_mmHg]]="Not Recorded"),"No Reading","Uncontrolled"))</f>
        <v>Uncontrolled</v>
      </c>
      <c r="AD14" s="2" t="str">
        <f>_xlfn.CONCAT(EHR[[#This Row],[BP_Systolic_mmHg]],"/",EHR[[#This Row],[BP_Diastolic_mmHg]])</f>
        <v>149/96</v>
      </c>
      <c r="AE14" s="2">
        <v>68</v>
      </c>
      <c r="AF14" s="2">
        <v>14</v>
      </c>
      <c r="AG14" s="2">
        <v>38.799999999999997</v>
      </c>
      <c r="AH14" s="2">
        <v>24.5</v>
      </c>
      <c r="AI14" s="2" t="str">
        <f>IF(EHR[[#This Row],[BMI_kg_m2]]&gt;=30,"Obese","Non-Obese")</f>
        <v>Non-Obese</v>
      </c>
      <c r="AJ14" s="2">
        <v>95</v>
      </c>
      <c r="AK14" s="2" t="s">
        <v>50</v>
      </c>
      <c r="AL14" s="2" t="s">
        <v>51</v>
      </c>
      <c r="AM14" s="2" t="s">
        <v>52</v>
      </c>
      <c r="AN14" s="2" t="s">
        <v>53</v>
      </c>
      <c r="AO14" s="2" t="s">
        <v>54</v>
      </c>
    </row>
    <row r="15" spans="1:44" x14ac:dyDescent="0.2">
      <c r="A15" s="7" t="s">
        <v>153</v>
      </c>
      <c r="B15" s="3" t="s">
        <v>161</v>
      </c>
      <c r="C15" s="14">
        <v>45136</v>
      </c>
      <c r="D15" s="3" t="s">
        <v>95</v>
      </c>
      <c r="E15" s="3" t="s">
        <v>89</v>
      </c>
      <c r="F15" s="3" t="s">
        <v>97</v>
      </c>
      <c r="G15" s="3" t="s">
        <v>63</v>
      </c>
      <c r="H15" s="14">
        <v>36544</v>
      </c>
      <c r="I15" s="3">
        <v>25</v>
      </c>
      <c r="J15" s="3" t="str" cm="1">
        <f t="array" ref="J1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5" s="3" t="s">
        <v>1573</v>
      </c>
      <c r="L15" s="3" t="s">
        <v>110</v>
      </c>
      <c r="M15" s="3" t="s">
        <v>43</v>
      </c>
      <c r="N15" s="3" t="s">
        <v>44</v>
      </c>
      <c r="O15" s="3" t="s">
        <v>45</v>
      </c>
      <c r="P15" s="3" t="s">
        <v>157</v>
      </c>
      <c r="Q15" s="3" t="str">
        <f>_xlfn.XLOOKUP(EHR[[#This Row],[Primary_ICD11_Code]],'03_ICD11_Reference'!A:A,'03_ICD11_Reference'!D:D,,0)</f>
        <v>Multi-system</v>
      </c>
      <c r="R15" s="3" t="s">
        <v>158</v>
      </c>
      <c r="S15" s="3" t="s">
        <v>69</v>
      </c>
      <c r="T15" s="3" t="s">
        <v>163</v>
      </c>
      <c r="U15" s="3">
        <v>1</v>
      </c>
      <c r="V15" s="3" t="str">
        <f>_xlfn.XLOOKUP(EHR[[#This Row],[Encounter_ID]],'02_Lab_Results'!B:B,'02_Lab_Results'!D:D,,0)</f>
        <v>6690-2</v>
      </c>
      <c r="W15" s="3" t="str">
        <f>_xlfn.XLOOKUP(EHR[[#This Row],[LOINC Code]],'04_LOINC_Reference'!A:A,'04_LOINC_Reference'!F:F,,0)</f>
        <v>Biochemistry</v>
      </c>
      <c r="X15" s="3" t="str">
        <f>_xlfn.XLOOKUP(EHR[[#This Row],[LOINC Code]],'02_Lab_Results'!D:D,'02_Lab_Results'!E:E,,0)</f>
        <v>WBC count</v>
      </c>
      <c r="Y15" s="3" t="str">
        <f>_xlfn.XLOOKUP(EHR[[#This Row],[LOINC Code]],'02_Lab_Results'!D:D,'02_Lab_Results'!J:J,,0)</f>
        <v>Low</v>
      </c>
      <c r="Z15" s="3" t="str" cm="1">
        <f t="array" ref="Z15">_xlfn.XLOOKUP(1,(B15=B$2:B$500)*(V$2:V$500="4548-4"),Y$2:Y$500,"Not Tested")</f>
        <v>Not Tested</v>
      </c>
      <c r="AA15" s="3">
        <v>155</v>
      </c>
      <c r="AB15" s="3">
        <v>74</v>
      </c>
      <c r="AC15" s="3" t="str">
        <f>IF(AND(EHR[[#This Row],[BP_Systolic_mmHg]]&lt;140,EHR[[#This Row],[BP_Diastolic_mmHg]]&lt;90),"Controlled",IF(OR(EHR[[#This Row],[BP_Systolic_mmHg]]="Not Recorded",EHR[[#This Row],[BP_Diastolic_mmHg]]="Not Recorded"),"No Reading","Uncontrolled"))</f>
        <v>Uncontrolled</v>
      </c>
      <c r="AD15" s="3" t="str">
        <f>_xlfn.CONCAT(EHR[[#This Row],[BP_Systolic_mmHg]],"/",EHR[[#This Row],[BP_Diastolic_mmHg]])</f>
        <v>155/74</v>
      </c>
      <c r="AE15" s="3">
        <v>70</v>
      </c>
      <c r="AF15" s="3">
        <v>14</v>
      </c>
      <c r="AG15" s="3">
        <v>38.1</v>
      </c>
      <c r="AH15" s="3">
        <v>30.5</v>
      </c>
      <c r="AI15" s="3" t="str">
        <f>IF(EHR[[#This Row],[BMI_kg_m2]]&gt;=30,"Obese","Non-Obese")</f>
        <v>Obese</v>
      </c>
      <c r="AJ15" s="3">
        <v>99</v>
      </c>
      <c r="AK15" s="3" t="s">
        <v>50</v>
      </c>
      <c r="AL15" s="3" t="s">
        <v>51</v>
      </c>
      <c r="AM15" s="3" t="s">
        <v>52</v>
      </c>
      <c r="AN15" s="3" t="s">
        <v>53</v>
      </c>
      <c r="AO15" s="3" t="s">
        <v>54</v>
      </c>
    </row>
    <row r="16" spans="1:44" x14ac:dyDescent="0.2">
      <c r="A16" s="6" t="s">
        <v>153</v>
      </c>
      <c r="B16" s="2" t="s">
        <v>165</v>
      </c>
      <c r="C16" s="13">
        <v>45477</v>
      </c>
      <c r="D16" s="2" t="s">
        <v>88</v>
      </c>
      <c r="E16" s="2" t="s">
        <v>167</v>
      </c>
      <c r="F16" s="2" t="s">
        <v>122</v>
      </c>
      <c r="G16" s="2" t="s">
        <v>115</v>
      </c>
      <c r="H16" s="13">
        <v>36544</v>
      </c>
      <c r="I16" s="2">
        <v>25</v>
      </c>
      <c r="J16" s="2" t="str" cm="1">
        <f t="array" ref="J1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6" s="2" t="s">
        <v>1573</v>
      </c>
      <c r="L16" s="2" t="s">
        <v>42</v>
      </c>
      <c r="M16" s="2" t="s">
        <v>43</v>
      </c>
      <c r="N16" s="2" t="s">
        <v>44</v>
      </c>
      <c r="O16" s="2" t="s">
        <v>45</v>
      </c>
      <c r="P16" s="2" t="s">
        <v>157</v>
      </c>
      <c r="Q16" s="2" t="str">
        <f>_xlfn.XLOOKUP(EHR[[#This Row],[Primary_ICD11_Code]],'03_ICD11_Reference'!A:A,'03_ICD11_Reference'!D:D,,0)</f>
        <v>Multi-system</v>
      </c>
      <c r="R16" s="2" t="s">
        <v>158</v>
      </c>
      <c r="S16" s="2" t="s">
        <v>69</v>
      </c>
      <c r="T16" s="2" t="s">
        <v>168</v>
      </c>
      <c r="U16" s="2">
        <v>3</v>
      </c>
      <c r="V16" s="2" t="str">
        <f>_xlfn.XLOOKUP(EHR[[#This Row],[Encounter_ID]],'02_Lab_Results'!B:B,'02_Lab_Results'!D:D,,0)</f>
        <v>2093-3</v>
      </c>
      <c r="W16" s="2" t="str">
        <f>_xlfn.XLOOKUP(EHR[[#This Row],[LOINC Code]],'04_LOINC_Reference'!A:A,'04_LOINC_Reference'!F:F,,0)</f>
        <v>Biochemistry</v>
      </c>
      <c r="X16" s="2" t="str">
        <f>_xlfn.XLOOKUP(EHR[[#This Row],[LOINC Code]],'02_Lab_Results'!D:D,'02_Lab_Results'!E:E,,0)</f>
        <v>Total cholesterol</v>
      </c>
      <c r="Y16" s="2" t="str">
        <f>_xlfn.XLOOKUP(EHR[[#This Row],[LOINC Code]],'02_Lab_Results'!D:D,'02_Lab_Results'!J:J,,0)</f>
        <v>Normal</v>
      </c>
      <c r="Z16" s="2" t="str" cm="1">
        <f t="array" ref="Z16">_xlfn.XLOOKUP(1,(B16=B$2:B$500)*(V$2:V$500="4548-4"),Y$2:Y$500,"Not Tested")</f>
        <v>Not Tested</v>
      </c>
      <c r="AA16" s="2">
        <v>114</v>
      </c>
      <c r="AB16" s="2">
        <v>71</v>
      </c>
      <c r="AC16" s="2" t="str">
        <f>IF(AND(EHR[[#This Row],[BP_Systolic_mmHg]]&lt;140,EHR[[#This Row],[BP_Diastolic_mmHg]]&lt;90),"Controlled",IF(OR(EHR[[#This Row],[BP_Systolic_mmHg]]="Not Recorded",EHR[[#This Row],[BP_Diastolic_mmHg]]="Not Recorded"),"No Reading","Uncontrolled"))</f>
        <v>Controlled</v>
      </c>
      <c r="AD16" s="2" t="str">
        <f>_xlfn.CONCAT(EHR[[#This Row],[BP_Systolic_mmHg]],"/",EHR[[#This Row],[BP_Diastolic_mmHg]])</f>
        <v>114/71</v>
      </c>
      <c r="AE16" s="2">
        <v>120</v>
      </c>
      <c r="AF16" s="2">
        <v>26</v>
      </c>
      <c r="AG16" s="2">
        <v>38.799999999999997</v>
      </c>
      <c r="AH16" s="2">
        <v>28</v>
      </c>
      <c r="AI16" s="2" t="str">
        <f>IF(EHR[[#This Row],[BMI_kg_m2]]&gt;=30,"Obese","Non-Obese")</f>
        <v>Non-Obese</v>
      </c>
      <c r="AJ16" s="2">
        <v>89</v>
      </c>
      <c r="AK16" s="2" t="s">
        <v>50</v>
      </c>
      <c r="AL16" s="2" t="s">
        <v>51</v>
      </c>
      <c r="AM16" s="2" t="s">
        <v>52</v>
      </c>
      <c r="AN16" s="2" t="s">
        <v>53</v>
      </c>
      <c r="AO16" s="2" t="s">
        <v>54</v>
      </c>
    </row>
    <row r="17" spans="1:41" x14ac:dyDescent="0.2">
      <c r="A17" s="7" t="s">
        <v>153</v>
      </c>
      <c r="B17" s="3" t="s">
        <v>170</v>
      </c>
      <c r="C17" s="14">
        <v>45045</v>
      </c>
      <c r="D17" s="3" t="s">
        <v>60</v>
      </c>
      <c r="E17" s="3" t="s">
        <v>37</v>
      </c>
      <c r="F17" s="3" t="s">
        <v>132</v>
      </c>
      <c r="G17" s="3" t="s">
        <v>104</v>
      </c>
      <c r="H17" s="14">
        <v>36544</v>
      </c>
      <c r="I17" s="3">
        <v>25</v>
      </c>
      <c r="J17" s="3" t="str" cm="1">
        <f t="array" ref="J1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7" s="3" t="s">
        <v>1573</v>
      </c>
      <c r="L17" s="3" t="s">
        <v>110</v>
      </c>
      <c r="M17" s="3" t="s">
        <v>43</v>
      </c>
      <c r="N17" s="3" t="s">
        <v>44</v>
      </c>
      <c r="O17" s="3" t="s">
        <v>45</v>
      </c>
      <c r="P17" s="3" t="s">
        <v>157</v>
      </c>
      <c r="Q17" s="3" t="str">
        <f>_xlfn.XLOOKUP(EHR[[#This Row],[Primary_ICD11_Code]],'03_ICD11_Reference'!A:A,'03_ICD11_Reference'!D:D,,0)</f>
        <v>Multi-system</v>
      </c>
      <c r="R17" s="3" t="s">
        <v>158</v>
      </c>
      <c r="S17" s="3" t="s">
        <v>69</v>
      </c>
      <c r="T17" s="3" t="s">
        <v>172</v>
      </c>
      <c r="U17" s="3">
        <v>3</v>
      </c>
      <c r="V17" s="3" t="str">
        <f>_xlfn.XLOOKUP(EHR[[#This Row],[Encounter_ID]],'02_Lab_Results'!B:B,'02_Lab_Results'!D:D,,0)</f>
        <v>13457-7</v>
      </c>
      <c r="W17" s="3" t="str">
        <f>_xlfn.XLOOKUP(EHR[[#This Row],[LOINC Code]],'04_LOINC_Reference'!A:A,'04_LOINC_Reference'!F:F,,0)</f>
        <v>Biochemistry</v>
      </c>
      <c r="X17" s="3" t="str">
        <f>_xlfn.XLOOKUP(EHR[[#This Row],[LOINC Code]],'02_Lab_Results'!D:D,'02_Lab_Results'!E:E,,0)</f>
        <v>LDL cholesterol</v>
      </c>
      <c r="Y17" s="3" t="str">
        <f>_xlfn.XLOOKUP(EHR[[#This Row],[LOINC Code]],'02_Lab_Results'!D:D,'02_Lab_Results'!J:J,,0)</f>
        <v>High</v>
      </c>
      <c r="Z17" s="3" t="str" cm="1">
        <f t="array" ref="Z17">_xlfn.XLOOKUP(1,(B17=B$2:B$500)*(V$2:V$500="4548-4"),Y$2:Y$500,"Not Tested")</f>
        <v>Not Tested</v>
      </c>
      <c r="AA17" s="3">
        <v>175</v>
      </c>
      <c r="AB17" s="3">
        <v>100</v>
      </c>
      <c r="AC17" s="3" t="str">
        <f>IF(AND(EHR[[#This Row],[BP_Systolic_mmHg]]&lt;140,EHR[[#This Row],[BP_Diastolic_mmHg]]&lt;90),"Controlled",IF(OR(EHR[[#This Row],[BP_Systolic_mmHg]]="Not Recorded",EHR[[#This Row],[BP_Diastolic_mmHg]]="Not Recorded"),"No Reading","Uncontrolled"))</f>
        <v>Uncontrolled</v>
      </c>
      <c r="AD17" s="3" t="str">
        <f>_xlfn.CONCAT(EHR[[#This Row],[BP_Systolic_mmHg]],"/",EHR[[#This Row],[BP_Diastolic_mmHg]])</f>
        <v>175/100</v>
      </c>
      <c r="AE17" s="3">
        <v>62</v>
      </c>
      <c r="AF17" s="3">
        <v>17</v>
      </c>
      <c r="AG17" s="3">
        <v>36.700000000000003</v>
      </c>
      <c r="AH17" s="3">
        <v>27.3</v>
      </c>
      <c r="AI17" s="3" t="str">
        <f>IF(EHR[[#This Row],[BMI_kg_m2]]&gt;=30,"Obese","Non-Obese")</f>
        <v>Non-Obese</v>
      </c>
      <c r="AJ17" s="3">
        <v>96</v>
      </c>
      <c r="AK17" s="3" t="s">
        <v>50</v>
      </c>
      <c r="AL17" s="3" t="s">
        <v>51</v>
      </c>
      <c r="AM17" s="3" t="s">
        <v>52</v>
      </c>
      <c r="AN17" s="3" t="s">
        <v>53</v>
      </c>
      <c r="AO17" s="3" t="s">
        <v>54</v>
      </c>
    </row>
    <row r="18" spans="1:41" x14ac:dyDescent="0.2">
      <c r="A18" s="6" t="s">
        <v>153</v>
      </c>
      <c r="B18" s="2" t="s">
        <v>174</v>
      </c>
      <c r="C18" s="13">
        <v>44930</v>
      </c>
      <c r="D18" s="2" t="s">
        <v>103</v>
      </c>
      <c r="E18" s="2" t="s">
        <v>89</v>
      </c>
      <c r="F18" s="2" t="s">
        <v>75</v>
      </c>
      <c r="G18" s="2" t="s">
        <v>76</v>
      </c>
      <c r="H18" s="13">
        <v>36544</v>
      </c>
      <c r="I18" s="2">
        <v>25</v>
      </c>
      <c r="J18" s="2" t="str" cm="1">
        <f t="array" ref="J1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8" s="2" t="s">
        <v>1573</v>
      </c>
      <c r="L18" s="2" t="s">
        <v>90</v>
      </c>
      <c r="M18" s="2" t="s">
        <v>43</v>
      </c>
      <c r="N18" s="2" t="s">
        <v>44</v>
      </c>
      <c r="O18" s="2" t="s">
        <v>45</v>
      </c>
      <c r="P18" s="2" t="s">
        <v>157</v>
      </c>
      <c r="Q18" s="2" t="str">
        <f>_xlfn.XLOOKUP(EHR[[#This Row],[Primary_ICD11_Code]],'03_ICD11_Reference'!A:A,'03_ICD11_Reference'!D:D,,0)</f>
        <v>Multi-system</v>
      </c>
      <c r="R18" s="2" t="s">
        <v>158</v>
      </c>
      <c r="S18" s="2" t="s">
        <v>69</v>
      </c>
      <c r="T18" s="2" t="s">
        <v>176</v>
      </c>
      <c r="U18" s="2">
        <v>1</v>
      </c>
      <c r="V18" s="2" t="str">
        <f>_xlfn.XLOOKUP(EHR[[#This Row],[Encounter_ID]],'02_Lab_Results'!B:B,'02_Lab_Results'!D:D,,0)</f>
        <v>789-8</v>
      </c>
      <c r="W18" s="2" t="str">
        <f>_xlfn.XLOOKUP(EHR[[#This Row],[LOINC Code]],'04_LOINC_Reference'!A:A,'04_LOINC_Reference'!F:F,,0)</f>
        <v>Biochemistry</v>
      </c>
      <c r="X18" s="2" t="str">
        <f>_xlfn.XLOOKUP(EHR[[#This Row],[LOINC Code]],'02_Lab_Results'!D:D,'02_Lab_Results'!E:E,,0)</f>
        <v>RBC count</v>
      </c>
      <c r="Y18" s="2" t="str">
        <f>_xlfn.XLOOKUP(EHR[[#This Row],[LOINC Code]],'02_Lab_Results'!D:D,'02_Lab_Results'!J:J,,0)</f>
        <v>High</v>
      </c>
      <c r="Z18" s="2" t="str" cm="1">
        <f t="array" ref="Z18">_xlfn.XLOOKUP(1,(B18=B$2:B$500)*(V$2:V$500="4548-4"),Y$2:Y$500,"Not Tested")</f>
        <v>Not Tested</v>
      </c>
      <c r="AA18" s="2">
        <v>125</v>
      </c>
      <c r="AB18" s="2">
        <v>63</v>
      </c>
      <c r="AC18" s="2" t="str">
        <f>IF(AND(EHR[[#This Row],[BP_Systolic_mmHg]]&lt;140,EHR[[#This Row],[BP_Diastolic_mmHg]]&lt;90),"Controlled",IF(OR(EHR[[#This Row],[BP_Systolic_mmHg]]="Not Recorded",EHR[[#This Row],[BP_Diastolic_mmHg]]="Not Recorded"),"No Reading","Uncontrolled"))</f>
        <v>Controlled</v>
      </c>
      <c r="AD18" s="2" t="str">
        <f>_xlfn.CONCAT(EHR[[#This Row],[BP_Systolic_mmHg]],"/",EHR[[#This Row],[BP_Diastolic_mmHg]])</f>
        <v>125/63</v>
      </c>
      <c r="AE18" s="2">
        <v>123</v>
      </c>
      <c r="AF18" s="2">
        <v>15</v>
      </c>
      <c r="AG18" s="2">
        <v>37.4</v>
      </c>
      <c r="AH18" s="2">
        <v>37.6</v>
      </c>
      <c r="AI18" s="2" t="str">
        <f>IF(EHR[[#This Row],[BMI_kg_m2]]&gt;=30,"Obese","Non-Obese")</f>
        <v>Obese</v>
      </c>
      <c r="AJ18" s="2">
        <v>94</v>
      </c>
      <c r="AK18" s="2" t="s">
        <v>50</v>
      </c>
      <c r="AL18" s="2" t="s">
        <v>51</v>
      </c>
      <c r="AM18" s="2" t="s">
        <v>52</v>
      </c>
      <c r="AN18" s="2" t="s">
        <v>53</v>
      </c>
      <c r="AO18" s="2" t="s">
        <v>54</v>
      </c>
    </row>
    <row r="19" spans="1:41" x14ac:dyDescent="0.2">
      <c r="A19" s="7" t="s">
        <v>178</v>
      </c>
      <c r="B19" s="3" t="s">
        <v>179</v>
      </c>
      <c r="C19" s="14">
        <v>45609</v>
      </c>
      <c r="D19" s="3" t="s">
        <v>60</v>
      </c>
      <c r="E19" s="3" t="s">
        <v>61</v>
      </c>
      <c r="F19" s="3" t="s">
        <v>109</v>
      </c>
      <c r="G19" s="3" t="s">
        <v>39</v>
      </c>
      <c r="H19" s="14">
        <v>19055</v>
      </c>
      <c r="I19" s="3">
        <v>73</v>
      </c>
      <c r="J19" s="3" t="str" cm="1">
        <f t="array" ref="J1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9" s="3" t="s">
        <v>1572</v>
      </c>
      <c r="L19" s="3" t="s">
        <v>66</v>
      </c>
      <c r="M19" s="3" t="s">
        <v>45</v>
      </c>
      <c r="N19" s="3" t="s">
        <v>125</v>
      </c>
      <c r="O19" s="3" t="s">
        <v>182</v>
      </c>
      <c r="P19" s="3" t="s">
        <v>183</v>
      </c>
      <c r="Q19" s="3" t="str">
        <f>_xlfn.XLOOKUP(EHR[[#This Row],[Primary_ICD11_Code]],'03_ICD11_Reference'!A:A,'03_ICD11_Reference'!D:D,,0)</f>
        <v>Genitourinary</v>
      </c>
      <c r="R19" s="3" t="s">
        <v>184</v>
      </c>
      <c r="S19" s="3" t="s">
        <v>48</v>
      </c>
      <c r="T19" s="3" t="s">
        <v>185</v>
      </c>
      <c r="U19" s="3">
        <v>2</v>
      </c>
      <c r="V19" s="3" t="str">
        <f>_xlfn.XLOOKUP(EHR[[#This Row],[Encounter_ID]],'02_Lab_Results'!B:B,'02_Lab_Results'!D:D,,0)</f>
        <v>13457-7</v>
      </c>
      <c r="W19" s="3" t="str">
        <f>_xlfn.XLOOKUP(EHR[[#This Row],[LOINC Code]],'04_LOINC_Reference'!A:A,'04_LOINC_Reference'!F:F,,0)</f>
        <v>Biochemistry</v>
      </c>
      <c r="X19" s="3" t="str">
        <f>_xlfn.XLOOKUP(EHR[[#This Row],[LOINC Code]],'02_Lab_Results'!D:D,'02_Lab_Results'!E:E,,0)</f>
        <v>LDL cholesterol</v>
      </c>
      <c r="Y19" s="3" t="str">
        <f>_xlfn.XLOOKUP(EHR[[#This Row],[LOINC Code]],'02_Lab_Results'!D:D,'02_Lab_Results'!J:J,,0)</f>
        <v>High</v>
      </c>
      <c r="Z19" s="3" t="str" cm="1">
        <f t="array" ref="Z19">_xlfn.XLOOKUP(1,(B19=B$2:B$500)*(V$2:V$500="4548-4"),Y$2:Y$500,"Not Tested")</f>
        <v>Not Tested</v>
      </c>
      <c r="AA19" s="3">
        <v>104</v>
      </c>
      <c r="AB19" s="3">
        <v>102</v>
      </c>
      <c r="AC19" s="3" t="str">
        <f>IF(AND(EHR[[#This Row],[BP_Systolic_mmHg]]&lt;140,EHR[[#This Row],[BP_Diastolic_mmHg]]&lt;90),"Controlled",IF(OR(EHR[[#This Row],[BP_Systolic_mmHg]]="Not Recorded",EHR[[#This Row],[BP_Diastolic_mmHg]]="Not Recorded"),"No Reading","Uncontrolled"))</f>
        <v>Uncontrolled</v>
      </c>
      <c r="AD19" s="3" t="str">
        <f>_xlfn.CONCAT(EHR[[#This Row],[BP_Systolic_mmHg]],"/",EHR[[#This Row],[BP_Diastolic_mmHg]])</f>
        <v>104/102</v>
      </c>
      <c r="AE19" s="3">
        <v>116</v>
      </c>
      <c r="AF19" s="3">
        <v>19</v>
      </c>
      <c r="AG19" s="3">
        <v>38</v>
      </c>
      <c r="AH19" s="3">
        <v>21.9</v>
      </c>
      <c r="AI19" s="3" t="str">
        <f>IF(EHR[[#This Row],[BMI_kg_m2]]&gt;=30,"Obese","Non-Obese")</f>
        <v>Non-Obese</v>
      </c>
      <c r="AJ19" s="3">
        <v>99</v>
      </c>
      <c r="AK19" s="3" t="s">
        <v>50</v>
      </c>
      <c r="AL19" s="3" t="s">
        <v>51</v>
      </c>
      <c r="AM19" s="3" t="s">
        <v>52</v>
      </c>
      <c r="AN19" s="3" t="s">
        <v>53</v>
      </c>
      <c r="AO19" s="3" t="s">
        <v>54</v>
      </c>
    </row>
    <row r="20" spans="1:41" x14ac:dyDescent="0.2">
      <c r="A20" s="6" t="s">
        <v>178</v>
      </c>
      <c r="B20" s="2" t="s">
        <v>187</v>
      </c>
      <c r="C20" s="13">
        <v>45612</v>
      </c>
      <c r="D20" s="2" t="s">
        <v>36</v>
      </c>
      <c r="E20" s="2" t="s">
        <v>167</v>
      </c>
      <c r="F20" s="2" t="s">
        <v>189</v>
      </c>
      <c r="G20" s="2" t="s">
        <v>138</v>
      </c>
      <c r="H20" s="13">
        <v>19055</v>
      </c>
      <c r="I20" s="2">
        <v>73</v>
      </c>
      <c r="J20" s="2" t="str" cm="1">
        <f t="array" ref="J2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 s="2" t="s">
        <v>1572</v>
      </c>
      <c r="L20" s="2" t="s">
        <v>110</v>
      </c>
      <c r="M20" s="2" t="s">
        <v>45</v>
      </c>
      <c r="N20" s="2" t="s">
        <v>125</v>
      </c>
      <c r="O20" s="2" t="s">
        <v>182</v>
      </c>
      <c r="P20" s="2" t="s">
        <v>183</v>
      </c>
      <c r="Q20" s="2" t="str">
        <f>_xlfn.XLOOKUP(EHR[[#This Row],[Primary_ICD11_Code]],'03_ICD11_Reference'!A:A,'03_ICD11_Reference'!D:D,,0)</f>
        <v>Genitourinary</v>
      </c>
      <c r="R20" s="2" t="s">
        <v>184</v>
      </c>
      <c r="S20" s="2" t="s">
        <v>48</v>
      </c>
      <c r="T20" s="2" t="s">
        <v>190</v>
      </c>
      <c r="U20" s="2">
        <v>2</v>
      </c>
      <c r="V20" s="2" t="str">
        <f>_xlfn.XLOOKUP(EHR[[#This Row],[Encounter_ID]],'02_Lab_Results'!B:B,'02_Lab_Results'!D:D,,0)</f>
        <v>2160-0</v>
      </c>
      <c r="W20" s="2" t="str">
        <f>_xlfn.XLOOKUP(EHR[[#This Row],[LOINC Code]],'04_LOINC_Reference'!A:A,'04_LOINC_Reference'!F:F,,0)</f>
        <v>Biochemistry</v>
      </c>
      <c r="X20" s="2" t="str">
        <f>_xlfn.XLOOKUP(EHR[[#This Row],[LOINC Code]],'02_Lab_Results'!D:D,'02_Lab_Results'!E:E,,0)</f>
        <v>Serum creatinine</v>
      </c>
      <c r="Y20" s="2" t="str">
        <f>_xlfn.XLOOKUP(EHR[[#This Row],[LOINC Code]],'02_Lab_Results'!D:D,'02_Lab_Results'!J:J,,0)</f>
        <v>Normal</v>
      </c>
      <c r="Z20" s="2" t="str" cm="1">
        <f t="array" ref="Z20">_xlfn.XLOOKUP(1,(B20=B$2:B$500)*(V$2:V$500="4548-4"),Y$2:Y$500,"Not Tested")</f>
        <v>Not Tested</v>
      </c>
      <c r="AA20" s="2">
        <v>173</v>
      </c>
      <c r="AB20" s="2">
        <v>104</v>
      </c>
      <c r="AC20" s="2" t="str">
        <f>IF(AND(EHR[[#This Row],[BP_Systolic_mmHg]]&lt;140,EHR[[#This Row],[BP_Diastolic_mmHg]]&lt;90),"Controlled",IF(OR(EHR[[#This Row],[BP_Systolic_mmHg]]="Not Recorded",EHR[[#This Row],[BP_Diastolic_mmHg]]="Not Recorded"),"No Reading","Uncontrolled"))</f>
        <v>Uncontrolled</v>
      </c>
      <c r="AD20" s="2" t="str">
        <f>_xlfn.CONCAT(EHR[[#This Row],[BP_Systolic_mmHg]],"/",EHR[[#This Row],[BP_Diastolic_mmHg]])</f>
        <v>173/104</v>
      </c>
      <c r="AE20" s="2">
        <v>70</v>
      </c>
      <c r="AF20" s="2">
        <v>25</v>
      </c>
      <c r="AG20" s="2">
        <v>36.299999999999997</v>
      </c>
      <c r="AH20" s="2">
        <v>42.4</v>
      </c>
      <c r="AI20" s="2" t="str">
        <f>IF(EHR[[#This Row],[BMI_kg_m2]]&gt;=30,"Obese","Non-Obese")</f>
        <v>Obese</v>
      </c>
      <c r="AJ20" s="2">
        <v>98</v>
      </c>
      <c r="AK20" s="2" t="s">
        <v>50</v>
      </c>
      <c r="AL20" s="2" t="s">
        <v>51</v>
      </c>
      <c r="AM20" s="2" t="s">
        <v>52</v>
      </c>
      <c r="AN20" s="2" t="s">
        <v>53</v>
      </c>
      <c r="AO20" s="2" t="s">
        <v>54</v>
      </c>
    </row>
    <row r="21" spans="1:41" x14ac:dyDescent="0.2">
      <c r="A21" s="7" t="s">
        <v>192</v>
      </c>
      <c r="B21" s="3" t="s">
        <v>193</v>
      </c>
      <c r="C21" s="14">
        <v>45045</v>
      </c>
      <c r="D21" s="3" t="s">
        <v>95</v>
      </c>
      <c r="E21" s="3" t="s">
        <v>89</v>
      </c>
      <c r="F21" s="3" t="s">
        <v>189</v>
      </c>
      <c r="G21" s="3" t="s">
        <v>104</v>
      </c>
      <c r="H21" s="14">
        <v>20615</v>
      </c>
      <c r="I21" s="3">
        <v>69</v>
      </c>
      <c r="J21" s="3" t="str" cm="1">
        <f t="array" ref="J2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1" s="3" t="s">
        <v>1572</v>
      </c>
      <c r="L21" s="3" t="s">
        <v>110</v>
      </c>
      <c r="M21" s="3" t="s">
        <v>79</v>
      </c>
      <c r="N21" s="3" t="s">
        <v>1574</v>
      </c>
      <c r="O21" s="3" t="s">
        <v>81</v>
      </c>
      <c r="P21" s="3" t="s">
        <v>195</v>
      </c>
      <c r="Q21" s="3" t="str">
        <f>_xlfn.XLOOKUP(EHR[[#This Row],[Primary_ICD11_Code]],'03_ICD11_Reference'!A:A,'03_ICD11_Reference'!D:D,,0)</f>
        <v>Respiratory</v>
      </c>
      <c r="R21" s="3" t="s">
        <v>196</v>
      </c>
      <c r="S21" s="3" t="s">
        <v>69</v>
      </c>
      <c r="T21" s="3" t="s">
        <v>197</v>
      </c>
      <c r="U21" s="3">
        <v>3</v>
      </c>
      <c r="V21" s="3" t="str">
        <f>_xlfn.XLOOKUP(EHR[[#This Row],[Encounter_ID]],'02_Lab_Results'!B:B,'02_Lab_Results'!D:D,,0)</f>
        <v>2093-3</v>
      </c>
      <c r="W21" s="3" t="str">
        <f>_xlfn.XLOOKUP(EHR[[#This Row],[LOINC Code]],'04_LOINC_Reference'!A:A,'04_LOINC_Reference'!F:F,,0)</f>
        <v>Biochemistry</v>
      </c>
      <c r="X21" s="3" t="str">
        <f>_xlfn.XLOOKUP(EHR[[#This Row],[LOINC Code]],'02_Lab_Results'!D:D,'02_Lab_Results'!E:E,,0)</f>
        <v>Total cholesterol</v>
      </c>
      <c r="Y21" s="3" t="str">
        <f>_xlfn.XLOOKUP(EHR[[#This Row],[LOINC Code]],'02_Lab_Results'!D:D,'02_Lab_Results'!J:J,,0)</f>
        <v>Normal</v>
      </c>
      <c r="Z21" s="3" t="str" cm="1">
        <f t="array" ref="Z21">_xlfn.XLOOKUP(1,(B21=B$2:B$500)*(V$2:V$500="4548-4"),Y$2:Y$500,"Not Tested")</f>
        <v>Not Tested</v>
      </c>
      <c r="AA21" s="3">
        <v>174</v>
      </c>
      <c r="AB21" s="3">
        <v>71</v>
      </c>
      <c r="AC21" s="3" t="str">
        <f>IF(AND(EHR[[#This Row],[BP_Systolic_mmHg]]&lt;140,EHR[[#This Row],[BP_Diastolic_mmHg]]&lt;90),"Controlled",IF(OR(EHR[[#This Row],[BP_Systolic_mmHg]]="Not Recorded",EHR[[#This Row],[BP_Diastolic_mmHg]]="Not Recorded"),"No Reading","Uncontrolled"))</f>
        <v>Uncontrolled</v>
      </c>
      <c r="AD21" s="3" t="str">
        <f>_xlfn.CONCAT(EHR[[#This Row],[BP_Systolic_mmHg]],"/",EHR[[#This Row],[BP_Diastolic_mmHg]])</f>
        <v>174/71</v>
      </c>
      <c r="AE21" s="3">
        <v>94</v>
      </c>
      <c r="AF21" s="3">
        <v>28</v>
      </c>
      <c r="AG21" s="3">
        <v>36.1</v>
      </c>
      <c r="AH21" s="3">
        <v>34.5</v>
      </c>
      <c r="AI21" s="3" t="str">
        <f>IF(EHR[[#This Row],[BMI_kg_m2]]&gt;=30,"Obese","Non-Obese")</f>
        <v>Obese</v>
      </c>
      <c r="AJ21" s="3">
        <v>91</v>
      </c>
      <c r="AK21" s="3" t="s">
        <v>50</v>
      </c>
      <c r="AL21" s="3" t="s">
        <v>51</v>
      </c>
      <c r="AM21" s="3" t="s">
        <v>52</v>
      </c>
      <c r="AN21" s="3" t="s">
        <v>53</v>
      </c>
      <c r="AO21" s="3" t="s">
        <v>54</v>
      </c>
    </row>
    <row r="22" spans="1:41" x14ac:dyDescent="0.2">
      <c r="A22" s="6" t="s">
        <v>192</v>
      </c>
      <c r="B22" s="2" t="s">
        <v>199</v>
      </c>
      <c r="C22" s="13">
        <v>45652</v>
      </c>
      <c r="D22" s="2" t="s">
        <v>36</v>
      </c>
      <c r="E22" s="2" t="s">
        <v>89</v>
      </c>
      <c r="F22" s="2" t="s">
        <v>62</v>
      </c>
      <c r="G22" s="2" t="s">
        <v>39</v>
      </c>
      <c r="H22" s="13">
        <v>20615</v>
      </c>
      <c r="I22" s="2">
        <v>69</v>
      </c>
      <c r="J22" s="2" t="str" cm="1">
        <f t="array" ref="J2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2" s="2" t="s">
        <v>1572</v>
      </c>
      <c r="L22" s="2" t="s">
        <v>42</v>
      </c>
      <c r="M22" s="2" t="s">
        <v>79</v>
      </c>
      <c r="N22" s="2" t="s">
        <v>1574</v>
      </c>
      <c r="O22" s="2" t="s">
        <v>81</v>
      </c>
      <c r="P22" s="2" t="s">
        <v>195</v>
      </c>
      <c r="Q22" s="2" t="str">
        <f>_xlfn.XLOOKUP(EHR[[#This Row],[Primary_ICD11_Code]],'03_ICD11_Reference'!A:A,'03_ICD11_Reference'!D:D,,0)</f>
        <v>Respiratory</v>
      </c>
      <c r="R22" s="2" t="s">
        <v>196</v>
      </c>
      <c r="S22" s="2" t="s">
        <v>69</v>
      </c>
      <c r="T22" s="2" t="s">
        <v>201</v>
      </c>
      <c r="U22" s="2">
        <v>4</v>
      </c>
      <c r="V22" s="2" t="str">
        <f>_xlfn.XLOOKUP(EHR[[#This Row],[Encounter_ID]],'02_Lab_Results'!B:B,'02_Lab_Results'!D:D,,0)</f>
        <v>2951-2</v>
      </c>
      <c r="W22" s="2" t="str">
        <f>_xlfn.XLOOKUP(EHR[[#This Row],[LOINC Code]],'04_LOINC_Reference'!A:A,'04_LOINC_Reference'!F:F,,0)</f>
        <v>Biochemistry</v>
      </c>
      <c r="X22" s="2" t="str">
        <f>_xlfn.XLOOKUP(EHR[[#This Row],[LOINC Code]],'02_Lab_Results'!D:D,'02_Lab_Results'!E:E,,0)</f>
        <v>Serum sodium</v>
      </c>
      <c r="Y22" s="2" t="str">
        <f>_xlfn.XLOOKUP(EHR[[#This Row],[LOINC Code]],'02_Lab_Results'!D:D,'02_Lab_Results'!J:J,,0)</f>
        <v>Low</v>
      </c>
      <c r="Z22" s="2" t="str" cm="1">
        <f t="array" ref="Z22">_xlfn.XLOOKUP(1,(B22=B$2:B$500)*(V$2:V$500="4548-4"),Y$2:Y$500,"Not Tested")</f>
        <v>Not Tested</v>
      </c>
      <c r="AA22" s="2">
        <v>134</v>
      </c>
      <c r="AB22" s="2">
        <v>86</v>
      </c>
      <c r="AC22" s="2" t="str">
        <f>IF(AND(EHR[[#This Row],[BP_Systolic_mmHg]]&lt;140,EHR[[#This Row],[BP_Diastolic_mmHg]]&lt;90),"Controlled",IF(OR(EHR[[#This Row],[BP_Systolic_mmHg]]="Not Recorded",EHR[[#This Row],[BP_Diastolic_mmHg]]="Not Recorded"),"No Reading","Uncontrolled"))</f>
        <v>Controlled</v>
      </c>
      <c r="AD22" s="2" t="str">
        <f>_xlfn.CONCAT(EHR[[#This Row],[BP_Systolic_mmHg]],"/",EHR[[#This Row],[BP_Diastolic_mmHg]])</f>
        <v>134/86</v>
      </c>
      <c r="AE22" s="2">
        <v>110</v>
      </c>
      <c r="AF22" s="2">
        <v>23</v>
      </c>
      <c r="AG22" s="2">
        <v>39</v>
      </c>
      <c r="AH22" s="2">
        <v>38.5</v>
      </c>
      <c r="AI22" s="2" t="str">
        <f>IF(EHR[[#This Row],[BMI_kg_m2]]&gt;=30,"Obese","Non-Obese")</f>
        <v>Obese</v>
      </c>
      <c r="AJ22" s="2">
        <v>90</v>
      </c>
      <c r="AK22" s="2" t="s">
        <v>50</v>
      </c>
      <c r="AL22" s="2" t="s">
        <v>51</v>
      </c>
      <c r="AM22" s="2" t="s">
        <v>52</v>
      </c>
      <c r="AN22" s="2" t="s">
        <v>53</v>
      </c>
      <c r="AO22" s="2" t="s">
        <v>54</v>
      </c>
    </row>
    <row r="23" spans="1:41" x14ac:dyDescent="0.2">
      <c r="A23" s="7" t="s">
        <v>192</v>
      </c>
      <c r="B23" s="3" t="s">
        <v>203</v>
      </c>
      <c r="C23" s="14">
        <v>45339</v>
      </c>
      <c r="D23" s="3" t="s">
        <v>36</v>
      </c>
      <c r="E23" s="3" t="s">
        <v>167</v>
      </c>
      <c r="F23" s="3" t="s">
        <v>189</v>
      </c>
      <c r="G23" s="3" t="s">
        <v>39</v>
      </c>
      <c r="H23" s="14">
        <v>20615</v>
      </c>
      <c r="I23" s="3">
        <v>69</v>
      </c>
      <c r="J23" s="3" t="str" cm="1">
        <f t="array" ref="J2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3" s="3" t="s">
        <v>1572</v>
      </c>
      <c r="L23" s="3" t="s">
        <v>66</v>
      </c>
      <c r="M23" s="3" t="s">
        <v>79</v>
      </c>
      <c r="N23" s="3" t="s">
        <v>1574</v>
      </c>
      <c r="O23" s="3" t="s">
        <v>81</v>
      </c>
      <c r="P23" s="3" t="s">
        <v>195</v>
      </c>
      <c r="Q23" s="3" t="str">
        <f>_xlfn.XLOOKUP(EHR[[#This Row],[Primary_ICD11_Code]],'03_ICD11_Reference'!A:A,'03_ICD11_Reference'!D:D,,0)</f>
        <v>Respiratory</v>
      </c>
      <c r="R23" s="3" t="s">
        <v>196</v>
      </c>
      <c r="S23" s="3" t="s">
        <v>69</v>
      </c>
      <c r="T23" s="3" t="s">
        <v>205</v>
      </c>
      <c r="U23" s="3">
        <v>3</v>
      </c>
      <c r="V23" s="3" t="str">
        <f>_xlfn.XLOOKUP(EHR[[#This Row],[Encounter_ID]],'02_Lab_Results'!B:B,'02_Lab_Results'!D:D,,0)</f>
        <v>789-8</v>
      </c>
      <c r="W23" s="3" t="str">
        <f>_xlfn.XLOOKUP(EHR[[#This Row],[LOINC Code]],'04_LOINC_Reference'!A:A,'04_LOINC_Reference'!F:F,,0)</f>
        <v>Biochemistry</v>
      </c>
      <c r="X23" s="3" t="str">
        <f>_xlfn.XLOOKUP(EHR[[#This Row],[LOINC Code]],'02_Lab_Results'!D:D,'02_Lab_Results'!E:E,,0)</f>
        <v>RBC count</v>
      </c>
      <c r="Y23" s="3" t="str">
        <f>_xlfn.XLOOKUP(EHR[[#This Row],[LOINC Code]],'02_Lab_Results'!D:D,'02_Lab_Results'!J:J,,0)</f>
        <v>High</v>
      </c>
      <c r="Z23" s="3" t="str" cm="1">
        <f t="array" ref="Z23">_xlfn.XLOOKUP(1,(B23=B$2:B$500)*(V$2:V$500="4548-4"),Y$2:Y$500,"Not Tested")</f>
        <v>Not Tested</v>
      </c>
      <c r="AA23" s="3">
        <v>158</v>
      </c>
      <c r="AB23" s="3">
        <v>88</v>
      </c>
      <c r="AC23" s="3" t="str">
        <f>IF(AND(EHR[[#This Row],[BP_Systolic_mmHg]]&lt;140,EHR[[#This Row],[BP_Diastolic_mmHg]]&lt;90),"Controlled",IF(OR(EHR[[#This Row],[BP_Systolic_mmHg]]="Not Recorded",EHR[[#This Row],[BP_Diastolic_mmHg]]="Not Recorded"),"No Reading","Uncontrolled"))</f>
        <v>Uncontrolled</v>
      </c>
      <c r="AD23" s="3" t="str">
        <f>_xlfn.CONCAT(EHR[[#This Row],[BP_Systolic_mmHg]],"/",EHR[[#This Row],[BP_Diastolic_mmHg]])</f>
        <v>158/88</v>
      </c>
      <c r="AE23" s="3">
        <v>64</v>
      </c>
      <c r="AF23" s="3">
        <v>23</v>
      </c>
      <c r="AG23" s="3">
        <v>37.200000000000003</v>
      </c>
      <c r="AH23" s="3">
        <v>38.799999999999997</v>
      </c>
      <c r="AI23" s="3" t="str">
        <f>IF(EHR[[#This Row],[BMI_kg_m2]]&gt;=30,"Obese","Non-Obese")</f>
        <v>Obese</v>
      </c>
      <c r="AJ23" s="3">
        <v>89</v>
      </c>
      <c r="AK23" s="3" t="s">
        <v>50</v>
      </c>
      <c r="AL23" s="3" t="s">
        <v>51</v>
      </c>
      <c r="AM23" s="3" t="s">
        <v>52</v>
      </c>
      <c r="AN23" s="3" t="s">
        <v>53</v>
      </c>
      <c r="AO23" s="3" t="s">
        <v>54</v>
      </c>
    </row>
    <row r="24" spans="1:41" x14ac:dyDescent="0.2">
      <c r="A24" s="6" t="s">
        <v>207</v>
      </c>
      <c r="B24" s="2" t="s">
        <v>208</v>
      </c>
      <c r="C24" s="13">
        <v>45606</v>
      </c>
      <c r="D24" s="2" t="s">
        <v>103</v>
      </c>
      <c r="E24" s="2" t="s">
        <v>96</v>
      </c>
      <c r="F24" s="2" t="s">
        <v>97</v>
      </c>
      <c r="G24" s="2" t="s">
        <v>63</v>
      </c>
      <c r="H24" s="13">
        <v>17760</v>
      </c>
      <c r="I24" s="2">
        <v>77</v>
      </c>
      <c r="J24" s="2" t="str" cm="1">
        <f t="array" ref="J2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4" s="2" t="s">
        <v>1573</v>
      </c>
      <c r="L24" s="2" t="s">
        <v>78</v>
      </c>
      <c r="M24" s="2" t="s">
        <v>141</v>
      </c>
      <c r="N24" s="2" t="s">
        <v>80</v>
      </c>
      <c r="O24" s="2" t="s">
        <v>45</v>
      </c>
      <c r="P24" s="2" t="s">
        <v>211</v>
      </c>
      <c r="Q24" s="2" t="str">
        <f>_xlfn.XLOOKUP(EHR[[#This Row],[Primary_ICD11_Code]],'03_ICD11_Reference'!A:A,'03_ICD11_Reference'!D:D,,0)</f>
        <v>Neurological</v>
      </c>
      <c r="R24" s="2" t="s">
        <v>212</v>
      </c>
      <c r="S24" s="2" t="s">
        <v>48</v>
      </c>
      <c r="T24" s="2" t="s">
        <v>144</v>
      </c>
      <c r="U24" s="2">
        <v>1</v>
      </c>
      <c r="V24" s="2" t="str">
        <f>_xlfn.XLOOKUP(EHR[[#This Row],[Encounter_ID]],'02_Lab_Results'!B:B,'02_Lab_Results'!D:D,,0)</f>
        <v>2777-1</v>
      </c>
      <c r="W24" s="2" t="str">
        <f>_xlfn.XLOOKUP(EHR[[#This Row],[LOINC Code]],'04_LOINC_Reference'!A:A,'04_LOINC_Reference'!F:F,,0)</f>
        <v>Biochemistry</v>
      </c>
      <c r="X24" s="2" t="str">
        <f>_xlfn.XLOOKUP(EHR[[#This Row],[LOINC Code]],'02_Lab_Results'!D:D,'02_Lab_Results'!E:E,,0)</f>
        <v>Serum phosphate</v>
      </c>
      <c r="Y24" s="2" t="str">
        <f>_xlfn.XLOOKUP(EHR[[#This Row],[LOINC Code]],'02_Lab_Results'!D:D,'02_Lab_Results'!J:J,,0)</f>
        <v>Normal</v>
      </c>
      <c r="Z24" s="2" t="str" cm="1">
        <f t="array" ref="Z24">_xlfn.XLOOKUP(1,(B24=B$2:B$500)*(V$2:V$500="4548-4"),Y$2:Y$500,"Not Tested")</f>
        <v>Not Tested</v>
      </c>
      <c r="AA24" s="2">
        <v>152</v>
      </c>
      <c r="AB24" s="2">
        <v>75</v>
      </c>
      <c r="AC24" s="2" t="str">
        <f>IF(AND(EHR[[#This Row],[BP_Systolic_mmHg]]&lt;140,EHR[[#This Row],[BP_Diastolic_mmHg]]&lt;90),"Controlled",IF(OR(EHR[[#This Row],[BP_Systolic_mmHg]]="Not Recorded",EHR[[#This Row],[BP_Diastolic_mmHg]]="Not Recorded"),"No Reading","Uncontrolled"))</f>
        <v>Uncontrolled</v>
      </c>
      <c r="AD24" s="2" t="str">
        <f>_xlfn.CONCAT(EHR[[#This Row],[BP_Systolic_mmHg]],"/",EHR[[#This Row],[BP_Diastolic_mmHg]])</f>
        <v>152/75</v>
      </c>
      <c r="AE24" s="2">
        <v>111</v>
      </c>
      <c r="AF24" s="2">
        <v>24</v>
      </c>
      <c r="AG24" s="2">
        <v>38.200000000000003</v>
      </c>
      <c r="AH24" s="2">
        <v>23.9</v>
      </c>
      <c r="AI24" s="2" t="str">
        <f>IF(EHR[[#This Row],[BMI_kg_m2]]&gt;=30,"Obese","Non-Obese")</f>
        <v>Non-Obese</v>
      </c>
      <c r="AJ24" s="2">
        <v>90</v>
      </c>
      <c r="AK24" s="2" t="s">
        <v>50</v>
      </c>
      <c r="AL24" s="2" t="s">
        <v>51</v>
      </c>
      <c r="AM24" s="2" t="s">
        <v>52</v>
      </c>
      <c r="AN24" s="2" t="s">
        <v>53</v>
      </c>
      <c r="AO24" s="2" t="s">
        <v>54</v>
      </c>
    </row>
    <row r="25" spans="1:41" x14ac:dyDescent="0.2">
      <c r="A25" s="7" t="s">
        <v>207</v>
      </c>
      <c r="B25" s="3" t="s">
        <v>214</v>
      </c>
      <c r="C25" s="14">
        <v>45351</v>
      </c>
      <c r="D25" s="3" t="s">
        <v>103</v>
      </c>
      <c r="E25" s="3" t="s">
        <v>61</v>
      </c>
      <c r="F25" s="3" t="s">
        <v>148</v>
      </c>
      <c r="G25" s="3" t="s">
        <v>98</v>
      </c>
      <c r="H25" s="14">
        <v>17760</v>
      </c>
      <c r="I25" s="3">
        <v>77</v>
      </c>
      <c r="J25" s="3" t="str" cm="1">
        <f t="array" ref="J2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5" s="3" t="s">
        <v>1573</v>
      </c>
      <c r="L25" s="3" t="s">
        <v>110</v>
      </c>
      <c r="M25" s="3" t="s">
        <v>141</v>
      </c>
      <c r="N25" s="3" t="s">
        <v>80</v>
      </c>
      <c r="O25" s="3" t="s">
        <v>45</v>
      </c>
      <c r="P25" s="3" t="s">
        <v>211</v>
      </c>
      <c r="Q25" s="3" t="str">
        <f>_xlfn.XLOOKUP(EHR[[#This Row],[Primary_ICD11_Code]],'03_ICD11_Reference'!A:A,'03_ICD11_Reference'!D:D,,0)</f>
        <v>Neurological</v>
      </c>
      <c r="R25" s="3" t="s">
        <v>212</v>
      </c>
      <c r="S25" s="3" t="s">
        <v>48</v>
      </c>
      <c r="T25" s="3" t="s">
        <v>159</v>
      </c>
      <c r="U25" s="3">
        <v>1</v>
      </c>
      <c r="V25" s="3" t="str">
        <f>_xlfn.XLOOKUP(EHR[[#This Row],[Encounter_ID]],'02_Lab_Results'!B:B,'02_Lab_Results'!D:D,,0)</f>
        <v>13457-7</v>
      </c>
      <c r="W25" s="3" t="str">
        <f>_xlfn.XLOOKUP(EHR[[#This Row],[LOINC Code]],'04_LOINC_Reference'!A:A,'04_LOINC_Reference'!F:F,,0)</f>
        <v>Biochemistry</v>
      </c>
      <c r="X25" s="3" t="str">
        <f>_xlfn.XLOOKUP(EHR[[#This Row],[LOINC Code]],'02_Lab_Results'!D:D,'02_Lab_Results'!E:E,,0)</f>
        <v>LDL cholesterol</v>
      </c>
      <c r="Y25" s="3" t="str">
        <f>_xlfn.XLOOKUP(EHR[[#This Row],[LOINC Code]],'02_Lab_Results'!D:D,'02_Lab_Results'!J:J,,0)</f>
        <v>High</v>
      </c>
      <c r="Z25" s="3" t="str" cm="1">
        <f t="array" ref="Z25">_xlfn.XLOOKUP(1,(B25=B$2:B$500)*(V$2:V$500="4548-4"),Y$2:Y$500,"Not Tested")</f>
        <v>Not Tested</v>
      </c>
      <c r="AA25" s="3">
        <v>175</v>
      </c>
      <c r="AB25" s="3">
        <v>90</v>
      </c>
      <c r="AC25" s="3" t="str">
        <f>IF(AND(EHR[[#This Row],[BP_Systolic_mmHg]]&lt;140,EHR[[#This Row],[BP_Diastolic_mmHg]]&lt;90),"Controlled",IF(OR(EHR[[#This Row],[BP_Systolic_mmHg]]="Not Recorded",EHR[[#This Row],[BP_Diastolic_mmHg]]="Not Recorded"),"No Reading","Uncontrolled"))</f>
        <v>Uncontrolled</v>
      </c>
      <c r="AD25" s="3" t="str">
        <f>_xlfn.CONCAT(EHR[[#This Row],[BP_Systolic_mmHg]],"/",EHR[[#This Row],[BP_Diastolic_mmHg]])</f>
        <v>175/90</v>
      </c>
      <c r="AE25" s="3">
        <v>104</v>
      </c>
      <c r="AF25" s="3">
        <v>18</v>
      </c>
      <c r="AG25" s="3">
        <v>37.299999999999997</v>
      </c>
      <c r="AH25" s="3">
        <v>21.7</v>
      </c>
      <c r="AI25" s="3" t="str">
        <f>IF(EHR[[#This Row],[BMI_kg_m2]]&gt;=30,"Obese","Non-Obese")</f>
        <v>Non-Obese</v>
      </c>
      <c r="AJ25" s="3">
        <v>96</v>
      </c>
      <c r="AK25" s="3" t="s">
        <v>50</v>
      </c>
      <c r="AL25" s="3" t="s">
        <v>51</v>
      </c>
      <c r="AM25" s="3" t="s">
        <v>52</v>
      </c>
      <c r="AN25" s="3" t="s">
        <v>53</v>
      </c>
      <c r="AO25" s="3" t="s">
        <v>54</v>
      </c>
    </row>
    <row r="26" spans="1:41" x14ac:dyDescent="0.2">
      <c r="A26" s="6" t="s">
        <v>207</v>
      </c>
      <c r="B26" s="2" t="s">
        <v>217</v>
      </c>
      <c r="C26" s="13">
        <v>45497</v>
      </c>
      <c r="D26" s="2" t="s">
        <v>103</v>
      </c>
      <c r="E26" s="2" t="s">
        <v>96</v>
      </c>
      <c r="F26" s="2" t="s">
        <v>219</v>
      </c>
      <c r="G26" s="2" t="s">
        <v>104</v>
      </c>
      <c r="H26" s="13">
        <v>17760</v>
      </c>
      <c r="I26" s="2">
        <v>77</v>
      </c>
      <c r="J26" s="2" t="str" cm="1">
        <f t="array" ref="J2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6" s="2" t="s">
        <v>1573</v>
      </c>
      <c r="L26" s="2" t="s">
        <v>66</v>
      </c>
      <c r="M26" s="2" t="s">
        <v>141</v>
      </c>
      <c r="N26" s="2" t="s">
        <v>80</v>
      </c>
      <c r="O26" s="2" t="s">
        <v>45</v>
      </c>
      <c r="P26" s="2" t="s">
        <v>211</v>
      </c>
      <c r="Q26" s="2" t="str">
        <f>_xlfn.XLOOKUP(EHR[[#This Row],[Primary_ICD11_Code]],'03_ICD11_Reference'!A:A,'03_ICD11_Reference'!D:D,,0)</f>
        <v>Neurological</v>
      </c>
      <c r="R26" s="2" t="s">
        <v>212</v>
      </c>
      <c r="S26" s="2" t="s">
        <v>48</v>
      </c>
      <c r="T26" s="2" t="s">
        <v>220</v>
      </c>
      <c r="U26" s="2">
        <v>4</v>
      </c>
      <c r="V26" s="2" t="str">
        <f>_xlfn.XLOOKUP(EHR[[#This Row],[Encounter_ID]],'02_Lab_Results'!B:B,'02_Lab_Results'!D:D,,0)</f>
        <v>17861-6</v>
      </c>
      <c r="W26" s="2" t="str">
        <f>_xlfn.XLOOKUP(EHR[[#This Row],[LOINC Code]],'04_LOINC_Reference'!A:A,'04_LOINC_Reference'!F:F,,0)</f>
        <v>Biochemistry</v>
      </c>
      <c r="X26" s="2" t="str">
        <f>_xlfn.XLOOKUP(EHR[[#This Row],[LOINC Code]],'02_Lab_Results'!D:D,'02_Lab_Results'!E:E,,0)</f>
        <v>Serum calcium</v>
      </c>
      <c r="Y26" s="2" t="str">
        <f>_xlfn.XLOOKUP(EHR[[#This Row],[LOINC Code]],'02_Lab_Results'!D:D,'02_Lab_Results'!J:J,,0)</f>
        <v>High</v>
      </c>
      <c r="Z26" s="2" t="str" cm="1">
        <f t="array" ref="Z26">_xlfn.XLOOKUP(1,(B26=B$2:B$500)*(V$2:V$500="4548-4"),Y$2:Y$500,"Not Tested")</f>
        <v>Not Tested</v>
      </c>
      <c r="AA26" s="2">
        <v>117</v>
      </c>
      <c r="AB26" s="2">
        <v>106</v>
      </c>
      <c r="AC26" s="2" t="str">
        <f>IF(AND(EHR[[#This Row],[BP_Systolic_mmHg]]&lt;140,EHR[[#This Row],[BP_Diastolic_mmHg]]&lt;90),"Controlled",IF(OR(EHR[[#This Row],[BP_Systolic_mmHg]]="Not Recorded",EHR[[#This Row],[BP_Diastolic_mmHg]]="Not Recorded"),"No Reading","Uncontrolled"))</f>
        <v>Uncontrolled</v>
      </c>
      <c r="AD26" s="2" t="str">
        <f>_xlfn.CONCAT(EHR[[#This Row],[BP_Systolic_mmHg]],"/",EHR[[#This Row],[BP_Diastolic_mmHg]])</f>
        <v>117/106</v>
      </c>
      <c r="AE26" s="2">
        <v>84</v>
      </c>
      <c r="AF26" s="2">
        <v>25</v>
      </c>
      <c r="AG26" s="2">
        <v>38.1</v>
      </c>
      <c r="AH26" s="2">
        <v>45.7</v>
      </c>
      <c r="AI26" s="2" t="str">
        <f>IF(EHR[[#This Row],[BMI_kg_m2]]&gt;=30,"Obese","Non-Obese")</f>
        <v>Obese</v>
      </c>
      <c r="AJ26" s="2">
        <v>95</v>
      </c>
      <c r="AK26" s="2" t="s">
        <v>50</v>
      </c>
      <c r="AL26" s="2" t="s">
        <v>51</v>
      </c>
      <c r="AM26" s="2" t="s">
        <v>52</v>
      </c>
      <c r="AN26" s="2" t="s">
        <v>53</v>
      </c>
      <c r="AO26" s="2" t="s">
        <v>54</v>
      </c>
    </row>
    <row r="27" spans="1:41" x14ac:dyDescent="0.2">
      <c r="A27" s="7" t="s">
        <v>222</v>
      </c>
      <c r="B27" s="3" t="s">
        <v>223</v>
      </c>
      <c r="C27" s="14">
        <v>45270</v>
      </c>
      <c r="D27" s="3" t="s">
        <v>60</v>
      </c>
      <c r="E27" s="3" t="s">
        <v>61</v>
      </c>
      <c r="F27" s="3" t="s">
        <v>132</v>
      </c>
      <c r="G27" s="3" t="s">
        <v>39</v>
      </c>
      <c r="H27" s="14">
        <v>26558</v>
      </c>
      <c r="I27" s="3">
        <v>53</v>
      </c>
      <c r="J27" s="3" t="str" cm="1">
        <f t="array" ref="J2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7" s="3" t="s">
        <v>1572</v>
      </c>
      <c r="L27" s="3" t="s">
        <v>66</v>
      </c>
      <c r="M27" s="3" t="s">
        <v>141</v>
      </c>
      <c r="N27" s="3" t="s">
        <v>44</v>
      </c>
      <c r="O27" s="3" t="s">
        <v>81</v>
      </c>
      <c r="P27" s="3" t="s">
        <v>46</v>
      </c>
      <c r="Q27" s="3" t="str">
        <f>_xlfn.XLOOKUP(EHR[[#This Row],[Primary_ICD11_Code]],'03_ICD11_Reference'!A:A,'03_ICD11_Reference'!D:D,,0)</f>
        <v>Haematological</v>
      </c>
      <c r="R27" s="3" t="s">
        <v>47</v>
      </c>
      <c r="S27" s="3" t="s">
        <v>48</v>
      </c>
      <c r="T27" s="3" t="s">
        <v>226</v>
      </c>
      <c r="U27" s="3">
        <v>4</v>
      </c>
      <c r="V27" s="3" t="str">
        <f>_xlfn.XLOOKUP(EHR[[#This Row],[Encounter_ID]],'02_Lab_Results'!B:B,'02_Lab_Results'!D:D,,0)</f>
        <v>6690-2</v>
      </c>
      <c r="W27" s="3" t="str">
        <f>_xlfn.XLOOKUP(EHR[[#This Row],[LOINC Code]],'04_LOINC_Reference'!A:A,'04_LOINC_Reference'!F:F,,0)</f>
        <v>Biochemistry</v>
      </c>
      <c r="X27" s="3" t="str">
        <f>_xlfn.XLOOKUP(EHR[[#This Row],[LOINC Code]],'02_Lab_Results'!D:D,'02_Lab_Results'!E:E,,0)</f>
        <v>WBC count</v>
      </c>
      <c r="Y27" s="3" t="str">
        <f>_xlfn.XLOOKUP(EHR[[#This Row],[LOINC Code]],'02_Lab_Results'!D:D,'02_Lab_Results'!J:J,,0)</f>
        <v>Low</v>
      </c>
      <c r="Z27" s="3" t="str" cm="1">
        <f t="array" ref="Z27">_xlfn.XLOOKUP(1,(B27=B$2:B$500)*(V$2:V$500="4548-4"),Y$2:Y$500,"Not Tested")</f>
        <v>Not Tested</v>
      </c>
      <c r="AA27" s="3">
        <v>124</v>
      </c>
      <c r="AB27" s="3">
        <v>87</v>
      </c>
      <c r="AC27" s="3" t="str">
        <f>IF(AND(EHR[[#This Row],[BP_Systolic_mmHg]]&lt;140,EHR[[#This Row],[BP_Diastolic_mmHg]]&lt;90),"Controlled",IF(OR(EHR[[#This Row],[BP_Systolic_mmHg]]="Not Recorded",EHR[[#This Row],[BP_Diastolic_mmHg]]="Not Recorded"),"No Reading","Uncontrolled"))</f>
        <v>Controlled</v>
      </c>
      <c r="AD27" s="3" t="str">
        <f>_xlfn.CONCAT(EHR[[#This Row],[BP_Systolic_mmHg]],"/",EHR[[#This Row],[BP_Diastolic_mmHg]])</f>
        <v>124/87</v>
      </c>
      <c r="AE27" s="3">
        <v>60</v>
      </c>
      <c r="AF27" s="3">
        <v>16</v>
      </c>
      <c r="AG27" s="3">
        <v>38.200000000000003</v>
      </c>
      <c r="AH27" s="3">
        <v>37.6</v>
      </c>
      <c r="AI27" s="3" t="str">
        <f>IF(EHR[[#This Row],[BMI_kg_m2]]&gt;=30,"Obese","Non-Obese")</f>
        <v>Obese</v>
      </c>
      <c r="AJ27" s="3">
        <v>88</v>
      </c>
      <c r="AK27" s="3" t="s">
        <v>50</v>
      </c>
      <c r="AL27" s="3" t="s">
        <v>51</v>
      </c>
      <c r="AM27" s="3" t="s">
        <v>52</v>
      </c>
      <c r="AN27" s="3" t="s">
        <v>53</v>
      </c>
      <c r="AO27" s="3" t="s">
        <v>54</v>
      </c>
    </row>
    <row r="28" spans="1:41" x14ac:dyDescent="0.2">
      <c r="A28" s="6" t="s">
        <v>222</v>
      </c>
      <c r="B28" s="2" t="s">
        <v>227</v>
      </c>
      <c r="C28" s="13">
        <v>45525</v>
      </c>
      <c r="D28" s="2" t="s">
        <v>95</v>
      </c>
      <c r="E28" s="2" t="s">
        <v>61</v>
      </c>
      <c r="F28" s="2" t="s">
        <v>62</v>
      </c>
      <c r="G28" s="2" t="s">
        <v>39</v>
      </c>
      <c r="H28" s="13">
        <v>26558</v>
      </c>
      <c r="I28" s="2">
        <v>53</v>
      </c>
      <c r="J28" s="2" t="str" cm="1">
        <f t="array" ref="J2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8" s="2" t="s">
        <v>1572</v>
      </c>
      <c r="L28" s="2" t="s">
        <v>78</v>
      </c>
      <c r="M28" s="2" t="s">
        <v>141</v>
      </c>
      <c r="N28" s="2" t="s">
        <v>44</v>
      </c>
      <c r="O28" s="2" t="s">
        <v>81</v>
      </c>
      <c r="P28" s="2" t="s">
        <v>46</v>
      </c>
      <c r="Q28" s="2" t="str">
        <f>_xlfn.XLOOKUP(EHR[[#This Row],[Primary_ICD11_Code]],'03_ICD11_Reference'!A:A,'03_ICD11_Reference'!D:D,,0)</f>
        <v>Haematological</v>
      </c>
      <c r="R28" s="2" t="s">
        <v>47</v>
      </c>
      <c r="S28" s="2" t="s">
        <v>48</v>
      </c>
      <c r="T28" s="2" t="s">
        <v>229</v>
      </c>
      <c r="U28" s="2">
        <v>4</v>
      </c>
      <c r="V28" s="2" t="str">
        <f>_xlfn.XLOOKUP(EHR[[#This Row],[Encounter_ID]],'02_Lab_Results'!B:B,'02_Lab_Results'!D:D,,0)</f>
        <v>17861-6</v>
      </c>
      <c r="W28" s="2" t="str">
        <f>_xlfn.XLOOKUP(EHR[[#This Row],[LOINC Code]],'04_LOINC_Reference'!A:A,'04_LOINC_Reference'!F:F,,0)</f>
        <v>Biochemistry</v>
      </c>
      <c r="X28" s="2" t="str">
        <f>_xlfn.XLOOKUP(EHR[[#This Row],[LOINC Code]],'02_Lab_Results'!D:D,'02_Lab_Results'!E:E,,0)</f>
        <v>Serum calcium</v>
      </c>
      <c r="Y28" s="2" t="str">
        <f>_xlfn.XLOOKUP(EHR[[#This Row],[LOINC Code]],'02_Lab_Results'!D:D,'02_Lab_Results'!J:J,,0)</f>
        <v>High</v>
      </c>
      <c r="Z28" s="2" t="str" cm="1">
        <f t="array" ref="Z28">_xlfn.XLOOKUP(1,(B28=B$2:B$500)*(V$2:V$500="4548-4"),Y$2:Y$500,"Not Tested")</f>
        <v>Not Tested</v>
      </c>
      <c r="AA28" s="2">
        <v>180</v>
      </c>
      <c r="AB28" s="2">
        <v>56</v>
      </c>
      <c r="AC28" s="2" t="str">
        <f>IF(AND(EHR[[#This Row],[BP_Systolic_mmHg]]&lt;140,EHR[[#This Row],[BP_Diastolic_mmHg]]&lt;90),"Controlled",IF(OR(EHR[[#This Row],[BP_Systolic_mmHg]]="Not Recorded",EHR[[#This Row],[BP_Diastolic_mmHg]]="Not Recorded"),"No Reading","Uncontrolled"))</f>
        <v>Uncontrolled</v>
      </c>
      <c r="AD28" s="2" t="str">
        <f>_xlfn.CONCAT(EHR[[#This Row],[BP_Systolic_mmHg]],"/",EHR[[#This Row],[BP_Diastolic_mmHg]])</f>
        <v>180/56</v>
      </c>
      <c r="AE28" s="2">
        <v>116</v>
      </c>
      <c r="AF28" s="2">
        <v>21</v>
      </c>
      <c r="AG28" s="2">
        <v>37.5</v>
      </c>
      <c r="AH28" s="2">
        <v>44.4</v>
      </c>
      <c r="AI28" s="2" t="str">
        <f>IF(EHR[[#This Row],[BMI_kg_m2]]&gt;=30,"Obese","Non-Obese")</f>
        <v>Obese</v>
      </c>
      <c r="AJ28" s="2">
        <v>91</v>
      </c>
      <c r="AK28" s="2" t="s">
        <v>50</v>
      </c>
      <c r="AL28" s="2" t="s">
        <v>51</v>
      </c>
      <c r="AM28" s="2" t="s">
        <v>52</v>
      </c>
      <c r="AN28" s="2" t="s">
        <v>53</v>
      </c>
      <c r="AO28" s="2" t="s">
        <v>54</v>
      </c>
    </row>
    <row r="29" spans="1:41" x14ac:dyDescent="0.2">
      <c r="A29" s="7" t="s">
        <v>230</v>
      </c>
      <c r="B29" s="3" t="s">
        <v>231</v>
      </c>
      <c r="C29" s="14">
        <v>45473</v>
      </c>
      <c r="D29" s="3" t="s">
        <v>95</v>
      </c>
      <c r="E29" s="3" t="s">
        <v>167</v>
      </c>
      <c r="F29" s="3" t="s">
        <v>189</v>
      </c>
      <c r="G29" s="3" t="s">
        <v>98</v>
      </c>
      <c r="H29" s="14">
        <v>21358</v>
      </c>
      <c r="I29" s="3">
        <v>67</v>
      </c>
      <c r="J29" s="3" t="str" cm="1">
        <f t="array" ref="J2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9" s="3" t="s">
        <v>1572</v>
      </c>
      <c r="L29" s="3" t="s">
        <v>42</v>
      </c>
      <c r="M29" s="3" t="s">
        <v>43</v>
      </c>
      <c r="N29" s="3" t="s">
        <v>1574</v>
      </c>
      <c r="O29" s="3" t="s">
        <v>182</v>
      </c>
      <c r="P29" s="3" t="s">
        <v>150</v>
      </c>
      <c r="Q29" s="3" t="str">
        <f>_xlfn.XLOOKUP(EHR[[#This Row],[Primary_ICD11_Code]],'03_ICD11_Reference'!A:A,'03_ICD11_Reference'!D:D,,0)</f>
        <v>Gastroenterology</v>
      </c>
      <c r="R29" s="3" t="s">
        <v>151</v>
      </c>
      <c r="S29" s="3" t="s">
        <v>69</v>
      </c>
      <c r="T29" s="3" t="s">
        <v>234</v>
      </c>
      <c r="U29" s="3">
        <v>1</v>
      </c>
      <c r="V29" s="3" t="str">
        <f>_xlfn.XLOOKUP(EHR[[#This Row],[Encounter_ID]],'02_Lab_Results'!B:B,'02_Lab_Results'!D:D,,0)</f>
        <v>2085-9</v>
      </c>
      <c r="W29" s="3" t="str">
        <f>_xlfn.XLOOKUP(EHR[[#This Row],[LOINC Code]],'04_LOINC_Reference'!A:A,'04_LOINC_Reference'!F:F,,0)</f>
        <v>Biochemistry</v>
      </c>
      <c r="X29" s="3" t="str">
        <f>_xlfn.XLOOKUP(EHR[[#This Row],[LOINC Code]],'02_Lab_Results'!D:D,'02_Lab_Results'!E:E,,0)</f>
        <v>HDL cholesterol</v>
      </c>
      <c r="Y29" s="3" t="str">
        <f>_xlfn.XLOOKUP(EHR[[#This Row],[LOINC Code]],'02_Lab_Results'!D:D,'02_Lab_Results'!J:J,,0)</f>
        <v>Normal</v>
      </c>
      <c r="Z29" s="3" t="str" cm="1">
        <f t="array" ref="Z29">_xlfn.XLOOKUP(1,(B29=B$2:B$500)*(V$2:V$500="4548-4"),Y$2:Y$500,"Not Tested")</f>
        <v>Not Tested</v>
      </c>
      <c r="AA29" s="3">
        <v>97</v>
      </c>
      <c r="AB29" s="3">
        <v>79</v>
      </c>
      <c r="AC29" s="3" t="str">
        <f>IF(AND(EHR[[#This Row],[BP_Systolic_mmHg]]&lt;140,EHR[[#This Row],[BP_Diastolic_mmHg]]&lt;90),"Controlled",IF(OR(EHR[[#This Row],[BP_Systolic_mmHg]]="Not Recorded",EHR[[#This Row],[BP_Diastolic_mmHg]]="Not Recorded"),"No Reading","Uncontrolled"))</f>
        <v>Controlled</v>
      </c>
      <c r="AD29" s="3" t="str">
        <f>_xlfn.CONCAT(EHR[[#This Row],[BP_Systolic_mmHg]],"/",EHR[[#This Row],[BP_Diastolic_mmHg]])</f>
        <v>97/79</v>
      </c>
      <c r="AE29" s="3">
        <v>92</v>
      </c>
      <c r="AF29" s="3">
        <v>12</v>
      </c>
      <c r="AG29" s="3">
        <v>38.1</v>
      </c>
      <c r="AH29" s="3">
        <v>21.4</v>
      </c>
      <c r="AI29" s="3" t="str">
        <f>IF(EHR[[#This Row],[BMI_kg_m2]]&gt;=30,"Obese","Non-Obese")</f>
        <v>Non-Obese</v>
      </c>
      <c r="AJ29" s="3">
        <v>93</v>
      </c>
      <c r="AK29" s="3" t="s">
        <v>50</v>
      </c>
      <c r="AL29" s="3" t="s">
        <v>51</v>
      </c>
      <c r="AM29" s="3" t="s">
        <v>52</v>
      </c>
      <c r="AN29" s="3" t="s">
        <v>53</v>
      </c>
      <c r="AO29" s="3" t="s">
        <v>54</v>
      </c>
    </row>
    <row r="30" spans="1:41" x14ac:dyDescent="0.2">
      <c r="A30" s="6" t="s">
        <v>230</v>
      </c>
      <c r="B30" s="2" t="s">
        <v>235</v>
      </c>
      <c r="C30" s="13">
        <v>45272</v>
      </c>
      <c r="D30" s="2" t="s">
        <v>103</v>
      </c>
      <c r="E30" s="2" t="s">
        <v>37</v>
      </c>
      <c r="F30" s="2" t="s">
        <v>75</v>
      </c>
      <c r="G30" s="2" t="s">
        <v>123</v>
      </c>
      <c r="H30" s="13">
        <v>21358</v>
      </c>
      <c r="I30" s="2">
        <v>67</v>
      </c>
      <c r="J30" s="2" t="str" cm="1">
        <f t="array" ref="J3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0" s="2" t="s">
        <v>1572</v>
      </c>
      <c r="L30" s="2" t="s">
        <v>140</v>
      </c>
      <c r="M30" s="2" t="s">
        <v>43</v>
      </c>
      <c r="N30" s="2" t="s">
        <v>1574</v>
      </c>
      <c r="O30" s="2" t="s">
        <v>182</v>
      </c>
      <c r="P30" s="2" t="s">
        <v>150</v>
      </c>
      <c r="Q30" s="2" t="str">
        <f>_xlfn.XLOOKUP(EHR[[#This Row],[Primary_ICD11_Code]],'03_ICD11_Reference'!A:A,'03_ICD11_Reference'!D:D,,0)</f>
        <v>Gastroenterology</v>
      </c>
      <c r="R30" s="2" t="s">
        <v>151</v>
      </c>
      <c r="S30" s="2" t="s">
        <v>69</v>
      </c>
      <c r="T30" s="2" t="s">
        <v>237</v>
      </c>
      <c r="U30" s="2">
        <v>1</v>
      </c>
      <c r="V30" s="2" t="str">
        <f>_xlfn.XLOOKUP(EHR[[#This Row],[Encounter_ID]],'02_Lab_Results'!B:B,'02_Lab_Results'!D:D,,0)</f>
        <v>17861-6</v>
      </c>
      <c r="W30" s="2" t="str">
        <f>_xlfn.XLOOKUP(EHR[[#This Row],[LOINC Code]],'04_LOINC_Reference'!A:A,'04_LOINC_Reference'!F:F,,0)</f>
        <v>Biochemistry</v>
      </c>
      <c r="X30" s="2" t="str">
        <f>_xlfn.XLOOKUP(EHR[[#This Row],[LOINC Code]],'02_Lab_Results'!D:D,'02_Lab_Results'!E:E,,0)</f>
        <v>Serum calcium</v>
      </c>
      <c r="Y30" s="2" t="str">
        <f>_xlfn.XLOOKUP(EHR[[#This Row],[LOINC Code]],'02_Lab_Results'!D:D,'02_Lab_Results'!J:J,,0)</f>
        <v>High</v>
      </c>
      <c r="Z30" s="2" t="str" cm="1">
        <f t="array" ref="Z30">_xlfn.XLOOKUP(1,(B30=B$2:B$500)*(V$2:V$500="4548-4"),Y$2:Y$500,"Not Tested")</f>
        <v>Not Tested</v>
      </c>
      <c r="AA30" s="2">
        <v>164</v>
      </c>
      <c r="AB30" s="2">
        <v>78</v>
      </c>
      <c r="AC30" s="2" t="str">
        <f>IF(AND(EHR[[#This Row],[BP_Systolic_mmHg]]&lt;140,EHR[[#This Row],[BP_Diastolic_mmHg]]&lt;90),"Controlled",IF(OR(EHR[[#This Row],[BP_Systolic_mmHg]]="Not Recorded",EHR[[#This Row],[BP_Diastolic_mmHg]]="Not Recorded"),"No Reading","Uncontrolled"))</f>
        <v>Uncontrolled</v>
      </c>
      <c r="AD30" s="2" t="str">
        <f>_xlfn.CONCAT(EHR[[#This Row],[BP_Systolic_mmHg]],"/",EHR[[#This Row],[BP_Diastolic_mmHg]])</f>
        <v>164/78</v>
      </c>
      <c r="AE30" s="2">
        <v>106</v>
      </c>
      <c r="AF30" s="2">
        <v>25</v>
      </c>
      <c r="AG30" s="2">
        <v>36.799999999999997</v>
      </c>
      <c r="AH30" s="2">
        <v>19.8</v>
      </c>
      <c r="AI30" s="2" t="str">
        <f>IF(EHR[[#This Row],[BMI_kg_m2]]&gt;=30,"Obese","Non-Obese")</f>
        <v>Non-Obese</v>
      </c>
      <c r="AJ30" s="2">
        <v>87</v>
      </c>
      <c r="AK30" s="2" t="s">
        <v>50</v>
      </c>
      <c r="AL30" s="2" t="s">
        <v>51</v>
      </c>
      <c r="AM30" s="2" t="s">
        <v>52</v>
      </c>
      <c r="AN30" s="2" t="s">
        <v>53</v>
      </c>
      <c r="AO30" s="2" t="s">
        <v>54</v>
      </c>
    </row>
    <row r="31" spans="1:41" x14ac:dyDescent="0.2">
      <c r="A31" s="7" t="s">
        <v>230</v>
      </c>
      <c r="B31" s="3" t="s">
        <v>238</v>
      </c>
      <c r="C31" s="14">
        <v>45131</v>
      </c>
      <c r="D31" s="3" t="s">
        <v>103</v>
      </c>
      <c r="E31" s="3" t="s">
        <v>167</v>
      </c>
      <c r="F31" s="3" t="s">
        <v>122</v>
      </c>
      <c r="G31" s="3" t="s">
        <v>123</v>
      </c>
      <c r="H31" s="14">
        <v>21358</v>
      </c>
      <c r="I31" s="3">
        <v>67</v>
      </c>
      <c r="J31" s="3" t="str" cm="1">
        <f t="array" ref="J3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1" s="3" t="s">
        <v>1572</v>
      </c>
      <c r="L31" s="3" t="s">
        <v>42</v>
      </c>
      <c r="M31" s="3" t="s">
        <v>43</v>
      </c>
      <c r="N31" s="3" t="s">
        <v>1574</v>
      </c>
      <c r="O31" s="3" t="s">
        <v>182</v>
      </c>
      <c r="P31" s="3" t="s">
        <v>150</v>
      </c>
      <c r="Q31" s="3" t="str">
        <f>_xlfn.XLOOKUP(EHR[[#This Row],[Primary_ICD11_Code]],'03_ICD11_Reference'!A:A,'03_ICD11_Reference'!D:D,,0)</f>
        <v>Gastroenterology</v>
      </c>
      <c r="R31" s="3" t="s">
        <v>151</v>
      </c>
      <c r="S31" s="3" t="s">
        <v>69</v>
      </c>
      <c r="T31" s="3" t="s">
        <v>240</v>
      </c>
      <c r="U31" s="3">
        <v>3</v>
      </c>
      <c r="V31" s="3" t="str">
        <f>_xlfn.XLOOKUP(EHR[[#This Row],[Encounter_ID]],'02_Lab_Results'!B:B,'02_Lab_Results'!D:D,,0)</f>
        <v>17861-6</v>
      </c>
      <c r="W31" s="3" t="str">
        <f>_xlfn.XLOOKUP(EHR[[#This Row],[LOINC Code]],'04_LOINC_Reference'!A:A,'04_LOINC_Reference'!F:F,,0)</f>
        <v>Biochemistry</v>
      </c>
      <c r="X31" s="3" t="str">
        <f>_xlfn.XLOOKUP(EHR[[#This Row],[LOINC Code]],'02_Lab_Results'!D:D,'02_Lab_Results'!E:E,,0)</f>
        <v>Serum calcium</v>
      </c>
      <c r="Y31" s="3" t="str">
        <f>_xlfn.XLOOKUP(EHR[[#This Row],[LOINC Code]],'02_Lab_Results'!D:D,'02_Lab_Results'!J:J,,0)</f>
        <v>High</v>
      </c>
      <c r="Z31" s="3" t="str" cm="1">
        <f t="array" ref="Z31">_xlfn.XLOOKUP(1,(B31=B$2:B$500)*(V$2:V$500="4548-4"),Y$2:Y$500,"Not Tested")</f>
        <v>Not Tested</v>
      </c>
      <c r="AA31" s="3">
        <v>171</v>
      </c>
      <c r="AB31" s="3">
        <v>92</v>
      </c>
      <c r="AC31" s="3" t="str">
        <f>IF(AND(EHR[[#This Row],[BP_Systolic_mmHg]]&lt;140,EHR[[#This Row],[BP_Diastolic_mmHg]]&lt;90),"Controlled",IF(OR(EHR[[#This Row],[BP_Systolic_mmHg]]="Not Recorded",EHR[[#This Row],[BP_Diastolic_mmHg]]="Not Recorded"),"No Reading","Uncontrolled"))</f>
        <v>Uncontrolled</v>
      </c>
      <c r="AD31" s="3" t="str">
        <f>_xlfn.CONCAT(EHR[[#This Row],[BP_Systolic_mmHg]],"/",EHR[[#This Row],[BP_Diastolic_mmHg]])</f>
        <v>171/92</v>
      </c>
      <c r="AE31" s="3">
        <v>68</v>
      </c>
      <c r="AF31" s="3">
        <v>20</v>
      </c>
      <c r="AG31" s="3">
        <v>36.4</v>
      </c>
      <c r="AH31" s="3">
        <v>44.5</v>
      </c>
      <c r="AI31" s="3" t="str">
        <f>IF(EHR[[#This Row],[BMI_kg_m2]]&gt;=30,"Obese","Non-Obese")</f>
        <v>Obese</v>
      </c>
      <c r="AJ31" s="3">
        <v>93</v>
      </c>
      <c r="AK31" s="3" t="s">
        <v>50</v>
      </c>
      <c r="AL31" s="3" t="s">
        <v>51</v>
      </c>
      <c r="AM31" s="3" t="s">
        <v>52</v>
      </c>
      <c r="AN31" s="3" t="s">
        <v>53</v>
      </c>
      <c r="AO31" s="3" t="s">
        <v>54</v>
      </c>
    </row>
    <row r="32" spans="1:41" x14ac:dyDescent="0.2">
      <c r="A32" s="6" t="s">
        <v>230</v>
      </c>
      <c r="B32" s="2" t="s">
        <v>241</v>
      </c>
      <c r="C32" s="13">
        <v>45516</v>
      </c>
      <c r="D32" s="2" t="s">
        <v>88</v>
      </c>
      <c r="E32" s="2" t="s">
        <v>37</v>
      </c>
      <c r="F32" s="2" t="s">
        <v>97</v>
      </c>
      <c r="G32" s="2" t="s">
        <v>123</v>
      </c>
      <c r="H32" s="13">
        <v>21358</v>
      </c>
      <c r="I32" s="2">
        <v>67</v>
      </c>
      <c r="J32" s="2" t="str" cm="1">
        <f t="array" ref="J3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2" s="2" t="s">
        <v>1572</v>
      </c>
      <c r="L32" s="2" t="s">
        <v>42</v>
      </c>
      <c r="M32" s="2" t="s">
        <v>43</v>
      </c>
      <c r="N32" s="2" t="s">
        <v>1574</v>
      </c>
      <c r="O32" s="2" t="s">
        <v>182</v>
      </c>
      <c r="P32" s="2" t="s">
        <v>150</v>
      </c>
      <c r="Q32" s="2" t="str">
        <f>_xlfn.XLOOKUP(EHR[[#This Row],[Primary_ICD11_Code]],'03_ICD11_Reference'!A:A,'03_ICD11_Reference'!D:D,,0)</f>
        <v>Gastroenterology</v>
      </c>
      <c r="R32" s="2" t="s">
        <v>151</v>
      </c>
      <c r="S32" s="2" t="s">
        <v>69</v>
      </c>
      <c r="T32" s="2" t="s">
        <v>243</v>
      </c>
      <c r="U32" s="2">
        <v>1</v>
      </c>
      <c r="V32" s="2" t="str">
        <f>_xlfn.XLOOKUP(EHR[[#This Row],[Encounter_ID]],'02_Lab_Results'!B:B,'02_Lab_Results'!D:D,,0)</f>
        <v>2093-3</v>
      </c>
      <c r="W32" s="2" t="str">
        <f>_xlfn.XLOOKUP(EHR[[#This Row],[LOINC Code]],'04_LOINC_Reference'!A:A,'04_LOINC_Reference'!F:F,,0)</f>
        <v>Biochemistry</v>
      </c>
      <c r="X32" s="2" t="str">
        <f>_xlfn.XLOOKUP(EHR[[#This Row],[LOINC Code]],'02_Lab_Results'!D:D,'02_Lab_Results'!E:E,,0)</f>
        <v>Total cholesterol</v>
      </c>
      <c r="Y32" s="2" t="str">
        <f>_xlfn.XLOOKUP(EHR[[#This Row],[LOINC Code]],'02_Lab_Results'!D:D,'02_Lab_Results'!J:J,,0)</f>
        <v>Normal</v>
      </c>
      <c r="Z32" s="2" t="str" cm="1">
        <f t="array" ref="Z32">_xlfn.XLOOKUP(1,(B32=B$2:B$500)*(V$2:V$500="4548-4"),Y$2:Y$500,"Not Tested")</f>
        <v>Not Tested</v>
      </c>
      <c r="AA32" s="2">
        <v>156</v>
      </c>
      <c r="AB32" s="2">
        <v>112</v>
      </c>
      <c r="AC32" s="2" t="str">
        <f>IF(AND(EHR[[#This Row],[BP_Systolic_mmHg]]&lt;140,EHR[[#This Row],[BP_Diastolic_mmHg]]&lt;90),"Controlled",IF(OR(EHR[[#This Row],[BP_Systolic_mmHg]]="Not Recorded",EHR[[#This Row],[BP_Diastolic_mmHg]]="Not Recorded"),"No Reading","Uncontrolled"))</f>
        <v>Uncontrolled</v>
      </c>
      <c r="AD32" s="2" t="str">
        <f>_xlfn.CONCAT(EHR[[#This Row],[BP_Systolic_mmHg]],"/",EHR[[#This Row],[BP_Diastolic_mmHg]])</f>
        <v>156/112</v>
      </c>
      <c r="AE32" s="2">
        <v>80</v>
      </c>
      <c r="AF32" s="2">
        <v>23</v>
      </c>
      <c r="AG32" s="2">
        <v>36.200000000000003</v>
      </c>
      <c r="AH32" s="2">
        <v>37.200000000000003</v>
      </c>
      <c r="AI32" s="2" t="str">
        <f>IF(EHR[[#This Row],[BMI_kg_m2]]&gt;=30,"Obese","Non-Obese")</f>
        <v>Obese</v>
      </c>
      <c r="AJ32" s="2">
        <v>95</v>
      </c>
      <c r="AK32" s="2" t="s">
        <v>50</v>
      </c>
      <c r="AL32" s="2" t="s">
        <v>51</v>
      </c>
      <c r="AM32" s="2" t="s">
        <v>52</v>
      </c>
      <c r="AN32" s="2" t="s">
        <v>53</v>
      </c>
      <c r="AO32" s="2" t="s">
        <v>54</v>
      </c>
    </row>
    <row r="33" spans="1:41" x14ac:dyDescent="0.2">
      <c r="A33" s="7" t="s">
        <v>230</v>
      </c>
      <c r="B33" s="3" t="s">
        <v>244</v>
      </c>
      <c r="C33" s="14">
        <v>45472</v>
      </c>
      <c r="D33" s="3" t="s">
        <v>103</v>
      </c>
      <c r="E33" s="3" t="s">
        <v>89</v>
      </c>
      <c r="F33" s="3" t="s">
        <v>62</v>
      </c>
      <c r="G33" s="3" t="s">
        <v>98</v>
      </c>
      <c r="H33" s="14">
        <v>21358</v>
      </c>
      <c r="I33" s="3">
        <v>67</v>
      </c>
      <c r="J33" s="3" t="str" cm="1">
        <f t="array" ref="J3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3" s="3" t="s">
        <v>1572</v>
      </c>
      <c r="L33" s="3" t="s">
        <v>78</v>
      </c>
      <c r="M33" s="3" t="s">
        <v>43</v>
      </c>
      <c r="N33" s="3" t="s">
        <v>1574</v>
      </c>
      <c r="O33" s="3" t="s">
        <v>182</v>
      </c>
      <c r="P33" s="3" t="s">
        <v>150</v>
      </c>
      <c r="Q33" s="3" t="str">
        <f>_xlfn.XLOOKUP(EHR[[#This Row],[Primary_ICD11_Code]],'03_ICD11_Reference'!A:A,'03_ICD11_Reference'!D:D,,0)</f>
        <v>Gastroenterology</v>
      </c>
      <c r="R33" s="3" t="s">
        <v>151</v>
      </c>
      <c r="S33" s="3" t="s">
        <v>69</v>
      </c>
      <c r="T33" s="3" t="s">
        <v>246</v>
      </c>
      <c r="U33" s="3">
        <v>3</v>
      </c>
      <c r="V33" s="3" t="str">
        <f>_xlfn.XLOOKUP(EHR[[#This Row],[Encounter_ID]],'02_Lab_Results'!B:B,'02_Lab_Results'!D:D,,0)</f>
        <v>718-7</v>
      </c>
      <c r="W33" s="3" t="str">
        <f>_xlfn.XLOOKUP(EHR[[#This Row],[LOINC Code]],'04_LOINC_Reference'!A:A,'04_LOINC_Reference'!F:F,,0)</f>
        <v>Biochemistry</v>
      </c>
      <c r="X33" s="3" t="str">
        <f>_xlfn.XLOOKUP(EHR[[#This Row],[LOINC Code]],'02_Lab_Results'!D:D,'02_Lab_Results'!E:E,,0)</f>
        <v>Haemoglobin</v>
      </c>
      <c r="Y33" s="3" t="str">
        <f>_xlfn.XLOOKUP(EHR[[#This Row],[LOINC Code]],'02_Lab_Results'!D:D,'02_Lab_Results'!J:J,,0)</f>
        <v>Normal</v>
      </c>
      <c r="Z33" s="3" t="str" cm="1">
        <f t="array" ref="Z33">_xlfn.XLOOKUP(1,(B33=B$2:B$500)*(V$2:V$500="4548-4"),Y$2:Y$500,"Not Tested")</f>
        <v>Not Tested</v>
      </c>
      <c r="AA33" s="3">
        <v>134</v>
      </c>
      <c r="AB33" s="3">
        <v>77</v>
      </c>
      <c r="AC33" s="3" t="str">
        <f>IF(AND(EHR[[#This Row],[BP_Systolic_mmHg]]&lt;140,EHR[[#This Row],[BP_Diastolic_mmHg]]&lt;90),"Controlled",IF(OR(EHR[[#This Row],[BP_Systolic_mmHg]]="Not Recorded",EHR[[#This Row],[BP_Diastolic_mmHg]]="Not Recorded"),"No Reading","Uncontrolled"))</f>
        <v>Controlled</v>
      </c>
      <c r="AD33" s="3" t="str">
        <f>_xlfn.CONCAT(EHR[[#This Row],[BP_Systolic_mmHg]],"/",EHR[[#This Row],[BP_Diastolic_mmHg]])</f>
        <v>134/77</v>
      </c>
      <c r="AE33" s="3">
        <v>88</v>
      </c>
      <c r="AF33" s="3">
        <v>17</v>
      </c>
      <c r="AG33" s="3">
        <v>38.700000000000003</v>
      </c>
      <c r="AH33" s="3">
        <v>40.9</v>
      </c>
      <c r="AI33" s="3" t="str">
        <f>IF(EHR[[#This Row],[BMI_kg_m2]]&gt;=30,"Obese","Non-Obese")</f>
        <v>Obese</v>
      </c>
      <c r="AJ33" s="3">
        <v>88</v>
      </c>
      <c r="AK33" s="3" t="s">
        <v>50</v>
      </c>
      <c r="AL33" s="3" t="s">
        <v>51</v>
      </c>
      <c r="AM33" s="3" t="s">
        <v>52</v>
      </c>
      <c r="AN33" s="3" t="s">
        <v>53</v>
      </c>
      <c r="AO33" s="3" t="s">
        <v>54</v>
      </c>
    </row>
    <row r="34" spans="1:41" x14ac:dyDescent="0.2">
      <c r="A34" s="6" t="s">
        <v>230</v>
      </c>
      <c r="B34" s="2" t="s">
        <v>247</v>
      </c>
      <c r="C34" s="13">
        <v>45373</v>
      </c>
      <c r="D34" s="2" t="s">
        <v>95</v>
      </c>
      <c r="E34" s="2" t="s">
        <v>167</v>
      </c>
      <c r="F34" s="2" t="s">
        <v>38</v>
      </c>
      <c r="G34" s="2" t="s">
        <v>98</v>
      </c>
      <c r="H34" s="13">
        <v>21358</v>
      </c>
      <c r="I34" s="2">
        <v>67</v>
      </c>
      <c r="J34" s="2" t="str" cm="1">
        <f t="array" ref="J3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4" s="2" t="s">
        <v>1572</v>
      </c>
      <c r="L34" s="2" t="s">
        <v>140</v>
      </c>
      <c r="M34" s="2" t="s">
        <v>43</v>
      </c>
      <c r="N34" s="2" t="s">
        <v>1574</v>
      </c>
      <c r="O34" s="2" t="s">
        <v>182</v>
      </c>
      <c r="P34" s="2" t="s">
        <v>150</v>
      </c>
      <c r="Q34" s="2" t="str">
        <f>_xlfn.XLOOKUP(EHR[[#This Row],[Primary_ICD11_Code]],'03_ICD11_Reference'!A:A,'03_ICD11_Reference'!D:D,,0)</f>
        <v>Gastroenterology</v>
      </c>
      <c r="R34" s="2" t="s">
        <v>151</v>
      </c>
      <c r="S34" s="2" t="s">
        <v>69</v>
      </c>
      <c r="T34" s="2" t="s">
        <v>249</v>
      </c>
      <c r="U34" s="2">
        <v>4</v>
      </c>
      <c r="V34" s="2" t="str">
        <f>_xlfn.XLOOKUP(EHR[[#This Row],[Encounter_ID]],'02_Lab_Results'!B:B,'02_Lab_Results'!D:D,,0)</f>
        <v>17861-6</v>
      </c>
      <c r="W34" s="2" t="str">
        <f>_xlfn.XLOOKUP(EHR[[#This Row],[LOINC Code]],'04_LOINC_Reference'!A:A,'04_LOINC_Reference'!F:F,,0)</f>
        <v>Biochemistry</v>
      </c>
      <c r="X34" s="2" t="str">
        <f>_xlfn.XLOOKUP(EHR[[#This Row],[LOINC Code]],'02_Lab_Results'!D:D,'02_Lab_Results'!E:E,,0)</f>
        <v>Serum calcium</v>
      </c>
      <c r="Y34" s="2" t="str">
        <f>_xlfn.XLOOKUP(EHR[[#This Row],[LOINC Code]],'02_Lab_Results'!D:D,'02_Lab_Results'!J:J,,0)</f>
        <v>High</v>
      </c>
      <c r="Z34" s="2" t="str" cm="1">
        <f t="array" ref="Z34">_xlfn.XLOOKUP(1,(B34=B$2:B$500)*(V$2:V$500="4548-4"),Y$2:Y$500,"Not Tested")</f>
        <v>Not Tested</v>
      </c>
      <c r="AA34" s="2">
        <v>169</v>
      </c>
      <c r="AB34" s="2">
        <v>91</v>
      </c>
      <c r="AC34" s="2" t="str">
        <f>IF(AND(EHR[[#This Row],[BP_Systolic_mmHg]]&lt;140,EHR[[#This Row],[BP_Diastolic_mmHg]]&lt;90),"Controlled",IF(OR(EHR[[#This Row],[BP_Systolic_mmHg]]="Not Recorded",EHR[[#This Row],[BP_Diastolic_mmHg]]="Not Recorded"),"No Reading","Uncontrolled"))</f>
        <v>Uncontrolled</v>
      </c>
      <c r="AD34" s="2" t="str">
        <f>_xlfn.CONCAT(EHR[[#This Row],[BP_Systolic_mmHg]],"/",EHR[[#This Row],[BP_Diastolic_mmHg]])</f>
        <v>169/91</v>
      </c>
      <c r="AE34" s="2">
        <v>74</v>
      </c>
      <c r="AF34" s="2">
        <v>16</v>
      </c>
      <c r="AG34" s="2">
        <v>39</v>
      </c>
      <c r="AH34" s="2">
        <v>25.4</v>
      </c>
      <c r="AI34" s="2" t="str">
        <f>IF(EHR[[#This Row],[BMI_kg_m2]]&gt;=30,"Obese","Non-Obese")</f>
        <v>Non-Obese</v>
      </c>
      <c r="AJ34" s="2">
        <v>93</v>
      </c>
      <c r="AK34" s="2" t="s">
        <v>50</v>
      </c>
      <c r="AL34" s="2" t="s">
        <v>51</v>
      </c>
      <c r="AM34" s="2" t="s">
        <v>52</v>
      </c>
      <c r="AN34" s="2" t="s">
        <v>53</v>
      </c>
      <c r="AO34" s="2" t="s">
        <v>54</v>
      </c>
    </row>
    <row r="35" spans="1:41" x14ac:dyDescent="0.2">
      <c r="A35" s="7" t="s">
        <v>250</v>
      </c>
      <c r="B35" s="3" t="s">
        <v>251</v>
      </c>
      <c r="C35" s="14">
        <v>45343</v>
      </c>
      <c r="D35" s="3" t="s">
        <v>36</v>
      </c>
      <c r="E35" s="3" t="s">
        <v>89</v>
      </c>
      <c r="F35" s="3" t="s">
        <v>109</v>
      </c>
      <c r="G35" s="3" t="s">
        <v>98</v>
      </c>
      <c r="H35" s="14">
        <v>27189</v>
      </c>
      <c r="I35" s="3">
        <v>51</v>
      </c>
      <c r="J35" s="3" t="str" cm="1">
        <f t="array" ref="J3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5" s="3" t="s">
        <v>1573</v>
      </c>
      <c r="L35" s="3" t="s">
        <v>90</v>
      </c>
      <c r="M35" s="3" t="s">
        <v>45</v>
      </c>
      <c r="N35" s="3" t="s">
        <v>80</v>
      </c>
      <c r="O35" s="3" t="s">
        <v>45</v>
      </c>
      <c r="P35" s="3" t="s">
        <v>254</v>
      </c>
      <c r="Q35" s="3" t="str">
        <f>_xlfn.XLOOKUP(EHR[[#This Row],[Primary_ICD11_Code]],'03_ICD11_Reference'!A:A,'03_ICD11_Reference'!D:D,,0)</f>
        <v>Respiratory</v>
      </c>
      <c r="R35" s="3" t="s">
        <v>255</v>
      </c>
      <c r="S35" s="3" t="s">
        <v>69</v>
      </c>
      <c r="T35" s="3" t="s">
        <v>256</v>
      </c>
      <c r="U35" s="3">
        <v>2</v>
      </c>
      <c r="V35" s="3" t="str">
        <f>_xlfn.XLOOKUP(EHR[[#This Row],[Encounter_ID]],'02_Lab_Results'!B:B,'02_Lab_Results'!D:D,,0)</f>
        <v>718-7</v>
      </c>
      <c r="W35" s="3" t="str">
        <f>_xlfn.XLOOKUP(EHR[[#This Row],[LOINC Code]],'04_LOINC_Reference'!A:A,'04_LOINC_Reference'!F:F,,0)</f>
        <v>Biochemistry</v>
      </c>
      <c r="X35" s="3" t="str">
        <f>_xlfn.XLOOKUP(EHR[[#This Row],[LOINC Code]],'02_Lab_Results'!D:D,'02_Lab_Results'!E:E,,0)</f>
        <v>Haemoglobin</v>
      </c>
      <c r="Y35" s="3" t="str">
        <f>_xlfn.XLOOKUP(EHR[[#This Row],[LOINC Code]],'02_Lab_Results'!D:D,'02_Lab_Results'!J:J,,0)</f>
        <v>Normal</v>
      </c>
      <c r="Z35" s="3" t="str" cm="1">
        <f t="array" ref="Z35">_xlfn.XLOOKUP(1,(B35=B$2:B$500)*(V$2:V$500="4548-4"),Y$2:Y$500,"Not Tested")</f>
        <v>Not Tested</v>
      </c>
      <c r="AA35" s="3">
        <v>139</v>
      </c>
      <c r="AB35" s="3">
        <v>100</v>
      </c>
      <c r="AC35" s="3" t="str">
        <f>IF(AND(EHR[[#This Row],[BP_Systolic_mmHg]]&lt;140,EHR[[#This Row],[BP_Diastolic_mmHg]]&lt;90),"Controlled",IF(OR(EHR[[#This Row],[BP_Systolic_mmHg]]="Not Recorded",EHR[[#This Row],[BP_Diastolic_mmHg]]="Not Recorded"),"No Reading","Uncontrolled"))</f>
        <v>Uncontrolled</v>
      </c>
      <c r="AD35" s="3" t="str">
        <f>_xlfn.CONCAT(EHR[[#This Row],[BP_Systolic_mmHg]],"/",EHR[[#This Row],[BP_Diastolic_mmHg]])</f>
        <v>139/100</v>
      </c>
      <c r="AE35" s="3">
        <v>102</v>
      </c>
      <c r="AF35" s="3">
        <v>22</v>
      </c>
      <c r="AG35" s="3">
        <v>37.6</v>
      </c>
      <c r="AH35" s="3">
        <v>40.1</v>
      </c>
      <c r="AI35" s="3" t="str">
        <f>IF(EHR[[#This Row],[BMI_kg_m2]]&gt;=30,"Obese","Non-Obese")</f>
        <v>Obese</v>
      </c>
      <c r="AJ35" s="3">
        <v>88</v>
      </c>
      <c r="AK35" s="3" t="s">
        <v>50</v>
      </c>
      <c r="AL35" s="3" t="s">
        <v>51</v>
      </c>
      <c r="AM35" s="3" t="s">
        <v>52</v>
      </c>
      <c r="AN35" s="3" t="s">
        <v>53</v>
      </c>
      <c r="AO35" s="3" t="s">
        <v>54</v>
      </c>
    </row>
    <row r="36" spans="1:41" x14ac:dyDescent="0.2">
      <c r="A36" s="6" t="s">
        <v>250</v>
      </c>
      <c r="B36" s="2" t="s">
        <v>257</v>
      </c>
      <c r="C36" s="13">
        <v>45470</v>
      </c>
      <c r="D36" s="2" t="s">
        <v>88</v>
      </c>
      <c r="E36" s="2" t="s">
        <v>61</v>
      </c>
      <c r="F36" s="2" t="s">
        <v>189</v>
      </c>
      <c r="G36" s="2" t="s">
        <v>138</v>
      </c>
      <c r="H36" s="13">
        <v>27189</v>
      </c>
      <c r="I36" s="2">
        <v>51</v>
      </c>
      <c r="J36" s="2" t="str" cm="1">
        <f t="array" ref="J3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6" s="2" t="s">
        <v>1573</v>
      </c>
      <c r="L36" s="2" t="s">
        <v>116</v>
      </c>
      <c r="M36" s="2" t="s">
        <v>45</v>
      </c>
      <c r="N36" s="2" t="s">
        <v>80</v>
      </c>
      <c r="O36" s="2" t="s">
        <v>45</v>
      </c>
      <c r="P36" s="2" t="s">
        <v>254</v>
      </c>
      <c r="Q36" s="2" t="str">
        <f>_xlfn.XLOOKUP(EHR[[#This Row],[Primary_ICD11_Code]],'03_ICD11_Reference'!A:A,'03_ICD11_Reference'!D:D,,0)</f>
        <v>Respiratory</v>
      </c>
      <c r="R36" s="2" t="s">
        <v>255</v>
      </c>
      <c r="S36" s="2" t="s">
        <v>69</v>
      </c>
      <c r="T36" s="2" t="s">
        <v>259</v>
      </c>
      <c r="U36" s="2">
        <v>2</v>
      </c>
      <c r="V36" s="2" t="str">
        <f>_xlfn.XLOOKUP(EHR[[#This Row],[Encounter_ID]],'02_Lab_Results'!B:B,'02_Lab_Results'!D:D,,0)</f>
        <v>6768-6</v>
      </c>
      <c r="W36" s="2" t="str">
        <f>_xlfn.XLOOKUP(EHR[[#This Row],[LOINC Code]],'04_LOINC_Reference'!A:A,'04_LOINC_Reference'!F:F,,0)</f>
        <v>Biochemistry</v>
      </c>
      <c r="X36" s="2" t="str">
        <f>_xlfn.XLOOKUP(EHR[[#This Row],[LOINC Code]],'02_Lab_Results'!D:D,'02_Lab_Results'!E:E,,0)</f>
        <v>ALP</v>
      </c>
      <c r="Y36" s="2" t="str">
        <f>_xlfn.XLOOKUP(EHR[[#This Row],[LOINC Code]],'02_Lab_Results'!D:D,'02_Lab_Results'!J:J,,0)</f>
        <v>High</v>
      </c>
      <c r="Z36" s="2" t="str" cm="1">
        <f t="array" ref="Z36">_xlfn.XLOOKUP(1,(B36=B$2:B$500)*(V$2:V$500="4548-4"),Y$2:Y$500,"Not Tested")</f>
        <v>Not Tested</v>
      </c>
      <c r="AA36" s="2">
        <v>126</v>
      </c>
      <c r="AB36" s="2">
        <v>115</v>
      </c>
      <c r="AC36" s="2" t="str">
        <f>IF(AND(EHR[[#This Row],[BP_Systolic_mmHg]]&lt;140,EHR[[#This Row],[BP_Diastolic_mmHg]]&lt;90),"Controlled",IF(OR(EHR[[#This Row],[BP_Systolic_mmHg]]="Not Recorded",EHR[[#This Row],[BP_Diastolic_mmHg]]="Not Recorded"),"No Reading","Uncontrolled"))</f>
        <v>Uncontrolled</v>
      </c>
      <c r="AD36" s="2" t="str">
        <f>_xlfn.CONCAT(EHR[[#This Row],[BP_Systolic_mmHg]],"/",EHR[[#This Row],[BP_Diastolic_mmHg]])</f>
        <v>126/115</v>
      </c>
      <c r="AE36" s="2">
        <v>91</v>
      </c>
      <c r="AF36" s="2">
        <v>18</v>
      </c>
      <c r="AG36" s="2">
        <v>37.5</v>
      </c>
      <c r="AH36" s="2">
        <v>26.2</v>
      </c>
      <c r="AI36" s="2" t="str">
        <f>IF(EHR[[#This Row],[BMI_kg_m2]]&gt;=30,"Obese","Non-Obese")</f>
        <v>Non-Obese</v>
      </c>
      <c r="AJ36" s="2">
        <v>90</v>
      </c>
      <c r="AK36" s="2" t="s">
        <v>50</v>
      </c>
      <c r="AL36" s="2" t="s">
        <v>51</v>
      </c>
      <c r="AM36" s="2" t="s">
        <v>52</v>
      </c>
      <c r="AN36" s="2" t="s">
        <v>53</v>
      </c>
      <c r="AO36" s="2" t="s">
        <v>54</v>
      </c>
    </row>
    <row r="37" spans="1:41" x14ac:dyDescent="0.2">
      <c r="A37" s="7" t="s">
        <v>250</v>
      </c>
      <c r="B37" s="3" t="s">
        <v>260</v>
      </c>
      <c r="C37" s="14">
        <v>45422</v>
      </c>
      <c r="D37" s="3" t="s">
        <v>88</v>
      </c>
      <c r="E37" s="3" t="s">
        <v>61</v>
      </c>
      <c r="F37" s="3" t="s">
        <v>62</v>
      </c>
      <c r="G37" s="3" t="s">
        <v>123</v>
      </c>
      <c r="H37" s="14">
        <v>27189</v>
      </c>
      <c r="I37" s="3">
        <v>51</v>
      </c>
      <c r="J37" s="3" t="str" cm="1">
        <f t="array" ref="J3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7" s="3" t="s">
        <v>1573</v>
      </c>
      <c r="L37" s="3" t="s">
        <v>110</v>
      </c>
      <c r="M37" s="3" t="s">
        <v>45</v>
      </c>
      <c r="N37" s="3" t="s">
        <v>80</v>
      </c>
      <c r="O37" s="3" t="s">
        <v>45</v>
      </c>
      <c r="P37" s="3" t="s">
        <v>254</v>
      </c>
      <c r="Q37" s="3" t="str">
        <f>_xlfn.XLOOKUP(EHR[[#This Row],[Primary_ICD11_Code]],'03_ICD11_Reference'!A:A,'03_ICD11_Reference'!D:D,,0)</f>
        <v>Respiratory</v>
      </c>
      <c r="R37" s="3" t="s">
        <v>255</v>
      </c>
      <c r="S37" s="3" t="s">
        <v>69</v>
      </c>
      <c r="T37" s="3" t="s">
        <v>262</v>
      </c>
      <c r="U37" s="3">
        <v>3</v>
      </c>
      <c r="V37" s="3" t="str">
        <f>_xlfn.XLOOKUP(EHR[[#This Row],[Encounter_ID]],'02_Lab_Results'!B:B,'02_Lab_Results'!D:D,,0)</f>
        <v>14627-4</v>
      </c>
      <c r="W37" s="3" t="str">
        <f>_xlfn.XLOOKUP(EHR[[#This Row],[LOINC Code]],'04_LOINC_Reference'!A:A,'04_LOINC_Reference'!F:F,,0)</f>
        <v>Biochemistry</v>
      </c>
      <c r="X37" s="3" t="str">
        <f>_xlfn.XLOOKUP(EHR[[#This Row],[LOINC Code]],'02_Lab_Results'!D:D,'02_Lab_Results'!E:E,,0)</f>
        <v>eGFR (CKD-EPI)</v>
      </c>
      <c r="Y37" s="3" t="str">
        <f>_xlfn.XLOOKUP(EHR[[#This Row],[LOINC Code]],'02_Lab_Results'!D:D,'02_Lab_Results'!J:J,,0)</f>
        <v>High</v>
      </c>
      <c r="Z37" s="3" t="str" cm="1">
        <f t="array" ref="Z37">_xlfn.XLOOKUP(1,(B37=B$2:B$500)*(V$2:V$500="4548-4"),Y$2:Y$500,"Not Tested")</f>
        <v>Not Tested</v>
      </c>
      <c r="AA37" s="3">
        <v>120</v>
      </c>
      <c r="AB37" s="3">
        <v>90</v>
      </c>
      <c r="AC37" s="3" t="str">
        <f>IF(AND(EHR[[#This Row],[BP_Systolic_mmHg]]&lt;140,EHR[[#This Row],[BP_Diastolic_mmHg]]&lt;90),"Controlled",IF(OR(EHR[[#This Row],[BP_Systolic_mmHg]]="Not Recorded",EHR[[#This Row],[BP_Diastolic_mmHg]]="Not Recorded"),"No Reading","Uncontrolled"))</f>
        <v>Uncontrolled</v>
      </c>
      <c r="AD37" s="3" t="str">
        <f>_xlfn.CONCAT(EHR[[#This Row],[BP_Systolic_mmHg]],"/",EHR[[#This Row],[BP_Diastolic_mmHg]])</f>
        <v>120/90</v>
      </c>
      <c r="AE37" s="3">
        <v>107</v>
      </c>
      <c r="AF37" s="3">
        <v>22</v>
      </c>
      <c r="AG37" s="3">
        <v>39.1</v>
      </c>
      <c r="AH37" s="3">
        <v>41.2</v>
      </c>
      <c r="AI37" s="3" t="str">
        <f>IF(EHR[[#This Row],[BMI_kg_m2]]&gt;=30,"Obese","Non-Obese")</f>
        <v>Obese</v>
      </c>
      <c r="AJ37" s="3">
        <v>91</v>
      </c>
      <c r="AK37" s="3" t="s">
        <v>50</v>
      </c>
      <c r="AL37" s="3" t="s">
        <v>51</v>
      </c>
      <c r="AM37" s="3" t="s">
        <v>52</v>
      </c>
      <c r="AN37" s="3" t="s">
        <v>53</v>
      </c>
      <c r="AO37" s="3" t="s">
        <v>54</v>
      </c>
    </row>
    <row r="38" spans="1:41" x14ac:dyDescent="0.2">
      <c r="A38" s="6" t="s">
        <v>250</v>
      </c>
      <c r="B38" s="2" t="s">
        <v>263</v>
      </c>
      <c r="C38" s="13">
        <v>45493</v>
      </c>
      <c r="D38" s="2" t="s">
        <v>36</v>
      </c>
      <c r="E38" s="2" t="s">
        <v>96</v>
      </c>
      <c r="F38" s="2" t="s">
        <v>122</v>
      </c>
      <c r="G38" s="2" t="s">
        <v>63</v>
      </c>
      <c r="H38" s="13">
        <v>27189</v>
      </c>
      <c r="I38" s="2">
        <v>51</v>
      </c>
      <c r="J38" s="2" t="str" cm="1">
        <f t="array" ref="J3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8" s="2" t="s">
        <v>1573</v>
      </c>
      <c r="L38" s="2" t="s">
        <v>78</v>
      </c>
      <c r="M38" s="2" t="s">
        <v>45</v>
      </c>
      <c r="N38" s="2" t="s">
        <v>80</v>
      </c>
      <c r="O38" s="2" t="s">
        <v>45</v>
      </c>
      <c r="P38" s="2" t="s">
        <v>254</v>
      </c>
      <c r="Q38" s="2" t="str">
        <f>_xlfn.XLOOKUP(EHR[[#This Row],[Primary_ICD11_Code]],'03_ICD11_Reference'!A:A,'03_ICD11_Reference'!D:D,,0)</f>
        <v>Respiratory</v>
      </c>
      <c r="R38" s="2" t="s">
        <v>255</v>
      </c>
      <c r="S38" s="2" t="s">
        <v>69</v>
      </c>
      <c r="T38" s="2" t="s">
        <v>265</v>
      </c>
      <c r="U38" s="2">
        <v>4</v>
      </c>
      <c r="V38" s="2" t="str">
        <f>_xlfn.XLOOKUP(EHR[[#This Row],[Encounter_ID]],'02_Lab_Results'!B:B,'02_Lab_Results'!D:D,,0)</f>
        <v>2823-3</v>
      </c>
      <c r="W38" s="2" t="str">
        <f>_xlfn.XLOOKUP(EHR[[#This Row],[LOINC Code]],'04_LOINC_Reference'!A:A,'04_LOINC_Reference'!F:F,,0)</f>
        <v>Biochemistry</v>
      </c>
      <c r="X38" s="2" t="str">
        <f>_xlfn.XLOOKUP(EHR[[#This Row],[LOINC Code]],'02_Lab_Results'!D:D,'02_Lab_Results'!E:E,,0)</f>
        <v>Serum potassium</v>
      </c>
      <c r="Y38" s="2" t="str">
        <f>_xlfn.XLOOKUP(EHR[[#This Row],[LOINC Code]],'02_Lab_Results'!D:D,'02_Lab_Results'!J:J,,0)</f>
        <v>Normal</v>
      </c>
      <c r="Z38" s="2" t="str" cm="1">
        <f t="array" ref="Z38">_xlfn.XLOOKUP(1,(B38=B$2:B$500)*(V$2:V$500="4548-4"),Y$2:Y$500,"Not Tested")</f>
        <v>Not Tested</v>
      </c>
      <c r="AA38" s="2">
        <v>121</v>
      </c>
      <c r="AB38" s="2">
        <v>112</v>
      </c>
      <c r="AC38" s="2" t="str">
        <f>IF(AND(EHR[[#This Row],[BP_Systolic_mmHg]]&lt;140,EHR[[#This Row],[BP_Diastolic_mmHg]]&lt;90),"Controlled",IF(OR(EHR[[#This Row],[BP_Systolic_mmHg]]="Not Recorded",EHR[[#This Row],[BP_Diastolic_mmHg]]="Not Recorded"),"No Reading","Uncontrolled"))</f>
        <v>Uncontrolled</v>
      </c>
      <c r="AD38" s="2" t="str">
        <f>_xlfn.CONCAT(EHR[[#This Row],[BP_Systolic_mmHg]],"/",EHR[[#This Row],[BP_Diastolic_mmHg]])</f>
        <v>121/112</v>
      </c>
      <c r="AE38" s="2">
        <v>98</v>
      </c>
      <c r="AF38" s="2">
        <v>24</v>
      </c>
      <c r="AG38" s="2">
        <v>36.299999999999997</v>
      </c>
      <c r="AH38" s="2">
        <v>17.8</v>
      </c>
      <c r="AI38" s="2" t="str">
        <f>IF(EHR[[#This Row],[BMI_kg_m2]]&gt;=30,"Obese","Non-Obese")</f>
        <v>Non-Obese</v>
      </c>
      <c r="AJ38" s="2">
        <v>91</v>
      </c>
      <c r="AK38" s="2" t="s">
        <v>50</v>
      </c>
      <c r="AL38" s="2" t="s">
        <v>51</v>
      </c>
      <c r="AM38" s="2" t="s">
        <v>52</v>
      </c>
      <c r="AN38" s="2" t="s">
        <v>53</v>
      </c>
      <c r="AO38" s="2" t="s">
        <v>54</v>
      </c>
    </row>
    <row r="39" spans="1:41" x14ac:dyDescent="0.2">
      <c r="A39" s="7" t="s">
        <v>250</v>
      </c>
      <c r="B39" s="3" t="s">
        <v>266</v>
      </c>
      <c r="C39" s="14">
        <v>45430</v>
      </c>
      <c r="D39" s="3" t="s">
        <v>95</v>
      </c>
      <c r="E39" s="3" t="s">
        <v>89</v>
      </c>
      <c r="F39" s="3" t="s">
        <v>97</v>
      </c>
      <c r="G39" s="3" t="s">
        <v>138</v>
      </c>
      <c r="H39" s="14">
        <v>27189</v>
      </c>
      <c r="I39" s="3">
        <v>51</v>
      </c>
      <c r="J39" s="3" t="str" cm="1">
        <f t="array" ref="J3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9" s="3" t="s">
        <v>1573</v>
      </c>
      <c r="L39" s="3" t="s">
        <v>66</v>
      </c>
      <c r="M39" s="3" t="s">
        <v>45</v>
      </c>
      <c r="N39" s="3" t="s">
        <v>80</v>
      </c>
      <c r="O39" s="3" t="s">
        <v>45</v>
      </c>
      <c r="P39" s="3" t="s">
        <v>254</v>
      </c>
      <c r="Q39" s="3" t="str">
        <f>_xlfn.XLOOKUP(EHR[[#This Row],[Primary_ICD11_Code]],'03_ICD11_Reference'!A:A,'03_ICD11_Reference'!D:D,,0)</f>
        <v>Respiratory</v>
      </c>
      <c r="R39" s="3" t="s">
        <v>255</v>
      </c>
      <c r="S39" s="3" t="s">
        <v>69</v>
      </c>
      <c r="T39" s="3" t="s">
        <v>268</v>
      </c>
      <c r="U39" s="3">
        <v>1</v>
      </c>
      <c r="V39" s="3" t="str">
        <f>_xlfn.XLOOKUP(EHR[[#This Row],[Encounter_ID]],'02_Lab_Results'!B:B,'02_Lab_Results'!D:D,,0)</f>
        <v>2345-7</v>
      </c>
      <c r="W39" s="3" t="str">
        <f>_xlfn.XLOOKUP(EHR[[#This Row],[LOINC Code]],'04_LOINC_Reference'!A:A,'04_LOINC_Reference'!F:F,,0)</f>
        <v>Biochemistry</v>
      </c>
      <c r="X39" s="3" t="str">
        <f>_xlfn.XLOOKUP(EHR[[#This Row],[LOINC Code]],'02_Lab_Results'!D:D,'02_Lab_Results'!E:E,,0)</f>
        <v>Serum glucose (fasting)</v>
      </c>
      <c r="Y39" s="3" t="str">
        <f>_xlfn.XLOOKUP(EHR[[#This Row],[LOINC Code]],'02_Lab_Results'!D:D,'02_Lab_Results'!J:J,,0)</f>
        <v>Normal</v>
      </c>
      <c r="Z39" s="3" t="str" cm="1">
        <f t="array" ref="Z39">_xlfn.XLOOKUP(1,(B39=B$2:B$500)*(V$2:V$500="4548-4"),Y$2:Y$500,"Not Tested")</f>
        <v>Not Tested</v>
      </c>
      <c r="AA39" s="3">
        <v>102</v>
      </c>
      <c r="AB39" s="3">
        <v>93</v>
      </c>
      <c r="AC39" s="3" t="str">
        <f>IF(AND(EHR[[#This Row],[BP_Systolic_mmHg]]&lt;140,EHR[[#This Row],[BP_Diastolic_mmHg]]&lt;90),"Controlled",IF(OR(EHR[[#This Row],[BP_Systolic_mmHg]]="Not Recorded",EHR[[#This Row],[BP_Diastolic_mmHg]]="Not Recorded"),"No Reading","Uncontrolled"))</f>
        <v>Uncontrolled</v>
      </c>
      <c r="AD39" s="3" t="str">
        <f>_xlfn.CONCAT(EHR[[#This Row],[BP_Systolic_mmHg]],"/",EHR[[#This Row],[BP_Diastolic_mmHg]])</f>
        <v>102/93</v>
      </c>
      <c r="AE39" s="3">
        <v>54</v>
      </c>
      <c r="AF39" s="3">
        <v>14</v>
      </c>
      <c r="AG39" s="3">
        <v>37.799999999999997</v>
      </c>
      <c r="AH39" s="3">
        <v>26.2</v>
      </c>
      <c r="AI39" s="3" t="str">
        <f>IF(EHR[[#This Row],[BMI_kg_m2]]&gt;=30,"Obese","Non-Obese")</f>
        <v>Non-Obese</v>
      </c>
      <c r="AJ39" s="3">
        <v>100</v>
      </c>
      <c r="AK39" s="3" t="s">
        <v>50</v>
      </c>
      <c r="AL39" s="3" t="s">
        <v>51</v>
      </c>
      <c r="AM39" s="3" t="s">
        <v>52</v>
      </c>
      <c r="AN39" s="3" t="s">
        <v>53</v>
      </c>
      <c r="AO39" s="3" t="s">
        <v>54</v>
      </c>
    </row>
    <row r="40" spans="1:41" x14ac:dyDescent="0.2">
      <c r="A40" s="6" t="s">
        <v>269</v>
      </c>
      <c r="B40" s="2" t="s">
        <v>270</v>
      </c>
      <c r="C40" s="13">
        <v>45197</v>
      </c>
      <c r="D40" s="2" t="s">
        <v>36</v>
      </c>
      <c r="E40" s="2" t="s">
        <v>96</v>
      </c>
      <c r="F40" s="2" t="s">
        <v>122</v>
      </c>
      <c r="G40" s="2" t="s">
        <v>138</v>
      </c>
      <c r="H40" s="13">
        <v>18485</v>
      </c>
      <c r="I40" s="2">
        <v>75</v>
      </c>
      <c r="J40" s="2" t="str" cm="1">
        <f t="array" ref="J4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40" s="2" t="s">
        <v>1573</v>
      </c>
      <c r="L40" s="2" t="s">
        <v>42</v>
      </c>
      <c r="M40" s="2" t="s">
        <v>45</v>
      </c>
      <c r="N40" s="2" t="s">
        <v>44</v>
      </c>
      <c r="O40" s="2" t="s">
        <v>182</v>
      </c>
      <c r="P40" s="2" t="s">
        <v>126</v>
      </c>
      <c r="Q40" s="2" t="str">
        <f>_xlfn.XLOOKUP(EHR[[#This Row],[Primary_ICD11_Code]],'03_ICD11_Reference'!A:A,'03_ICD11_Reference'!D:D,,0)</f>
        <v>Neurological</v>
      </c>
      <c r="R40" s="2" t="s">
        <v>127</v>
      </c>
      <c r="S40" s="2" t="s">
        <v>69</v>
      </c>
      <c r="T40" s="2" t="s">
        <v>273</v>
      </c>
      <c r="U40" s="2">
        <v>3</v>
      </c>
      <c r="V40" s="2" t="str">
        <f>_xlfn.XLOOKUP(EHR[[#This Row],[Encounter_ID]],'02_Lab_Results'!B:B,'02_Lab_Results'!D:D,,0)</f>
        <v>2777-1</v>
      </c>
      <c r="W40" s="2" t="str">
        <f>_xlfn.XLOOKUP(EHR[[#This Row],[LOINC Code]],'04_LOINC_Reference'!A:A,'04_LOINC_Reference'!F:F,,0)</f>
        <v>Biochemistry</v>
      </c>
      <c r="X40" s="2" t="str">
        <f>_xlfn.XLOOKUP(EHR[[#This Row],[LOINC Code]],'02_Lab_Results'!D:D,'02_Lab_Results'!E:E,,0)</f>
        <v>Serum phosphate</v>
      </c>
      <c r="Y40" s="2" t="str">
        <f>_xlfn.XLOOKUP(EHR[[#This Row],[LOINC Code]],'02_Lab_Results'!D:D,'02_Lab_Results'!J:J,,0)</f>
        <v>Normal</v>
      </c>
      <c r="Z40" s="2" t="str" cm="1">
        <f t="array" ref="Z40">_xlfn.XLOOKUP(1,(B40=B$2:B$500)*(V$2:V$500="4548-4"),Y$2:Y$500,"Not Tested")</f>
        <v>Not Tested</v>
      </c>
      <c r="AA40" s="2">
        <v>154</v>
      </c>
      <c r="AB40" s="2">
        <v>64</v>
      </c>
      <c r="AC40" s="2" t="str">
        <f>IF(AND(EHR[[#This Row],[BP_Systolic_mmHg]]&lt;140,EHR[[#This Row],[BP_Diastolic_mmHg]]&lt;90),"Controlled",IF(OR(EHR[[#This Row],[BP_Systolic_mmHg]]="Not Recorded",EHR[[#This Row],[BP_Diastolic_mmHg]]="Not Recorded"),"No Reading","Uncontrolled"))</f>
        <v>Uncontrolled</v>
      </c>
      <c r="AD40" s="2" t="str">
        <f>_xlfn.CONCAT(EHR[[#This Row],[BP_Systolic_mmHg]],"/",EHR[[#This Row],[BP_Diastolic_mmHg]])</f>
        <v>154/64</v>
      </c>
      <c r="AE40" s="2">
        <v>63</v>
      </c>
      <c r="AF40" s="2">
        <v>13</v>
      </c>
      <c r="AG40" s="2">
        <v>36</v>
      </c>
      <c r="AH40" s="2">
        <v>30.3</v>
      </c>
      <c r="AI40" s="2" t="str">
        <f>IF(EHR[[#This Row],[BMI_kg_m2]]&gt;=30,"Obese","Non-Obese")</f>
        <v>Obese</v>
      </c>
      <c r="AJ40" s="2">
        <v>95</v>
      </c>
      <c r="AK40" s="2" t="s">
        <v>50</v>
      </c>
      <c r="AL40" s="2" t="s">
        <v>51</v>
      </c>
      <c r="AM40" s="2" t="s">
        <v>52</v>
      </c>
      <c r="AN40" s="2" t="s">
        <v>53</v>
      </c>
      <c r="AO40" s="2" t="s">
        <v>54</v>
      </c>
    </row>
    <row r="41" spans="1:41" x14ac:dyDescent="0.2">
      <c r="A41" s="7" t="s">
        <v>269</v>
      </c>
      <c r="B41" s="3" t="s">
        <v>274</v>
      </c>
      <c r="C41" s="14">
        <v>45733</v>
      </c>
      <c r="D41" s="3" t="s">
        <v>103</v>
      </c>
      <c r="E41" s="3" t="s">
        <v>167</v>
      </c>
      <c r="F41" s="3" t="s">
        <v>97</v>
      </c>
      <c r="G41" s="3" t="s">
        <v>104</v>
      </c>
      <c r="H41" s="14">
        <v>18485</v>
      </c>
      <c r="I41" s="3">
        <v>75</v>
      </c>
      <c r="J41" s="3" t="str" cm="1">
        <f t="array" ref="J4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41" s="3" t="s">
        <v>1573</v>
      </c>
      <c r="L41" s="3" t="s">
        <v>78</v>
      </c>
      <c r="M41" s="3" t="s">
        <v>45</v>
      </c>
      <c r="N41" s="3" t="s">
        <v>44</v>
      </c>
      <c r="O41" s="3" t="s">
        <v>182</v>
      </c>
      <c r="P41" s="3" t="s">
        <v>126</v>
      </c>
      <c r="Q41" s="3" t="str">
        <f>_xlfn.XLOOKUP(EHR[[#This Row],[Primary_ICD11_Code]],'03_ICD11_Reference'!A:A,'03_ICD11_Reference'!D:D,,0)</f>
        <v>Neurological</v>
      </c>
      <c r="R41" s="3" t="s">
        <v>127</v>
      </c>
      <c r="S41" s="3" t="s">
        <v>69</v>
      </c>
      <c r="T41" s="3" t="s">
        <v>276</v>
      </c>
      <c r="U41" s="3">
        <v>3</v>
      </c>
      <c r="V41" s="3" t="str">
        <f>_xlfn.XLOOKUP(EHR[[#This Row],[Encounter_ID]],'02_Lab_Results'!B:B,'02_Lab_Results'!D:D,,0)</f>
        <v>2951-2</v>
      </c>
      <c r="W41" s="3" t="str">
        <f>_xlfn.XLOOKUP(EHR[[#This Row],[LOINC Code]],'04_LOINC_Reference'!A:A,'04_LOINC_Reference'!F:F,,0)</f>
        <v>Biochemistry</v>
      </c>
      <c r="X41" s="3" t="str">
        <f>_xlfn.XLOOKUP(EHR[[#This Row],[LOINC Code]],'02_Lab_Results'!D:D,'02_Lab_Results'!E:E,,0)</f>
        <v>Serum sodium</v>
      </c>
      <c r="Y41" s="3" t="str">
        <f>_xlfn.XLOOKUP(EHR[[#This Row],[LOINC Code]],'02_Lab_Results'!D:D,'02_Lab_Results'!J:J,,0)</f>
        <v>Low</v>
      </c>
      <c r="Z41" s="3" t="str" cm="1">
        <f t="array" ref="Z41">_xlfn.XLOOKUP(1,(B41=B$2:B$500)*(V$2:V$500="4548-4"),Y$2:Y$500,"Not Tested")</f>
        <v>Not Tested</v>
      </c>
      <c r="AA41" s="3">
        <v>166</v>
      </c>
      <c r="AB41" s="3">
        <v>90</v>
      </c>
      <c r="AC41" s="3" t="str">
        <f>IF(AND(EHR[[#This Row],[BP_Systolic_mmHg]]&lt;140,EHR[[#This Row],[BP_Diastolic_mmHg]]&lt;90),"Controlled",IF(OR(EHR[[#This Row],[BP_Systolic_mmHg]]="Not Recorded",EHR[[#This Row],[BP_Diastolic_mmHg]]="Not Recorded"),"No Reading","Uncontrolled"))</f>
        <v>Uncontrolled</v>
      </c>
      <c r="AD41" s="3" t="str">
        <f>_xlfn.CONCAT(EHR[[#This Row],[BP_Systolic_mmHg]],"/",EHR[[#This Row],[BP_Diastolic_mmHg]])</f>
        <v>166/90</v>
      </c>
      <c r="AE41" s="3">
        <v>110</v>
      </c>
      <c r="AF41" s="3">
        <v>15</v>
      </c>
      <c r="AG41" s="3">
        <v>36.4</v>
      </c>
      <c r="AH41" s="3">
        <v>23.9</v>
      </c>
      <c r="AI41" s="3" t="str">
        <f>IF(EHR[[#This Row],[BMI_kg_m2]]&gt;=30,"Obese","Non-Obese")</f>
        <v>Non-Obese</v>
      </c>
      <c r="AJ41" s="3">
        <v>89</v>
      </c>
      <c r="AK41" s="3" t="s">
        <v>50</v>
      </c>
      <c r="AL41" s="3" t="s">
        <v>51</v>
      </c>
      <c r="AM41" s="3" t="s">
        <v>52</v>
      </c>
      <c r="AN41" s="3" t="s">
        <v>53</v>
      </c>
      <c r="AO41" s="3" t="s">
        <v>54</v>
      </c>
    </row>
    <row r="42" spans="1:41" x14ac:dyDescent="0.2">
      <c r="A42" s="6" t="s">
        <v>269</v>
      </c>
      <c r="B42" s="2" t="s">
        <v>277</v>
      </c>
      <c r="C42" s="13">
        <v>45054</v>
      </c>
      <c r="D42" s="2" t="s">
        <v>103</v>
      </c>
      <c r="E42" s="2" t="s">
        <v>89</v>
      </c>
      <c r="F42" s="2" t="s">
        <v>97</v>
      </c>
      <c r="G42" s="2" t="s">
        <v>123</v>
      </c>
      <c r="H42" s="13">
        <v>18485</v>
      </c>
      <c r="I42" s="2">
        <v>75</v>
      </c>
      <c r="J42" s="2" t="str" cm="1">
        <f t="array" ref="J4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42" s="2" t="s">
        <v>1573</v>
      </c>
      <c r="L42" s="2" t="s">
        <v>66</v>
      </c>
      <c r="M42" s="2" t="s">
        <v>45</v>
      </c>
      <c r="N42" s="2" t="s">
        <v>44</v>
      </c>
      <c r="O42" s="2" t="s">
        <v>182</v>
      </c>
      <c r="P42" s="2" t="s">
        <v>126</v>
      </c>
      <c r="Q42" s="2" t="str">
        <f>_xlfn.XLOOKUP(EHR[[#This Row],[Primary_ICD11_Code]],'03_ICD11_Reference'!A:A,'03_ICD11_Reference'!D:D,,0)</f>
        <v>Neurological</v>
      </c>
      <c r="R42" s="2" t="s">
        <v>127</v>
      </c>
      <c r="S42" s="2" t="s">
        <v>69</v>
      </c>
      <c r="T42" s="2" t="s">
        <v>279</v>
      </c>
      <c r="U42" s="2">
        <v>4</v>
      </c>
      <c r="V42" s="2" t="str">
        <f>_xlfn.XLOOKUP(EHR[[#This Row],[Encounter_ID]],'02_Lab_Results'!B:B,'02_Lab_Results'!D:D,,0)</f>
        <v>14627-4</v>
      </c>
      <c r="W42" s="2" t="str">
        <f>_xlfn.XLOOKUP(EHR[[#This Row],[LOINC Code]],'04_LOINC_Reference'!A:A,'04_LOINC_Reference'!F:F,,0)</f>
        <v>Biochemistry</v>
      </c>
      <c r="X42" s="2" t="str">
        <f>_xlfn.XLOOKUP(EHR[[#This Row],[LOINC Code]],'02_Lab_Results'!D:D,'02_Lab_Results'!E:E,,0)</f>
        <v>eGFR (CKD-EPI)</v>
      </c>
      <c r="Y42" s="2" t="str">
        <f>_xlfn.XLOOKUP(EHR[[#This Row],[LOINC Code]],'02_Lab_Results'!D:D,'02_Lab_Results'!J:J,,0)</f>
        <v>High</v>
      </c>
      <c r="Z42" s="2" t="str" cm="1">
        <f t="array" ref="Z42">_xlfn.XLOOKUP(1,(B42=B$2:B$500)*(V$2:V$500="4548-4"),Y$2:Y$500,"Not Tested")</f>
        <v>Not Tested</v>
      </c>
      <c r="AA42" s="2">
        <v>137</v>
      </c>
      <c r="AB42" s="2">
        <v>73</v>
      </c>
      <c r="AC42" s="2" t="str">
        <f>IF(AND(EHR[[#This Row],[BP_Systolic_mmHg]]&lt;140,EHR[[#This Row],[BP_Diastolic_mmHg]]&lt;90),"Controlled",IF(OR(EHR[[#This Row],[BP_Systolic_mmHg]]="Not Recorded",EHR[[#This Row],[BP_Diastolic_mmHg]]="Not Recorded"),"No Reading","Uncontrolled"))</f>
        <v>Controlled</v>
      </c>
      <c r="AD42" s="2" t="str">
        <f>_xlfn.CONCAT(EHR[[#This Row],[BP_Systolic_mmHg]],"/",EHR[[#This Row],[BP_Diastolic_mmHg]])</f>
        <v>137/73</v>
      </c>
      <c r="AE42" s="2">
        <v>80</v>
      </c>
      <c r="AF42" s="2">
        <v>16</v>
      </c>
      <c r="AG42" s="2">
        <v>37.700000000000003</v>
      </c>
      <c r="AH42" s="2">
        <v>30</v>
      </c>
      <c r="AI42" s="2" t="str">
        <f>IF(EHR[[#This Row],[BMI_kg_m2]]&gt;=30,"Obese","Non-Obese")</f>
        <v>Obese</v>
      </c>
      <c r="AJ42" s="2">
        <v>95</v>
      </c>
      <c r="AK42" s="2" t="s">
        <v>50</v>
      </c>
      <c r="AL42" s="2" t="s">
        <v>51</v>
      </c>
      <c r="AM42" s="2" t="s">
        <v>52</v>
      </c>
      <c r="AN42" s="2" t="s">
        <v>53</v>
      </c>
      <c r="AO42" s="2" t="s">
        <v>54</v>
      </c>
    </row>
    <row r="43" spans="1:41" x14ac:dyDescent="0.2">
      <c r="A43" s="7" t="s">
        <v>280</v>
      </c>
      <c r="B43" s="3" t="s">
        <v>281</v>
      </c>
      <c r="C43" s="14">
        <v>45373</v>
      </c>
      <c r="D43" s="3" t="s">
        <v>95</v>
      </c>
      <c r="E43" s="3" t="s">
        <v>89</v>
      </c>
      <c r="F43" s="3" t="s">
        <v>75</v>
      </c>
      <c r="G43" s="3" t="s">
        <v>98</v>
      </c>
      <c r="H43" s="14">
        <v>37331</v>
      </c>
      <c r="I43" s="3">
        <v>23</v>
      </c>
      <c r="J43" s="3" t="str" cm="1">
        <f t="array" ref="J4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43" s="3" t="s">
        <v>1573</v>
      </c>
      <c r="L43" s="3" t="s">
        <v>110</v>
      </c>
      <c r="M43" s="3" t="s">
        <v>141</v>
      </c>
      <c r="N43" s="3" t="s">
        <v>125</v>
      </c>
      <c r="O43" s="3" t="s">
        <v>182</v>
      </c>
      <c r="P43" s="3" t="s">
        <v>283</v>
      </c>
      <c r="Q43" s="3" t="str">
        <f>_xlfn.XLOOKUP(EHR[[#This Row],[Primary_ICD11_Code]],'03_ICD11_Reference'!A:A,'03_ICD11_Reference'!D:D,,0)</f>
        <v>Multi-system</v>
      </c>
      <c r="R43" s="3" t="s">
        <v>284</v>
      </c>
      <c r="S43" s="3" t="s">
        <v>69</v>
      </c>
      <c r="T43" s="3" t="s">
        <v>285</v>
      </c>
      <c r="U43" s="3">
        <v>3</v>
      </c>
      <c r="V43" s="3" t="str">
        <f>_xlfn.XLOOKUP(EHR[[#This Row],[Encounter_ID]],'02_Lab_Results'!B:B,'02_Lab_Results'!D:D,,0)</f>
        <v>6768-6</v>
      </c>
      <c r="W43" s="3" t="str">
        <f>_xlfn.XLOOKUP(EHR[[#This Row],[LOINC Code]],'04_LOINC_Reference'!A:A,'04_LOINC_Reference'!F:F,,0)</f>
        <v>Biochemistry</v>
      </c>
      <c r="X43" s="3" t="str">
        <f>_xlfn.XLOOKUP(EHR[[#This Row],[LOINC Code]],'02_Lab_Results'!D:D,'02_Lab_Results'!E:E,,0)</f>
        <v>ALP</v>
      </c>
      <c r="Y43" s="3" t="str">
        <f>_xlfn.XLOOKUP(EHR[[#This Row],[LOINC Code]],'02_Lab_Results'!D:D,'02_Lab_Results'!J:J,,0)</f>
        <v>High</v>
      </c>
      <c r="Z43" s="3" t="str" cm="1">
        <f t="array" ref="Z43">_xlfn.XLOOKUP(1,(B43=B$2:B$500)*(V$2:V$500="4548-4"),Y$2:Y$500,"Not Tested")</f>
        <v>Not Tested</v>
      </c>
      <c r="AA43" s="3">
        <v>152</v>
      </c>
      <c r="AB43" s="3">
        <v>85</v>
      </c>
      <c r="AC43" s="3" t="str">
        <f>IF(AND(EHR[[#This Row],[BP_Systolic_mmHg]]&lt;140,EHR[[#This Row],[BP_Diastolic_mmHg]]&lt;90),"Controlled",IF(OR(EHR[[#This Row],[BP_Systolic_mmHg]]="Not Recorded",EHR[[#This Row],[BP_Diastolic_mmHg]]="Not Recorded"),"No Reading","Uncontrolled"))</f>
        <v>Uncontrolled</v>
      </c>
      <c r="AD43" s="3" t="str">
        <f>_xlfn.CONCAT(EHR[[#This Row],[BP_Systolic_mmHg]],"/",EHR[[#This Row],[BP_Diastolic_mmHg]])</f>
        <v>152/85</v>
      </c>
      <c r="AE43" s="3">
        <v>57</v>
      </c>
      <c r="AF43" s="3">
        <v>18</v>
      </c>
      <c r="AG43" s="3">
        <v>37.1</v>
      </c>
      <c r="AH43" s="3">
        <v>36.6</v>
      </c>
      <c r="AI43" s="3" t="str">
        <f>IF(EHR[[#This Row],[BMI_kg_m2]]&gt;=30,"Obese","Non-Obese")</f>
        <v>Obese</v>
      </c>
      <c r="AJ43" s="3">
        <v>98</v>
      </c>
      <c r="AK43" s="3" t="s">
        <v>50</v>
      </c>
      <c r="AL43" s="3" t="s">
        <v>51</v>
      </c>
      <c r="AM43" s="3" t="s">
        <v>52</v>
      </c>
      <c r="AN43" s="3" t="s">
        <v>53</v>
      </c>
      <c r="AO43" s="3" t="s">
        <v>54</v>
      </c>
    </row>
    <row r="44" spans="1:41" x14ac:dyDescent="0.2">
      <c r="A44" s="6" t="s">
        <v>280</v>
      </c>
      <c r="B44" s="2" t="s">
        <v>286</v>
      </c>
      <c r="C44" s="13">
        <v>45249</v>
      </c>
      <c r="D44" s="2" t="s">
        <v>36</v>
      </c>
      <c r="E44" s="2" t="s">
        <v>89</v>
      </c>
      <c r="F44" s="2" t="s">
        <v>219</v>
      </c>
      <c r="G44" s="2" t="s">
        <v>98</v>
      </c>
      <c r="H44" s="13">
        <v>37331</v>
      </c>
      <c r="I44" s="2">
        <v>23</v>
      </c>
      <c r="J44" s="2" t="str" cm="1">
        <f t="array" ref="J4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44" s="2" t="s">
        <v>1573</v>
      </c>
      <c r="L44" s="2" t="s">
        <v>66</v>
      </c>
      <c r="M44" s="2" t="s">
        <v>141</v>
      </c>
      <c r="N44" s="2" t="s">
        <v>125</v>
      </c>
      <c r="O44" s="2" t="s">
        <v>182</v>
      </c>
      <c r="P44" s="2" t="s">
        <v>283</v>
      </c>
      <c r="Q44" s="2" t="str">
        <f>_xlfn.XLOOKUP(EHR[[#This Row],[Primary_ICD11_Code]],'03_ICD11_Reference'!A:A,'03_ICD11_Reference'!D:D,,0)</f>
        <v>Multi-system</v>
      </c>
      <c r="R44" s="2" t="s">
        <v>284</v>
      </c>
      <c r="S44" s="2" t="s">
        <v>69</v>
      </c>
      <c r="T44" s="2" t="s">
        <v>288</v>
      </c>
      <c r="U44" s="2">
        <v>4</v>
      </c>
      <c r="V44" s="2" t="str">
        <f>_xlfn.XLOOKUP(EHR[[#This Row],[Encounter_ID]],'02_Lab_Results'!B:B,'02_Lab_Results'!D:D,,0)</f>
        <v>2093-3</v>
      </c>
      <c r="W44" s="2" t="str">
        <f>_xlfn.XLOOKUP(EHR[[#This Row],[LOINC Code]],'04_LOINC_Reference'!A:A,'04_LOINC_Reference'!F:F,,0)</f>
        <v>Biochemistry</v>
      </c>
      <c r="X44" s="2" t="str">
        <f>_xlfn.XLOOKUP(EHR[[#This Row],[LOINC Code]],'02_Lab_Results'!D:D,'02_Lab_Results'!E:E,,0)</f>
        <v>Total cholesterol</v>
      </c>
      <c r="Y44" s="2" t="str">
        <f>_xlfn.XLOOKUP(EHR[[#This Row],[LOINC Code]],'02_Lab_Results'!D:D,'02_Lab_Results'!J:J,,0)</f>
        <v>Normal</v>
      </c>
      <c r="Z44" s="2" t="str" cm="1">
        <f t="array" ref="Z44">_xlfn.XLOOKUP(1,(B44=B$2:B$500)*(V$2:V$500="4548-4"),Y$2:Y$500,"Not Tested")</f>
        <v>Not Tested</v>
      </c>
      <c r="AA44" s="2">
        <v>118</v>
      </c>
      <c r="AB44" s="2">
        <v>62</v>
      </c>
      <c r="AC44" s="2" t="str">
        <f>IF(AND(EHR[[#This Row],[BP_Systolic_mmHg]]&lt;140,EHR[[#This Row],[BP_Diastolic_mmHg]]&lt;90),"Controlled",IF(OR(EHR[[#This Row],[BP_Systolic_mmHg]]="Not Recorded",EHR[[#This Row],[BP_Diastolic_mmHg]]="Not Recorded"),"No Reading","Uncontrolled"))</f>
        <v>Controlled</v>
      </c>
      <c r="AD44" s="2" t="str">
        <f>_xlfn.CONCAT(EHR[[#This Row],[BP_Systolic_mmHg]],"/",EHR[[#This Row],[BP_Diastolic_mmHg]])</f>
        <v>118/62</v>
      </c>
      <c r="AE44" s="2">
        <v>108</v>
      </c>
      <c r="AF44" s="2">
        <v>26</v>
      </c>
      <c r="AG44" s="2">
        <v>38.6</v>
      </c>
      <c r="AH44" s="2">
        <v>17.5</v>
      </c>
      <c r="AI44" s="2" t="str">
        <f>IF(EHR[[#This Row],[BMI_kg_m2]]&gt;=30,"Obese","Non-Obese")</f>
        <v>Non-Obese</v>
      </c>
      <c r="AJ44" s="2">
        <v>98</v>
      </c>
      <c r="AK44" s="2" t="s">
        <v>50</v>
      </c>
      <c r="AL44" s="2" t="s">
        <v>51</v>
      </c>
      <c r="AM44" s="2" t="s">
        <v>52</v>
      </c>
      <c r="AN44" s="2" t="s">
        <v>53</v>
      </c>
      <c r="AO44" s="2" t="s">
        <v>54</v>
      </c>
    </row>
    <row r="45" spans="1:41" x14ac:dyDescent="0.2">
      <c r="A45" s="7" t="s">
        <v>280</v>
      </c>
      <c r="B45" s="3" t="s">
        <v>289</v>
      </c>
      <c r="C45" s="14">
        <v>44979</v>
      </c>
      <c r="D45" s="3" t="s">
        <v>88</v>
      </c>
      <c r="E45" s="3" t="s">
        <v>37</v>
      </c>
      <c r="F45" s="3" t="s">
        <v>148</v>
      </c>
      <c r="G45" s="3" t="s">
        <v>39</v>
      </c>
      <c r="H45" s="14">
        <v>37331</v>
      </c>
      <c r="I45" s="3">
        <v>23</v>
      </c>
      <c r="J45" s="3" t="str" cm="1">
        <f t="array" ref="J4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45" s="3" t="s">
        <v>1573</v>
      </c>
      <c r="L45" s="3" t="s">
        <v>110</v>
      </c>
      <c r="M45" s="3" t="s">
        <v>141</v>
      </c>
      <c r="N45" s="3" t="s">
        <v>125</v>
      </c>
      <c r="O45" s="3" t="s">
        <v>182</v>
      </c>
      <c r="P45" s="3" t="s">
        <v>283</v>
      </c>
      <c r="Q45" s="3" t="str">
        <f>_xlfn.XLOOKUP(EHR[[#This Row],[Primary_ICD11_Code]],'03_ICD11_Reference'!A:A,'03_ICD11_Reference'!D:D,,0)</f>
        <v>Multi-system</v>
      </c>
      <c r="R45" s="3" t="s">
        <v>284</v>
      </c>
      <c r="S45" s="3" t="s">
        <v>69</v>
      </c>
      <c r="T45" s="3" t="s">
        <v>291</v>
      </c>
      <c r="U45" s="3">
        <v>2</v>
      </c>
      <c r="V45" s="3" t="str">
        <f>_xlfn.XLOOKUP(EHR[[#This Row],[Encounter_ID]],'02_Lab_Results'!B:B,'02_Lab_Results'!D:D,,0)</f>
        <v>2085-9</v>
      </c>
      <c r="W45" s="3" t="str">
        <f>_xlfn.XLOOKUP(EHR[[#This Row],[LOINC Code]],'04_LOINC_Reference'!A:A,'04_LOINC_Reference'!F:F,,0)</f>
        <v>Biochemistry</v>
      </c>
      <c r="X45" s="3" t="str">
        <f>_xlfn.XLOOKUP(EHR[[#This Row],[LOINC Code]],'02_Lab_Results'!D:D,'02_Lab_Results'!E:E,,0)</f>
        <v>HDL cholesterol</v>
      </c>
      <c r="Y45" s="3" t="str">
        <f>_xlfn.XLOOKUP(EHR[[#This Row],[LOINC Code]],'02_Lab_Results'!D:D,'02_Lab_Results'!J:J,,0)</f>
        <v>Normal</v>
      </c>
      <c r="Z45" s="3" t="str" cm="1">
        <f t="array" ref="Z45">_xlfn.XLOOKUP(1,(B45=B$2:B$500)*(V$2:V$500="4548-4"),Y$2:Y$500,"Not Tested")</f>
        <v>Not Tested</v>
      </c>
      <c r="AA45" s="3">
        <v>113</v>
      </c>
      <c r="AB45" s="3">
        <v>88</v>
      </c>
      <c r="AC45" s="3" t="str">
        <f>IF(AND(EHR[[#This Row],[BP_Systolic_mmHg]]&lt;140,EHR[[#This Row],[BP_Diastolic_mmHg]]&lt;90),"Controlled",IF(OR(EHR[[#This Row],[BP_Systolic_mmHg]]="Not Recorded",EHR[[#This Row],[BP_Diastolic_mmHg]]="Not Recorded"),"No Reading","Uncontrolled"))</f>
        <v>Controlled</v>
      </c>
      <c r="AD45" s="3" t="str">
        <f>_xlfn.CONCAT(EHR[[#This Row],[BP_Systolic_mmHg]],"/",EHR[[#This Row],[BP_Diastolic_mmHg]])</f>
        <v>113/88</v>
      </c>
      <c r="AE45" s="3">
        <v>120</v>
      </c>
      <c r="AF45" s="3">
        <v>19</v>
      </c>
      <c r="AG45" s="3">
        <v>38.200000000000003</v>
      </c>
      <c r="AH45" s="3">
        <v>21</v>
      </c>
      <c r="AI45" s="3" t="str">
        <f>IF(EHR[[#This Row],[BMI_kg_m2]]&gt;=30,"Obese","Non-Obese")</f>
        <v>Non-Obese</v>
      </c>
      <c r="AJ45" s="3">
        <v>100</v>
      </c>
      <c r="AK45" s="3" t="s">
        <v>50</v>
      </c>
      <c r="AL45" s="3" t="s">
        <v>51</v>
      </c>
      <c r="AM45" s="3" t="s">
        <v>52</v>
      </c>
      <c r="AN45" s="3" t="s">
        <v>53</v>
      </c>
      <c r="AO45" s="3" t="s">
        <v>54</v>
      </c>
    </row>
    <row r="46" spans="1:41" x14ac:dyDescent="0.2">
      <c r="A46" s="6" t="s">
        <v>280</v>
      </c>
      <c r="B46" s="2" t="s">
        <v>292</v>
      </c>
      <c r="C46" s="13">
        <v>45157</v>
      </c>
      <c r="D46" s="2" t="s">
        <v>103</v>
      </c>
      <c r="E46" s="2" t="s">
        <v>96</v>
      </c>
      <c r="F46" s="2" t="s">
        <v>148</v>
      </c>
      <c r="G46" s="2" t="s">
        <v>115</v>
      </c>
      <c r="H46" s="13">
        <v>37331</v>
      </c>
      <c r="I46" s="2">
        <v>23</v>
      </c>
      <c r="J46" s="2" t="str" cm="1">
        <f t="array" ref="J4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46" s="2" t="s">
        <v>1573</v>
      </c>
      <c r="L46" s="2" t="s">
        <v>78</v>
      </c>
      <c r="M46" s="2" t="s">
        <v>141</v>
      </c>
      <c r="N46" s="2" t="s">
        <v>125</v>
      </c>
      <c r="O46" s="2" t="s">
        <v>182</v>
      </c>
      <c r="P46" s="2" t="s">
        <v>283</v>
      </c>
      <c r="Q46" s="2" t="str">
        <f>_xlfn.XLOOKUP(EHR[[#This Row],[Primary_ICD11_Code]],'03_ICD11_Reference'!A:A,'03_ICD11_Reference'!D:D,,0)</f>
        <v>Multi-system</v>
      </c>
      <c r="R46" s="2" t="s">
        <v>284</v>
      </c>
      <c r="S46" s="2" t="s">
        <v>69</v>
      </c>
      <c r="T46" s="2" t="s">
        <v>294</v>
      </c>
      <c r="U46" s="2">
        <v>3</v>
      </c>
      <c r="V46" s="2" t="str">
        <f>_xlfn.XLOOKUP(EHR[[#This Row],[Encounter_ID]],'02_Lab_Results'!B:B,'02_Lab_Results'!D:D,,0)</f>
        <v>13457-7</v>
      </c>
      <c r="W46" s="2" t="str">
        <f>_xlfn.XLOOKUP(EHR[[#This Row],[LOINC Code]],'04_LOINC_Reference'!A:A,'04_LOINC_Reference'!F:F,,0)</f>
        <v>Biochemistry</v>
      </c>
      <c r="X46" s="2" t="str">
        <f>_xlfn.XLOOKUP(EHR[[#This Row],[LOINC Code]],'02_Lab_Results'!D:D,'02_Lab_Results'!E:E,,0)</f>
        <v>LDL cholesterol</v>
      </c>
      <c r="Y46" s="2" t="str">
        <f>_xlfn.XLOOKUP(EHR[[#This Row],[LOINC Code]],'02_Lab_Results'!D:D,'02_Lab_Results'!J:J,,0)</f>
        <v>High</v>
      </c>
      <c r="Z46" s="2" t="str" cm="1">
        <f t="array" ref="Z46">_xlfn.XLOOKUP(1,(B46=B$2:B$500)*(V$2:V$500="4548-4"),Y$2:Y$500,"Not Tested")</f>
        <v>Not Tested</v>
      </c>
      <c r="AA46" s="2">
        <v>184</v>
      </c>
      <c r="AB46" s="2">
        <v>110</v>
      </c>
      <c r="AC46" s="2" t="str">
        <f>IF(AND(EHR[[#This Row],[BP_Systolic_mmHg]]&lt;140,EHR[[#This Row],[BP_Diastolic_mmHg]]&lt;90),"Controlled",IF(OR(EHR[[#This Row],[BP_Systolic_mmHg]]="Not Recorded",EHR[[#This Row],[BP_Diastolic_mmHg]]="Not Recorded"),"No Reading","Uncontrolled"))</f>
        <v>Uncontrolled</v>
      </c>
      <c r="AD46" s="2" t="str">
        <f>_xlfn.CONCAT(EHR[[#This Row],[BP_Systolic_mmHg]],"/",EHR[[#This Row],[BP_Diastolic_mmHg]])</f>
        <v>184/110</v>
      </c>
      <c r="AE46" s="2">
        <v>85</v>
      </c>
      <c r="AF46" s="2">
        <v>14</v>
      </c>
      <c r="AG46" s="2">
        <v>38.700000000000003</v>
      </c>
      <c r="AH46" s="2">
        <v>31.7</v>
      </c>
      <c r="AI46" s="2" t="str">
        <f>IF(EHR[[#This Row],[BMI_kg_m2]]&gt;=30,"Obese","Non-Obese")</f>
        <v>Obese</v>
      </c>
      <c r="AJ46" s="2">
        <v>96</v>
      </c>
      <c r="AK46" s="2" t="s">
        <v>50</v>
      </c>
      <c r="AL46" s="2" t="s">
        <v>51</v>
      </c>
      <c r="AM46" s="2" t="s">
        <v>52</v>
      </c>
      <c r="AN46" s="2" t="s">
        <v>53</v>
      </c>
      <c r="AO46" s="2" t="s">
        <v>54</v>
      </c>
    </row>
    <row r="47" spans="1:41" x14ac:dyDescent="0.2">
      <c r="A47" s="7" t="s">
        <v>280</v>
      </c>
      <c r="B47" s="3" t="s">
        <v>295</v>
      </c>
      <c r="C47" s="14">
        <v>45122</v>
      </c>
      <c r="D47" s="3" t="s">
        <v>88</v>
      </c>
      <c r="E47" s="3" t="s">
        <v>89</v>
      </c>
      <c r="F47" s="3" t="s">
        <v>219</v>
      </c>
      <c r="G47" s="3" t="s">
        <v>115</v>
      </c>
      <c r="H47" s="14">
        <v>37331</v>
      </c>
      <c r="I47" s="3">
        <v>23</v>
      </c>
      <c r="J47" s="3" t="str" cm="1">
        <f t="array" ref="J4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47" s="3" t="s">
        <v>1573</v>
      </c>
      <c r="L47" s="3" t="s">
        <v>78</v>
      </c>
      <c r="M47" s="3" t="s">
        <v>141</v>
      </c>
      <c r="N47" s="3" t="s">
        <v>125</v>
      </c>
      <c r="O47" s="3" t="s">
        <v>182</v>
      </c>
      <c r="P47" s="3" t="s">
        <v>283</v>
      </c>
      <c r="Q47" s="3" t="str">
        <f>_xlfn.XLOOKUP(EHR[[#This Row],[Primary_ICD11_Code]],'03_ICD11_Reference'!A:A,'03_ICD11_Reference'!D:D,,0)</f>
        <v>Multi-system</v>
      </c>
      <c r="R47" s="3" t="s">
        <v>284</v>
      </c>
      <c r="S47" s="3" t="s">
        <v>69</v>
      </c>
      <c r="T47" s="3" t="s">
        <v>297</v>
      </c>
      <c r="U47" s="3">
        <v>3</v>
      </c>
      <c r="V47" s="3" t="str">
        <f>_xlfn.XLOOKUP(EHR[[#This Row],[Encounter_ID]],'02_Lab_Results'!B:B,'02_Lab_Results'!D:D,,0)</f>
        <v>2160-0</v>
      </c>
      <c r="W47" s="3" t="str">
        <f>_xlfn.XLOOKUP(EHR[[#This Row],[LOINC Code]],'04_LOINC_Reference'!A:A,'04_LOINC_Reference'!F:F,,0)</f>
        <v>Biochemistry</v>
      </c>
      <c r="X47" s="3" t="str">
        <f>_xlfn.XLOOKUP(EHR[[#This Row],[LOINC Code]],'02_Lab_Results'!D:D,'02_Lab_Results'!E:E,,0)</f>
        <v>Serum creatinine</v>
      </c>
      <c r="Y47" s="3" t="str">
        <f>_xlfn.XLOOKUP(EHR[[#This Row],[LOINC Code]],'02_Lab_Results'!D:D,'02_Lab_Results'!J:J,,0)</f>
        <v>Normal</v>
      </c>
      <c r="Z47" s="3" t="str" cm="1">
        <f t="array" ref="Z47">_xlfn.XLOOKUP(1,(B47=B$2:B$500)*(V$2:V$500="4548-4"),Y$2:Y$500,"Not Tested")</f>
        <v>Not Tested</v>
      </c>
      <c r="AA47" s="3">
        <v>178</v>
      </c>
      <c r="AB47" s="3">
        <v>85</v>
      </c>
      <c r="AC47" s="3" t="str">
        <f>IF(AND(EHR[[#This Row],[BP_Systolic_mmHg]]&lt;140,EHR[[#This Row],[BP_Diastolic_mmHg]]&lt;90),"Controlled",IF(OR(EHR[[#This Row],[BP_Systolic_mmHg]]="Not Recorded",EHR[[#This Row],[BP_Diastolic_mmHg]]="Not Recorded"),"No Reading","Uncontrolled"))</f>
        <v>Uncontrolled</v>
      </c>
      <c r="AD47" s="3" t="str">
        <f>_xlfn.CONCAT(EHR[[#This Row],[BP_Systolic_mmHg]],"/",EHR[[#This Row],[BP_Diastolic_mmHg]])</f>
        <v>178/85</v>
      </c>
      <c r="AE47" s="3">
        <v>116</v>
      </c>
      <c r="AF47" s="3">
        <v>26</v>
      </c>
      <c r="AG47" s="3">
        <v>36.9</v>
      </c>
      <c r="AH47" s="3">
        <v>40</v>
      </c>
      <c r="AI47" s="3" t="str">
        <f>IF(EHR[[#This Row],[BMI_kg_m2]]&gt;=30,"Obese","Non-Obese")</f>
        <v>Obese</v>
      </c>
      <c r="AJ47" s="3">
        <v>92</v>
      </c>
      <c r="AK47" s="3" t="s">
        <v>50</v>
      </c>
      <c r="AL47" s="3" t="s">
        <v>51</v>
      </c>
      <c r="AM47" s="3" t="s">
        <v>52</v>
      </c>
      <c r="AN47" s="3" t="s">
        <v>53</v>
      </c>
      <c r="AO47" s="3" t="s">
        <v>54</v>
      </c>
    </row>
    <row r="48" spans="1:41" x14ac:dyDescent="0.2">
      <c r="A48" s="6" t="s">
        <v>280</v>
      </c>
      <c r="B48" s="2" t="s">
        <v>298</v>
      </c>
      <c r="C48" s="13">
        <v>45478</v>
      </c>
      <c r="D48" s="2" t="s">
        <v>103</v>
      </c>
      <c r="E48" s="2" t="s">
        <v>96</v>
      </c>
      <c r="F48" s="2" t="s">
        <v>75</v>
      </c>
      <c r="G48" s="2" t="s">
        <v>76</v>
      </c>
      <c r="H48" s="13">
        <v>37331</v>
      </c>
      <c r="I48" s="2">
        <v>23</v>
      </c>
      <c r="J48" s="2" t="str" cm="1">
        <f t="array" ref="J4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48" s="2" t="s">
        <v>1573</v>
      </c>
      <c r="L48" s="2" t="s">
        <v>116</v>
      </c>
      <c r="M48" s="2" t="s">
        <v>141</v>
      </c>
      <c r="N48" s="2" t="s">
        <v>125</v>
      </c>
      <c r="O48" s="2" t="s">
        <v>182</v>
      </c>
      <c r="P48" s="2" t="s">
        <v>283</v>
      </c>
      <c r="Q48" s="2" t="str">
        <f>_xlfn.XLOOKUP(EHR[[#This Row],[Primary_ICD11_Code]],'03_ICD11_Reference'!A:A,'03_ICD11_Reference'!D:D,,0)</f>
        <v>Multi-system</v>
      </c>
      <c r="R48" s="2" t="s">
        <v>284</v>
      </c>
      <c r="S48" s="2" t="s">
        <v>69</v>
      </c>
      <c r="T48" s="2" t="s">
        <v>300</v>
      </c>
      <c r="U48" s="2">
        <v>2</v>
      </c>
      <c r="V48" s="2" t="str">
        <f>_xlfn.XLOOKUP(EHR[[#This Row],[Encounter_ID]],'02_Lab_Results'!B:B,'02_Lab_Results'!D:D,,0)</f>
        <v>2823-3</v>
      </c>
      <c r="W48" s="2" t="str">
        <f>_xlfn.XLOOKUP(EHR[[#This Row],[LOINC Code]],'04_LOINC_Reference'!A:A,'04_LOINC_Reference'!F:F,,0)</f>
        <v>Biochemistry</v>
      </c>
      <c r="X48" s="2" t="str">
        <f>_xlfn.XLOOKUP(EHR[[#This Row],[LOINC Code]],'02_Lab_Results'!D:D,'02_Lab_Results'!E:E,,0)</f>
        <v>Serum potassium</v>
      </c>
      <c r="Y48" s="2" t="str">
        <f>_xlfn.XLOOKUP(EHR[[#This Row],[LOINC Code]],'02_Lab_Results'!D:D,'02_Lab_Results'!J:J,,0)</f>
        <v>Normal</v>
      </c>
      <c r="Z48" s="2" t="str" cm="1">
        <f t="array" ref="Z48">_xlfn.XLOOKUP(1,(B48=B$2:B$500)*(V$2:V$500="4548-4"),Y$2:Y$500,"Not Tested")</f>
        <v>Not Tested</v>
      </c>
      <c r="AA48" s="2">
        <v>139</v>
      </c>
      <c r="AB48" s="2">
        <v>75</v>
      </c>
      <c r="AC48" s="2" t="str">
        <f>IF(AND(EHR[[#This Row],[BP_Systolic_mmHg]]&lt;140,EHR[[#This Row],[BP_Diastolic_mmHg]]&lt;90),"Controlled",IF(OR(EHR[[#This Row],[BP_Systolic_mmHg]]="Not Recorded",EHR[[#This Row],[BP_Diastolic_mmHg]]="Not Recorded"),"No Reading","Uncontrolled"))</f>
        <v>Controlled</v>
      </c>
      <c r="AD48" s="2" t="str">
        <f>_xlfn.CONCAT(EHR[[#This Row],[BP_Systolic_mmHg]],"/",EHR[[#This Row],[BP_Diastolic_mmHg]])</f>
        <v>139/75</v>
      </c>
      <c r="AE48" s="2">
        <v>107</v>
      </c>
      <c r="AF48" s="2">
        <v>18</v>
      </c>
      <c r="AG48" s="2">
        <v>39</v>
      </c>
      <c r="AH48" s="2">
        <v>42.3</v>
      </c>
      <c r="AI48" s="2" t="str">
        <f>IF(EHR[[#This Row],[BMI_kg_m2]]&gt;=30,"Obese","Non-Obese")</f>
        <v>Obese</v>
      </c>
      <c r="AJ48" s="2">
        <v>100</v>
      </c>
      <c r="AK48" s="2" t="s">
        <v>50</v>
      </c>
      <c r="AL48" s="2" t="s">
        <v>51</v>
      </c>
      <c r="AM48" s="2" t="s">
        <v>52</v>
      </c>
      <c r="AN48" s="2" t="s">
        <v>53</v>
      </c>
      <c r="AO48" s="2" t="s">
        <v>54</v>
      </c>
    </row>
    <row r="49" spans="1:41" x14ac:dyDescent="0.2">
      <c r="A49" s="7" t="s">
        <v>301</v>
      </c>
      <c r="B49" s="3" t="s">
        <v>302</v>
      </c>
      <c r="C49" s="14">
        <v>45377</v>
      </c>
      <c r="D49" s="3" t="s">
        <v>36</v>
      </c>
      <c r="E49" s="3" t="s">
        <v>89</v>
      </c>
      <c r="F49" s="3" t="s">
        <v>132</v>
      </c>
      <c r="G49" s="3" t="s">
        <v>76</v>
      </c>
      <c r="H49" s="14">
        <v>21753</v>
      </c>
      <c r="I49" s="3">
        <v>66</v>
      </c>
      <c r="J49" s="3" t="str" cm="1">
        <f t="array" ref="J4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49" s="3" t="s">
        <v>1573</v>
      </c>
      <c r="L49" s="3" t="s">
        <v>116</v>
      </c>
      <c r="M49" s="3" t="s">
        <v>45</v>
      </c>
      <c r="N49" s="3" t="s">
        <v>80</v>
      </c>
      <c r="O49" s="3" t="s">
        <v>81</v>
      </c>
      <c r="P49" s="3" t="s">
        <v>305</v>
      </c>
      <c r="Q49" s="3" t="str">
        <f>_xlfn.XLOOKUP(EHR[[#This Row],[Primary_ICD11_Code]],'03_ICD11_Reference'!A:A,'03_ICD11_Reference'!D:D,,0)</f>
        <v>Infectious</v>
      </c>
      <c r="R49" s="3" t="s">
        <v>306</v>
      </c>
      <c r="S49" s="3" t="s">
        <v>48</v>
      </c>
      <c r="T49" s="3" t="s">
        <v>307</v>
      </c>
      <c r="U49" s="3">
        <v>3</v>
      </c>
      <c r="V49" s="3" t="str">
        <f>_xlfn.XLOOKUP(EHR[[#This Row],[Encounter_ID]],'02_Lab_Results'!B:B,'02_Lab_Results'!D:D,,0)</f>
        <v>14627-4</v>
      </c>
      <c r="W49" s="3" t="str">
        <f>_xlfn.XLOOKUP(EHR[[#This Row],[LOINC Code]],'04_LOINC_Reference'!A:A,'04_LOINC_Reference'!F:F,,0)</f>
        <v>Biochemistry</v>
      </c>
      <c r="X49" s="3" t="str">
        <f>_xlfn.XLOOKUP(EHR[[#This Row],[LOINC Code]],'02_Lab_Results'!D:D,'02_Lab_Results'!E:E,,0)</f>
        <v>eGFR (CKD-EPI)</v>
      </c>
      <c r="Y49" s="3" t="str">
        <f>_xlfn.XLOOKUP(EHR[[#This Row],[LOINC Code]],'02_Lab_Results'!D:D,'02_Lab_Results'!J:J,,0)</f>
        <v>High</v>
      </c>
      <c r="Z49" s="3" t="str" cm="1">
        <f t="array" ref="Z49">_xlfn.XLOOKUP(1,(B49=B$2:B$500)*(V$2:V$500="4548-4"),Y$2:Y$500,"Not Tested")</f>
        <v>Not Tested</v>
      </c>
      <c r="AA49" s="3">
        <v>104</v>
      </c>
      <c r="AB49" s="3">
        <v>110</v>
      </c>
      <c r="AC49" s="3" t="str">
        <f>IF(AND(EHR[[#This Row],[BP_Systolic_mmHg]]&lt;140,EHR[[#This Row],[BP_Diastolic_mmHg]]&lt;90),"Controlled",IF(OR(EHR[[#This Row],[BP_Systolic_mmHg]]="Not Recorded",EHR[[#This Row],[BP_Diastolic_mmHg]]="Not Recorded"),"No Reading","Uncontrolled"))</f>
        <v>Uncontrolled</v>
      </c>
      <c r="AD49" s="3" t="str">
        <f>_xlfn.CONCAT(EHR[[#This Row],[BP_Systolic_mmHg]],"/",EHR[[#This Row],[BP_Diastolic_mmHg]])</f>
        <v>104/110</v>
      </c>
      <c r="AE49" s="3">
        <v>51</v>
      </c>
      <c r="AF49" s="3">
        <v>14</v>
      </c>
      <c r="AG49" s="3">
        <v>38.799999999999997</v>
      </c>
      <c r="AH49" s="3">
        <v>45.1</v>
      </c>
      <c r="AI49" s="3" t="str">
        <f>IF(EHR[[#This Row],[BMI_kg_m2]]&gt;=30,"Obese","Non-Obese")</f>
        <v>Obese</v>
      </c>
      <c r="AJ49" s="3">
        <v>88</v>
      </c>
      <c r="AK49" s="3" t="s">
        <v>50</v>
      </c>
      <c r="AL49" s="3" t="s">
        <v>51</v>
      </c>
      <c r="AM49" s="3" t="s">
        <v>52</v>
      </c>
      <c r="AN49" s="3" t="s">
        <v>53</v>
      </c>
      <c r="AO49" s="3" t="s">
        <v>54</v>
      </c>
    </row>
    <row r="50" spans="1:41" x14ac:dyDescent="0.2">
      <c r="A50" s="6" t="s">
        <v>301</v>
      </c>
      <c r="B50" s="2" t="s">
        <v>308</v>
      </c>
      <c r="C50" s="13">
        <v>45662</v>
      </c>
      <c r="D50" s="2" t="s">
        <v>60</v>
      </c>
      <c r="E50" s="2" t="s">
        <v>37</v>
      </c>
      <c r="F50" s="2" t="s">
        <v>219</v>
      </c>
      <c r="G50" s="2" t="s">
        <v>115</v>
      </c>
      <c r="H50" s="13">
        <v>21753</v>
      </c>
      <c r="I50" s="2">
        <v>66</v>
      </c>
      <c r="J50" s="2" t="str" cm="1">
        <f t="array" ref="J5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50" s="2" t="s">
        <v>1573</v>
      </c>
      <c r="L50" s="2" t="s">
        <v>116</v>
      </c>
      <c r="M50" s="2" t="s">
        <v>45</v>
      </c>
      <c r="N50" s="2" t="s">
        <v>80</v>
      </c>
      <c r="O50" s="2" t="s">
        <v>81</v>
      </c>
      <c r="P50" s="2" t="s">
        <v>305</v>
      </c>
      <c r="Q50" s="2" t="str">
        <f>_xlfn.XLOOKUP(EHR[[#This Row],[Primary_ICD11_Code]],'03_ICD11_Reference'!A:A,'03_ICD11_Reference'!D:D,,0)</f>
        <v>Infectious</v>
      </c>
      <c r="R50" s="2" t="s">
        <v>306</v>
      </c>
      <c r="S50" s="2" t="s">
        <v>48</v>
      </c>
      <c r="T50" s="2" t="s">
        <v>310</v>
      </c>
      <c r="U50" s="2">
        <v>2</v>
      </c>
      <c r="V50" s="2" t="str">
        <f>_xlfn.XLOOKUP(EHR[[#This Row],[Encounter_ID]],'02_Lab_Results'!B:B,'02_Lab_Results'!D:D,,0)</f>
        <v>2093-3</v>
      </c>
      <c r="W50" s="2" t="str">
        <f>_xlfn.XLOOKUP(EHR[[#This Row],[LOINC Code]],'04_LOINC_Reference'!A:A,'04_LOINC_Reference'!F:F,,0)</f>
        <v>Biochemistry</v>
      </c>
      <c r="X50" s="2" t="str">
        <f>_xlfn.XLOOKUP(EHR[[#This Row],[LOINC Code]],'02_Lab_Results'!D:D,'02_Lab_Results'!E:E,,0)</f>
        <v>Total cholesterol</v>
      </c>
      <c r="Y50" s="2" t="str">
        <f>_xlfn.XLOOKUP(EHR[[#This Row],[LOINC Code]],'02_Lab_Results'!D:D,'02_Lab_Results'!J:J,,0)</f>
        <v>Normal</v>
      </c>
      <c r="Z50" s="2" t="str" cm="1">
        <f t="array" ref="Z50">_xlfn.XLOOKUP(1,(B50=B$2:B$500)*(V$2:V$500="4548-4"),Y$2:Y$500,"Not Tested")</f>
        <v>Not Tested</v>
      </c>
      <c r="AA50" s="2">
        <v>175</v>
      </c>
      <c r="AB50" s="2">
        <v>84</v>
      </c>
      <c r="AC50" s="2" t="str">
        <f>IF(AND(EHR[[#This Row],[BP_Systolic_mmHg]]&lt;140,EHR[[#This Row],[BP_Diastolic_mmHg]]&lt;90),"Controlled",IF(OR(EHR[[#This Row],[BP_Systolic_mmHg]]="Not Recorded",EHR[[#This Row],[BP_Diastolic_mmHg]]="Not Recorded"),"No Reading","Uncontrolled"))</f>
        <v>Uncontrolled</v>
      </c>
      <c r="AD50" s="2" t="str">
        <f>_xlfn.CONCAT(EHR[[#This Row],[BP_Systolic_mmHg]],"/",EHR[[#This Row],[BP_Diastolic_mmHg]])</f>
        <v>175/84</v>
      </c>
      <c r="AE50" s="2">
        <v>91</v>
      </c>
      <c r="AF50" s="2">
        <v>22</v>
      </c>
      <c r="AG50" s="2">
        <v>36.799999999999997</v>
      </c>
      <c r="AH50" s="2">
        <v>37</v>
      </c>
      <c r="AI50" s="2" t="str">
        <f>IF(EHR[[#This Row],[BMI_kg_m2]]&gt;=30,"Obese","Non-Obese")</f>
        <v>Obese</v>
      </c>
      <c r="AJ50" s="2">
        <v>91</v>
      </c>
      <c r="AK50" s="2" t="s">
        <v>50</v>
      </c>
      <c r="AL50" s="2" t="s">
        <v>51</v>
      </c>
      <c r="AM50" s="2" t="s">
        <v>52</v>
      </c>
      <c r="AN50" s="2" t="s">
        <v>53</v>
      </c>
      <c r="AO50" s="2" t="s">
        <v>54</v>
      </c>
    </row>
    <row r="51" spans="1:41" x14ac:dyDescent="0.2">
      <c r="A51" s="7" t="s">
        <v>311</v>
      </c>
      <c r="B51" s="3" t="s">
        <v>312</v>
      </c>
      <c r="C51" s="15">
        <f>EHR[[#This Row],[Patient_DOB]]+(EHR[[#This Row],[Age_at_Encounter]]*365)</f>
        <v>45662</v>
      </c>
      <c r="D51" s="3" t="s">
        <v>36</v>
      </c>
      <c r="E51" s="3" t="s">
        <v>96</v>
      </c>
      <c r="F51" s="3" t="s">
        <v>62</v>
      </c>
      <c r="G51" s="3" t="s">
        <v>123</v>
      </c>
      <c r="H51" s="14">
        <v>37997</v>
      </c>
      <c r="I51" s="4">
        <v>21</v>
      </c>
      <c r="J51" s="4" t="str" cm="1">
        <f t="array" ref="J5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51" s="3" t="s">
        <v>1573</v>
      </c>
      <c r="L51" s="3" t="s">
        <v>66</v>
      </c>
      <c r="M51" s="3" t="s">
        <v>79</v>
      </c>
      <c r="N51" s="3" t="s">
        <v>125</v>
      </c>
      <c r="O51" s="3" t="s">
        <v>1574</v>
      </c>
      <c r="P51" s="3" t="s">
        <v>315</v>
      </c>
      <c r="Q51" s="3" t="str">
        <f>_xlfn.XLOOKUP(EHR[[#This Row],[Primary_ICD11_Code]],'03_ICD11_Reference'!A:A,'03_ICD11_Reference'!D:D,,0)</f>
        <v>Endocrine</v>
      </c>
      <c r="R51" s="3" t="s">
        <v>316</v>
      </c>
      <c r="S51" s="3" t="s">
        <v>69</v>
      </c>
      <c r="T51" s="3" t="s">
        <v>317</v>
      </c>
      <c r="U51" s="3">
        <v>4</v>
      </c>
      <c r="V51" s="3" t="str">
        <f>_xlfn.XLOOKUP(EHR[[#This Row],[Encounter_ID]],'02_Lab_Results'!B:B,'02_Lab_Results'!D:D,,0)</f>
        <v>6690-2</v>
      </c>
      <c r="W51" s="3" t="str">
        <f>_xlfn.XLOOKUP(EHR[[#This Row],[LOINC Code]],'04_LOINC_Reference'!A:A,'04_LOINC_Reference'!F:F,,0)</f>
        <v>Biochemistry</v>
      </c>
      <c r="X51" s="3" t="str">
        <f>_xlfn.XLOOKUP(EHR[[#This Row],[LOINC Code]],'02_Lab_Results'!D:D,'02_Lab_Results'!E:E,,0)</f>
        <v>WBC count</v>
      </c>
      <c r="Y51" s="3" t="str">
        <f>_xlfn.XLOOKUP(EHR[[#This Row],[LOINC Code]],'02_Lab_Results'!D:D,'02_Lab_Results'!J:J,,0)</f>
        <v>Low</v>
      </c>
      <c r="Z51" s="3" t="str" cm="1">
        <f t="array" ref="Z51">_xlfn.XLOOKUP(1,(B51=B$2:B$500)*(V$2:V$500="4548-4"),Y$2:Y$500,"Not Tested")</f>
        <v>Not Tested</v>
      </c>
      <c r="AA51" s="4">
        <v>132</v>
      </c>
      <c r="AB51" s="4" t="s">
        <v>1570</v>
      </c>
      <c r="AC51" s="4" t="str">
        <f>IF(AND(EHR[[#This Row],[BP_Systolic_mmHg]]&lt;140,EHR[[#This Row],[BP_Diastolic_mmHg]]&lt;90),"Controlled",IF(OR(EHR[[#This Row],[BP_Systolic_mmHg]]="Not Recorded",EHR[[#This Row],[BP_Diastolic_mmHg]]="Not Recorded"),"No Reading","Uncontrolled"))</f>
        <v>No Reading</v>
      </c>
      <c r="AD51" s="4" t="str">
        <f>_xlfn.CONCAT(EHR[[#This Row],[BP_Systolic_mmHg]],"/",EHR[[#This Row],[BP_Diastolic_mmHg]])</f>
        <v>132/Not Recorded</v>
      </c>
      <c r="AE51" s="3">
        <v>64</v>
      </c>
      <c r="AF51" s="3">
        <v>15</v>
      </c>
      <c r="AG51" s="3">
        <v>38</v>
      </c>
      <c r="AH51" s="4">
        <v>28.4</v>
      </c>
      <c r="AI51" s="4" t="str">
        <f>IF(EHR[[#This Row],[BMI_kg_m2]]&gt;=30,"Obese","Non-Obese")</f>
        <v>Non-Obese</v>
      </c>
      <c r="AJ51" s="3">
        <v>96</v>
      </c>
      <c r="AK51" s="3" t="s">
        <v>50</v>
      </c>
      <c r="AL51" s="3" t="s">
        <v>51</v>
      </c>
      <c r="AM51" s="3" t="s">
        <v>52</v>
      </c>
      <c r="AN51" s="3" t="s">
        <v>53</v>
      </c>
      <c r="AO51" s="3" t="s">
        <v>54</v>
      </c>
    </row>
    <row r="52" spans="1:41" x14ac:dyDescent="0.2">
      <c r="A52" s="6" t="s">
        <v>311</v>
      </c>
      <c r="B52" s="2" t="s">
        <v>319</v>
      </c>
      <c r="C52" s="15">
        <f>EHR[[#This Row],[Patient_DOB]]+(EHR[[#This Row],[Age_at_Encounter]]*365)</f>
        <v>45662</v>
      </c>
      <c r="D52" s="2" t="s">
        <v>95</v>
      </c>
      <c r="E52" s="2" t="s">
        <v>89</v>
      </c>
      <c r="F52" s="2" t="s">
        <v>109</v>
      </c>
      <c r="G52" s="2" t="s">
        <v>104</v>
      </c>
      <c r="H52" s="13">
        <v>37997</v>
      </c>
      <c r="I52" s="4">
        <v>21</v>
      </c>
      <c r="J52" s="4" t="str" cm="1">
        <f t="array" ref="J5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52" s="2" t="s">
        <v>1573</v>
      </c>
      <c r="L52" s="2" t="s">
        <v>116</v>
      </c>
      <c r="M52" s="2" t="s">
        <v>79</v>
      </c>
      <c r="N52" s="2" t="s">
        <v>125</v>
      </c>
      <c r="O52" s="2" t="s">
        <v>1574</v>
      </c>
      <c r="P52" s="2" t="s">
        <v>315</v>
      </c>
      <c r="Q52" s="2" t="str">
        <f>_xlfn.XLOOKUP(EHR[[#This Row],[Primary_ICD11_Code]],'03_ICD11_Reference'!A:A,'03_ICD11_Reference'!D:D,,0)</f>
        <v>Endocrine</v>
      </c>
      <c r="R52" s="2" t="s">
        <v>316</v>
      </c>
      <c r="S52" s="2" t="s">
        <v>69</v>
      </c>
      <c r="T52" s="2" t="s">
        <v>320</v>
      </c>
      <c r="U52" s="2">
        <v>1</v>
      </c>
      <c r="V52" s="2" t="str">
        <f>_xlfn.XLOOKUP(EHR[[#This Row],[Encounter_ID]],'02_Lab_Results'!B:B,'02_Lab_Results'!D:D,,0)</f>
        <v>2093-3</v>
      </c>
      <c r="W52" s="2" t="str">
        <f>_xlfn.XLOOKUP(EHR[[#This Row],[LOINC Code]],'04_LOINC_Reference'!A:A,'04_LOINC_Reference'!F:F,,0)</f>
        <v>Biochemistry</v>
      </c>
      <c r="X52" s="2" t="str">
        <f>_xlfn.XLOOKUP(EHR[[#This Row],[LOINC Code]],'02_Lab_Results'!D:D,'02_Lab_Results'!E:E,,0)</f>
        <v>Total cholesterol</v>
      </c>
      <c r="Y52" s="2" t="str">
        <f>_xlfn.XLOOKUP(EHR[[#This Row],[LOINC Code]],'02_Lab_Results'!D:D,'02_Lab_Results'!J:J,,0)</f>
        <v>Normal</v>
      </c>
      <c r="Z52" s="2" t="str" cm="1">
        <f t="array" ref="Z52">_xlfn.XLOOKUP(1,(B52=B$2:B$500)*(V$2:V$500="4548-4"),Y$2:Y$500,"Not Tested")</f>
        <v>Not Tested</v>
      </c>
      <c r="AA52" s="4" t="s">
        <v>1570</v>
      </c>
      <c r="AB52" s="4">
        <v>113</v>
      </c>
      <c r="AC52" s="4" t="str">
        <f>IF(AND(EHR[[#This Row],[BP_Systolic_mmHg]]&lt;140,EHR[[#This Row],[BP_Diastolic_mmHg]]&lt;90),"Controlled",IF(OR(EHR[[#This Row],[BP_Systolic_mmHg]]="Not Recorded",EHR[[#This Row],[BP_Diastolic_mmHg]]="Not Recorded"),"No Reading","Uncontrolled"))</f>
        <v>No Reading</v>
      </c>
      <c r="AD52" s="4" t="str">
        <f>_xlfn.CONCAT(EHR[[#This Row],[BP_Systolic_mmHg]],"/",EHR[[#This Row],[BP_Diastolic_mmHg]])</f>
        <v>Not Recorded/113</v>
      </c>
      <c r="AE52" s="2">
        <v>102</v>
      </c>
      <c r="AF52" s="2">
        <v>19</v>
      </c>
      <c r="AG52" s="2">
        <v>37</v>
      </c>
      <c r="AH52" s="4">
        <v>46</v>
      </c>
      <c r="AI52" s="4" t="str">
        <f>IF(EHR[[#This Row],[BMI_kg_m2]]&gt;=30,"Obese","Non-Obese")</f>
        <v>Obese</v>
      </c>
      <c r="AJ52" s="2">
        <v>98</v>
      </c>
      <c r="AK52" s="2" t="s">
        <v>50</v>
      </c>
      <c r="AL52" s="2" t="s">
        <v>51</v>
      </c>
      <c r="AM52" s="2" t="s">
        <v>52</v>
      </c>
      <c r="AN52" s="2" t="s">
        <v>53</v>
      </c>
      <c r="AO52" s="2" t="s">
        <v>54</v>
      </c>
    </row>
    <row r="53" spans="1:41" x14ac:dyDescent="0.2">
      <c r="A53" s="7" t="s">
        <v>311</v>
      </c>
      <c r="B53" s="3" t="s">
        <v>321</v>
      </c>
      <c r="C53" s="15">
        <f>EHR[[#This Row],[Patient_DOB]]+(EHR[[#This Row],[Age_at_Encounter]]*365)</f>
        <v>45662</v>
      </c>
      <c r="D53" s="3" t="s">
        <v>103</v>
      </c>
      <c r="E53" s="3" t="s">
        <v>61</v>
      </c>
      <c r="F53" s="3" t="s">
        <v>97</v>
      </c>
      <c r="G53" s="3" t="s">
        <v>104</v>
      </c>
      <c r="H53" s="14">
        <v>37997</v>
      </c>
      <c r="I53" s="4">
        <v>21</v>
      </c>
      <c r="J53" s="4" t="str" cm="1">
        <f t="array" ref="J5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53" s="3" t="s">
        <v>1573</v>
      </c>
      <c r="L53" s="3" t="s">
        <v>116</v>
      </c>
      <c r="M53" s="3" t="s">
        <v>79</v>
      </c>
      <c r="N53" s="3" t="s">
        <v>125</v>
      </c>
      <c r="O53" s="3" t="s">
        <v>1574</v>
      </c>
      <c r="P53" s="3" t="s">
        <v>315</v>
      </c>
      <c r="Q53" s="3" t="str">
        <f>_xlfn.XLOOKUP(EHR[[#This Row],[Primary_ICD11_Code]],'03_ICD11_Reference'!A:A,'03_ICD11_Reference'!D:D,,0)</f>
        <v>Endocrine</v>
      </c>
      <c r="R53" s="3" t="s">
        <v>316</v>
      </c>
      <c r="S53" s="3" t="s">
        <v>69</v>
      </c>
      <c r="T53" s="3" t="s">
        <v>322</v>
      </c>
      <c r="U53" s="3">
        <v>2</v>
      </c>
      <c r="V53" s="3" t="str">
        <f>_xlfn.XLOOKUP(EHR[[#This Row],[Encounter_ID]],'02_Lab_Results'!B:B,'02_Lab_Results'!D:D,,0)</f>
        <v>2823-3</v>
      </c>
      <c r="W53" s="3" t="str">
        <f>_xlfn.XLOOKUP(EHR[[#This Row],[LOINC Code]],'04_LOINC_Reference'!A:A,'04_LOINC_Reference'!F:F,,0)</f>
        <v>Biochemistry</v>
      </c>
      <c r="X53" s="3" t="str">
        <f>_xlfn.XLOOKUP(EHR[[#This Row],[LOINC Code]],'02_Lab_Results'!D:D,'02_Lab_Results'!E:E,,0)</f>
        <v>Serum potassium</v>
      </c>
      <c r="Y53" s="3" t="str">
        <f>_xlfn.XLOOKUP(EHR[[#This Row],[LOINC Code]],'02_Lab_Results'!D:D,'02_Lab_Results'!J:J,,0)</f>
        <v>Normal</v>
      </c>
      <c r="Z53" s="3" t="str" cm="1">
        <f t="array" ref="Z53">_xlfn.XLOOKUP(1,(B53=B$2:B$500)*(V$2:V$500="4548-4"),Y$2:Y$500,"Not Tested")</f>
        <v>Not Tested</v>
      </c>
      <c r="AA53" s="4">
        <v>165</v>
      </c>
      <c r="AB53" s="4">
        <v>113</v>
      </c>
      <c r="AC53" s="4" t="str">
        <f>IF(AND(EHR[[#This Row],[BP_Systolic_mmHg]]&lt;140,EHR[[#This Row],[BP_Diastolic_mmHg]]&lt;90),"Controlled",IF(OR(EHR[[#This Row],[BP_Systolic_mmHg]]="Not Recorded",EHR[[#This Row],[BP_Diastolic_mmHg]]="Not Recorded"),"No Reading","Uncontrolled"))</f>
        <v>Uncontrolled</v>
      </c>
      <c r="AD53" s="4" t="str">
        <f>_xlfn.CONCAT(EHR[[#This Row],[BP_Systolic_mmHg]],"/",EHR[[#This Row],[BP_Diastolic_mmHg]])</f>
        <v>165/113</v>
      </c>
      <c r="AE53" s="3">
        <v>118</v>
      </c>
      <c r="AF53" s="3">
        <v>24</v>
      </c>
      <c r="AG53" s="3">
        <v>38.700000000000003</v>
      </c>
      <c r="AH53" s="4" t="s">
        <v>1576</v>
      </c>
      <c r="AI53" s="4" t="str">
        <f>IF(EHR[[#This Row],[BMI_kg_m2]]&gt;=30,"Obese","Non-Obese")</f>
        <v>Obese</v>
      </c>
      <c r="AJ53" s="3">
        <v>97</v>
      </c>
      <c r="AK53" s="3" t="s">
        <v>50</v>
      </c>
      <c r="AL53" s="3" t="s">
        <v>51</v>
      </c>
      <c r="AM53" s="3" t="s">
        <v>52</v>
      </c>
      <c r="AN53" s="3" t="s">
        <v>53</v>
      </c>
      <c r="AO53" s="3" t="s">
        <v>54</v>
      </c>
    </row>
    <row r="54" spans="1:41" x14ac:dyDescent="0.2">
      <c r="A54" s="6" t="s">
        <v>324</v>
      </c>
      <c r="B54" s="2" t="s">
        <v>325</v>
      </c>
      <c r="C54" s="13">
        <v>45352</v>
      </c>
      <c r="D54" s="2" t="s">
        <v>60</v>
      </c>
      <c r="E54" s="2" t="s">
        <v>96</v>
      </c>
      <c r="F54" s="2" t="s">
        <v>122</v>
      </c>
      <c r="G54" s="2" t="s">
        <v>115</v>
      </c>
      <c r="H54" s="13">
        <v>25052</v>
      </c>
      <c r="I54" s="2">
        <v>57</v>
      </c>
      <c r="J54" s="2" t="str" cm="1">
        <f t="array" ref="J5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54" s="2" t="s">
        <v>1572</v>
      </c>
      <c r="L54" s="2" t="s">
        <v>66</v>
      </c>
      <c r="M54" s="2" t="s">
        <v>43</v>
      </c>
      <c r="N54" s="2" t="s">
        <v>44</v>
      </c>
      <c r="O54" s="2" t="s">
        <v>81</v>
      </c>
      <c r="P54" s="2" t="s">
        <v>328</v>
      </c>
      <c r="Q54" s="2" t="str">
        <f>_xlfn.XLOOKUP(EHR[[#This Row],[Primary_ICD11_Code]],'03_ICD11_Reference'!A:A,'03_ICD11_Reference'!D:D,,0)</f>
        <v>Mental health</v>
      </c>
      <c r="R54" s="2" t="s">
        <v>329</v>
      </c>
      <c r="S54" s="2" t="s">
        <v>69</v>
      </c>
      <c r="T54" s="2" t="s">
        <v>330</v>
      </c>
      <c r="U54" s="2">
        <v>3</v>
      </c>
      <c r="V54" s="2" t="str">
        <f>_xlfn.XLOOKUP(EHR[[#This Row],[Encounter_ID]],'02_Lab_Results'!B:B,'02_Lab_Results'!D:D,,0)</f>
        <v>2823-3</v>
      </c>
      <c r="W54" s="2" t="str">
        <f>_xlfn.XLOOKUP(EHR[[#This Row],[LOINC Code]],'04_LOINC_Reference'!A:A,'04_LOINC_Reference'!F:F,,0)</f>
        <v>Biochemistry</v>
      </c>
      <c r="X54" s="2" t="str">
        <f>_xlfn.XLOOKUP(EHR[[#This Row],[LOINC Code]],'02_Lab_Results'!D:D,'02_Lab_Results'!E:E,,0)</f>
        <v>Serum potassium</v>
      </c>
      <c r="Y54" s="2" t="str">
        <f>_xlfn.XLOOKUP(EHR[[#This Row],[LOINC Code]],'02_Lab_Results'!D:D,'02_Lab_Results'!J:J,,0)</f>
        <v>Normal</v>
      </c>
      <c r="Z54" s="2" t="str" cm="1">
        <f t="array" ref="Z54">_xlfn.XLOOKUP(1,(B54=B$2:B$500)*(V$2:V$500="4548-4"),Y$2:Y$500,"Not Tested")</f>
        <v>Not Tested</v>
      </c>
      <c r="AA54" s="2">
        <v>111</v>
      </c>
      <c r="AB54" s="2">
        <v>63</v>
      </c>
      <c r="AC54" s="2" t="str">
        <f>IF(AND(EHR[[#This Row],[BP_Systolic_mmHg]]&lt;140,EHR[[#This Row],[BP_Diastolic_mmHg]]&lt;90),"Controlled",IF(OR(EHR[[#This Row],[BP_Systolic_mmHg]]="Not Recorded",EHR[[#This Row],[BP_Diastolic_mmHg]]="Not Recorded"),"No Reading","Uncontrolled"))</f>
        <v>Controlled</v>
      </c>
      <c r="AD54" s="2" t="str">
        <f>_xlfn.CONCAT(EHR[[#This Row],[BP_Systolic_mmHg]],"/",EHR[[#This Row],[BP_Diastolic_mmHg]])</f>
        <v>111/63</v>
      </c>
      <c r="AE54" s="2">
        <v>90</v>
      </c>
      <c r="AF54" s="2">
        <v>28</v>
      </c>
      <c r="AG54" s="2">
        <v>37.700000000000003</v>
      </c>
      <c r="AH54" s="2">
        <v>43.5</v>
      </c>
      <c r="AI54" s="2" t="str">
        <f>IF(EHR[[#This Row],[BMI_kg_m2]]&gt;=30,"Obese","Non-Obese")</f>
        <v>Obese</v>
      </c>
      <c r="AJ54" s="2">
        <v>98</v>
      </c>
      <c r="AK54" s="2" t="s">
        <v>50</v>
      </c>
      <c r="AL54" s="2" t="s">
        <v>51</v>
      </c>
      <c r="AM54" s="2" t="s">
        <v>52</v>
      </c>
      <c r="AN54" s="2" t="s">
        <v>53</v>
      </c>
      <c r="AO54" s="2" t="s">
        <v>54</v>
      </c>
    </row>
    <row r="55" spans="1:41" x14ac:dyDescent="0.2">
      <c r="A55" s="7" t="s">
        <v>324</v>
      </c>
      <c r="B55" s="3" t="s">
        <v>331</v>
      </c>
      <c r="C55" s="14">
        <v>45158</v>
      </c>
      <c r="D55" s="3" t="s">
        <v>88</v>
      </c>
      <c r="E55" s="3" t="s">
        <v>37</v>
      </c>
      <c r="F55" s="3" t="s">
        <v>219</v>
      </c>
      <c r="G55" s="3" t="s">
        <v>76</v>
      </c>
      <c r="H55" s="14">
        <v>25052</v>
      </c>
      <c r="I55" s="3">
        <v>57</v>
      </c>
      <c r="J55" s="3" t="str" cm="1">
        <f t="array" ref="J5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55" s="3" t="s">
        <v>1572</v>
      </c>
      <c r="L55" s="3" t="s">
        <v>116</v>
      </c>
      <c r="M55" s="3" t="s">
        <v>43</v>
      </c>
      <c r="N55" s="3" t="s">
        <v>44</v>
      </c>
      <c r="O55" s="3" t="s">
        <v>81</v>
      </c>
      <c r="P55" s="3" t="s">
        <v>328</v>
      </c>
      <c r="Q55" s="3" t="str">
        <f>_xlfn.XLOOKUP(EHR[[#This Row],[Primary_ICD11_Code]],'03_ICD11_Reference'!A:A,'03_ICD11_Reference'!D:D,,0)</f>
        <v>Mental health</v>
      </c>
      <c r="R55" s="3" t="s">
        <v>329</v>
      </c>
      <c r="S55" s="3" t="s">
        <v>69</v>
      </c>
      <c r="T55" s="3" t="s">
        <v>234</v>
      </c>
      <c r="U55" s="3">
        <v>1</v>
      </c>
      <c r="V55" s="3" t="str">
        <f>_xlfn.XLOOKUP(EHR[[#This Row],[Encounter_ID]],'02_Lab_Results'!B:B,'02_Lab_Results'!D:D,,0)</f>
        <v>2777-1</v>
      </c>
      <c r="W55" s="3" t="str">
        <f>_xlfn.XLOOKUP(EHR[[#This Row],[LOINC Code]],'04_LOINC_Reference'!A:A,'04_LOINC_Reference'!F:F,,0)</f>
        <v>Biochemistry</v>
      </c>
      <c r="X55" s="3" t="str">
        <f>_xlfn.XLOOKUP(EHR[[#This Row],[LOINC Code]],'02_Lab_Results'!D:D,'02_Lab_Results'!E:E,,0)</f>
        <v>Serum phosphate</v>
      </c>
      <c r="Y55" s="3" t="str">
        <f>_xlfn.XLOOKUP(EHR[[#This Row],[LOINC Code]],'02_Lab_Results'!D:D,'02_Lab_Results'!J:J,,0)</f>
        <v>Normal</v>
      </c>
      <c r="Z55" s="3" t="str" cm="1">
        <f t="array" ref="Z55">_xlfn.XLOOKUP(1,(B55=B$2:B$500)*(V$2:V$500="4548-4"),Y$2:Y$500,"Not Tested")</f>
        <v>Not Tested</v>
      </c>
      <c r="AA55" s="3">
        <v>172</v>
      </c>
      <c r="AB55" s="3">
        <v>98</v>
      </c>
      <c r="AC55" s="3" t="str">
        <f>IF(AND(EHR[[#This Row],[BP_Systolic_mmHg]]&lt;140,EHR[[#This Row],[BP_Diastolic_mmHg]]&lt;90),"Controlled",IF(OR(EHR[[#This Row],[BP_Systolic_mmHg]]="Not Recorded",EHR[[#This Row],[BP_Diastolic_mmHg]]="Not Recorded"),"No Reading","Uncontrolled"))</f>
        <v>Uncontrolled</v>
      </c>
      <c r="AD55" s="3" t="str">
        <f>_xlfn.CONCAT(EHR[[#This Row],[BP_Systolic_mmHg]],"/",EHR[[#This Row],[BP_Diastolic_mmHg]])</f>
        <v>172/98</v>
      </c>
      <c r="AE55" s="3">
        <v>123</v>
      </c>
      <c r="AF55" s="3">
        <v>27</v>
      </c>
      <c r="AG55" s="3">
        <v>38.6</v>
      </c>
      <c r="AH55" s="3">
        <v>27.9</v>
      </c>
      <c r="AI55" s="3" t="str">
        <f>IF(EHR[[#This Row],[BMI_kg_m2]]&gt;=30,"Obese","Non-Obese")</f>
        <v>Non-Obese</v>
      </c>
      <c r="AJ55" s="3">
        <v>97</v>
      </c>
      <c r="AK55" s="3" t="s">
        <v>50</v>
      </c>
      <c r="AL55" s="3" t="s">
        <v>51</v>
      </c>
      <c r="AM55" s="3" t="s">
        <v>52</v>
      </c>
      <c r="AN55" s="3" t="s">
        <v>53</v>
      </c>
      <c r="AO55" s="3" t="s">
        <v>54</v>
      </c>
    </row>
    <row r="56" spans="1:41" x14ac:dyDescent="0.2">
      <c r="A56" s="6" t="s">
        <v>324</v>
      </c>
      <c r="B56" s="2" t="s">
        <v>333</v>
      </c>
      <c r="C56" s="13">
        <v>45693</v>
      </c>
      <c r="D56" s="2" t="s">
        <v>95</v>
      </c>
      <c r="E56" s="2" t="s">
        <v>167</v>
      </c>
      <c r="F56" s="2" t="s">
        <v>132</v>
      </c>
      <c r="G56" s="2" t="s">
        <v>63</v>
      </c>
      <c r="H56" s="13">
        <v>25052</v>
      </c>
      <c r="I56" s="2">
        <v>57</v>
      </c>
      <c r="J56" s="2" t="str" cm="1">
        <f t="array" ref="J5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56" s="2" t="s">
        <v>1572</v>
      </c>
      <c r="L56" s="2" t="s">
        <v>140</v>
      </c>
      <c r="M56" s="2" t="s">
        <v>43</v>
      </c>
      <c r="N56" s="2" t="s">
        <v>44</v>
      </c>
      <c r="O56" s="2" t="s">
        <v>81</v>
      </c>
      <c r="P56" s="2" t="s">
        <v>328</v>
      </c>
      <c r="Q56" s="2" t="str">
        <f>_xlfn.XLOOKUP(EHR[[#This Row],[Primary_ICD11_Code]],'03_ICD11_Reference'!A:A,'03_ICD11_Reference'!D:D,,0)</f>
        <v>Mental health</v>
      </c>
      <c r="R56" s="2" t="s">
        <v>329</v>
      </c>
      <c r="S56" s="2" t="s">
        <v>69</v>
      </c>
      <c r="T56" s="2" t="s">
        <v>335</v>
      </c>
      <c r="U56" s="2">
        <v>3</v>
      </c>
      <c r="V56" s="2" t="str">
        <f>_xlfn.XLOOKUP(EHR[[#This Row],[Encounter_ID]],'02_Lab_Results'!B:B,'02_Lab_Results'!D:D,,0)</f>
        <v>2093-3</v>
      </c>
      <c r="W56" s="2" t="str">
        <f>_xlfn.XLOOKUP(EHR[[#This Row],[LOINC Code]],'04_LOINC_Reference'!A:A,'04_LOINC_Reference'!F:F,,0)</f>
        <v>Biochemistry</v>
      </c>
      <c r="X56" s="2" t="str">
        <f>_xlfn.XLOOKUP(EHR[[#This Row],[LOINC Code]],'02_Lab_Results'!D:D,'02_Lab_Results'!E:E,,0)</f>
        <v>Total cholesterol</v>
      </c>
      <c r="Y56" s="2" t="str">
        <f>_xlfn.XLOOKUP(EHR[[#This Row],[LOINC Code]],'02_Lab_Results'!D:D,'02_Lab_Results'!J:J,,0)</f>
        <v>Normal</v>
      </c>
      <c r="Z56" s="2" t="str" cm="1">
        <f t="array" ref="Z56">_xlfn.XLOOKUP(1,(B56=B$2:B$500)*(V$2:V$500="4548-4"),Y$2:Y$500,"Not Tested")</f>
        <v>Not Tested</v>
      </c>
      <c r="AA56" s="2">
        <v>156</v>
      </c>
      <c r="AB56" s="2">
        <v>90</v>
      </c>
      <c r="AC56" s="2" t="str">
        <f>IF(AND(EHR[[#This Row],[BP_Systolic_mmHg]]&lt;140,EHR[[#This Row],[BP_Diastolic_mmHg]]&lt;90),"Controlled",IF(OR(EHR[[#This Row],[BP_Systolic_mmHg]]="Not Recorded",EHR[[#This Row],[BP_Diastolic_mmHg]]="Not Recorded"),"No Reading","Uncontrolled"))</f>
        <v>Uncontrolled</v>
      </c>
      <c r="AD56" s="2" t="str">
        <f>_xlfn.CONCAT(EHR[[#This Row],[BP_Systolic_mmHg]],"/",EHR[[#This Row],[BP_Diastolic_mmHg]])</f>
        <v>156/90</v>
      </c>
      <c r="AE56" s="2">
        <v>112</v>
      </c>
      <c r="AF56" s="2">
        <v>27</v>
      </c>
      <c r="AG56" s="2">
        <v>36.299999999999997</v>
      </c>
      <c r="AH56" s="2">
        <v>24.2</v>
      </c>
      <c r="AI56" s="2" t="str">
        <f>IF(EHR[[#This Row],[BMI_kg_m2]]&gt;=30,"Obese","Non-Obese")</f>
        <v>Non-Obese</v>
      </c>
      <c r="AJ56" s="2">
        <v>87</v>
      </c>
      <c r="AK56" s="2" t="s">
        <v>50</v>
      </c>
      <c r="AL56" s="2" t="s">
        <v>51</v>
      </c>
      <c r="AM56" s="2" t="s">
        <v>52</v>
      </c>
      <c r="AN56" s="2" t="s">
        <v>53</v>
      </c>
      <c r="AO56" s="2" t="s">
        <v>54</v>
      </c>
    </row>
    <row r="57" spans="1:41" x14ac:dyDescent="0.2">
      <c r="A57" s="7" t="s">
        <v>324</v>
      </c>
      <c r="B57" s="3" t="s">
        <v>336</v>
      </c>
      <c r="C57" s="14">
        <v>44973</v>
      </c>
      <c r="D57" s="3" t="s">
        <v>95</v>
      </c>
      <c r="E57" s="3" t="s">
        <v>89</v>
      </c>
      <c r="F57" s="3" t="s">
        <v>132</v>
      </c>
      <c r="G57" s="3" t="s">
        <v>104</v>
      </c>
      <c r="H57" s="14">
        <v>25052</v>
      </c>
      <c r="I57" s="3">
        <v>57</v>
      </c>
      <c r="J57" s="3" t="str" cm="1">
        <f t="array" ref="J5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57" s="3" t="s">
        <v>1572</v>
      </c>
      <c r="L57" s="3" t="s">
        <v>110</v>
      </c>
      <c r="M57" s="3" t="s">
        <v>43</v>
      </c>
      <c r="N57" s="3" t="s">
        <v>44</v>
      </c>
      <c r="O57" s="3" t="s">
        <v>81</v>
      </c>
      <c r="P57" s="3" t="s">
        <v>328</v>
      </c>
      <c r="Q57" s="3" t="str">
        <f>_xlfn.XLOOKUP(EHR[[#This Row],[Primary_ICD11_Code]],'03_ICD11_Reference'!A:A,'03_ICD11_Reference'!D:D,,0)</f>
        <v>Mental health</v>
      </c>
      <c r="R57" s="3" t="s">
        <v>329</v>
      </c>
      <c r="S57" s="3" t="s">
        <v>69</v>
      </c>
      <c r="T57" s="3" t="s">
        <v>338</v>
      </c>
      <c r="U57" s="3">
        <v>4</v>
      </c>
      <c r="V57" s="3" t="str">
        <f>_xlfn.XLOOKUP(EHR[[#This Row],[Encounter_ID]],'02_Lab_Results'!B:B,'02_Lab_Results'!D:D,,0)</f>
        <v>2085-9</v>
      </c>
      <c r="W57" s="3" t="str">
        <f>_xlfn.XLOOKUP(EHR[[#This Row],[LOINC Code]],'04_LOINC_Reference'!A:A,'04_LOINC_Reference'!F:F,,0)</f>
        <v>Biochemistry</v>
      </c>
      <c r="X57" s="3" t="str">
        <f>_xlfn.XLOOKUP(EHR[[#This Row],[LOINC Code]],'02_Lab_Results'!D:D,'02_Lab_Results'!E:E,,0)</f>
        <v>HDL cholesterol</v>
      </c>
      <c r="Y57" s="3" t="str">
        <f>_xlfn.XLOOKUP(EHR[[#This Row],[LOINC Code]],'02_Lab_Results'!D:D,'02_Lab_Results'!J:J,,0)</f>
        <v>Normal</v>
      </c>
      <c r="Z57" s="3" t="str" cm="1">
        <f t="array" ref="Z57">_xlfn.XLOOKUP(1,(B57=B$2:B$500)*(V$2:V$500="4548-4"),Y$2:Y$500,"Not Tested")</f>
        <v>Not Tested</v>
      </c>
      <c r="AA57" s="3">
        <v>180</v>
      </c>
      <c r="AB57" s="3">
        <v>73</v>
      </c>
      <c r="AC57" s="3" t="str">
        <f>IF(AND(EHR[[#This Row],[BP_Systolic_mmHg]]&lt;140,EHR[[#This Row],[BP_Diastolic_mmHg]]&lt;90),"Controlled",IF(OR(EHR[[#This Row],[BP_Systolic_mmHg]]="Not Recorded",EHR[[#This Row],[BP_Diastolic_mmHg]]="Not Recorded"),"No Reading","Uncontrolled"))</f>
        <v>Uncontrolled</v>
      </c>
      <c r="AD57" s="3" t="str">
        <f>_xlfn.CONCAT(EHR[[#This Row],[BP_Systolic_mmHg]],"/",EHR[[#This Row],[BP_Diastolic_mmHg]])</f>
        <v>180/73</v>
      </c>
      <c r="AE57" s="3">
        <v>87</v>
      </c>
      <c r="AF57" s="3">
        <v>14</v>
      </c>
      <c r="AG57" s="3">
        <v>38.799999999999997</v>
      </c>
      <c r="AH57" s="3">
        <v>21.4</v>
      </c>
      <c r="AI57" s="3" t="str">
        <f>IF(EHR[[#This Row],[BMI_kg_m2]]&gt;=30,"Obese","Non-Obese")</f>
        <v>Non-Obese</v>
      </c>
      <c r="AJ57" s="3">
        <v>93</v>
      </c>
      <c r="AK57" s="3" t="s">
        <v>50</v>
      </c>
      <c r="AL57" s="3" t="s">
        <v>51</v>
      </c>
      <c r="AM57" s="3" t="s">
        <v>52</v>
      </c>
      <c r="AN57" s="3" t="s">
        <v>53</v>
      </c>
      <c r="AO57" s="3" t="s">
        <v>54</v>
      </c>
    </row>
    <row r="58" spans="1:41" x14ac:dyDescent="0.2">
      <c r="A58" s="6" t="s">
        <v>324</v>
      </c>
      <c r="B58" s="2" t="s">
        <v>339</v>
      </c>
      <c r="C58" s="13">
        <v>45633</v>
      </c>
      <c r="D58" s="2" t="s">
        <v>103</v>
      </c>
      <c r="E58" s="2" t="s">
        <v>37</v>
      </c>
      <c r="F58" s="2" t="s">
        <v>219</v>
      </c>
      <c r="G58" s="2" t="s">
        <v>63</v>
      </c>
      <c r="H58" s="13">
        <v>25052</v>
      </c>
      <c r="I58" s="2">
        <v>57</v>
      </c>
      <c r="J58" s="2" t="str" cm="1">
        <f t="array" ref="J5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58" s="2" t="s">
        <v>1572</v>
      </c>
      <c r="L58" s="2" t="s">
        <v>116</v>
      </c>
      <c r="M58" s="2" t="s">
        <v>43</v>
      </c>
      <c r="N58" s="2" t="s">
        <v>44</v>
      </c>
      <c r="O58" s="2" t="s">
        <v>81</v>
      </c>
      <c r="P58" s="2" t="s">
        <v>328</v>
      </c>
      <c r="Q58" s="2" t="str">
        <f>_xlfn.XLOOKUP(EHR[[#This Row],[Primary_ICD11_Code]],'03_ICD11_Reference'!A:A,'03_ICD11_Reference'!D:D,,0)</f>
        <v>Mental health</v>
      </c>
      <c r="R58" s="2" t="s">
        <v>329</v>
      </c>
      <c r="S58" s="2" t="s">
        <v>69</v>
      </c>
      <c r="T58" s="2" t="s">
        <v>341</v>
      </c>
      <c r="U58" s="2">
        <v>3</v>
      </c>
      <c r="V58" s="2" t="str">
        <f>_xlfn.XLOOKUP(EHR[[#This Row],[Encounter_ID]],'02_Lab_Results'!B:B,'02_Lab_Results'!D:D,,0)</f>
        <v>17861-6</v>
      </c>
      <c r="W58" s="2" t="str">
        <f>_xlfn.XLOOKUP(EHR[[#This Row],[LOINC Code]],'04_LOINC_Reference'!A:A,'04_LOINC_Reference'!F:F,,0)</f>
        <v>Biochemistry</v>
      </c>
      <c r="X58" s="2" t="str">
        <f>_xlfn.XLOOKUP(EHR[[#This Row],[LOINC Code]],'02_Lab_Results'!D:D,'02_Lab_Results'!E:E,,0)</f>
        <v>Serum calcium</v>
      </c>
      <c r="Y58" s="2" t="str">
        <f>_xlfn.XLOOKUP(EHR[[#This Row],[LOINC Code]],'02_Lab_Results'!D:D,'02_Lab_Results'!J:J,,0)</f>
        <v>High</v>
      </c>
      <c r="Z58" s="2" t="str" cm="1">
        <f t="array" ref="Z58">_xlfn.XLOOKUP(1,(B58=B$2:B$500)*(V$2:V$500="4548-4"),Y$2:Y$500,"Not Tested")</f>
        <v>Not Tested</v>
      </c>
      <c r="AA58" s="2">
        <v>128</v>
      </c>
      <c r="AB58" s="2">
        <v>82</v>
      </c>
      <c r="AC58" s="2" t="str">
        <f>IF(AND(EHR[[#This Row],[BP_Systolic_mmHg]]&lt;140,EHR[[#This Row],[BP_Diastolic_mmHg]]&lt;90),"Controlled",IF(OR(EHR[[#This Row],[BP_Systolic_mmHg]]="Not Recorded",EHR[[#This Row],[BP_Diastolic_mmHg]]="Not Recorded"),"No Reading","Uncontrolled"))</f>
        <v>Controlled</v>
      </c>
      <c r="AD58" s="2" t="str">
        <f>_xlfn.CONCAT(EHR[[#This Row],[BP_Systolic_mmHg]],"/",EHR[[#This Row],[BP_Diastolic_mmHg]])</f>
        <v>128/82</v>
      </c>
      <c r="AE58" s="2">
        <v>121</v>
      </c>
      <c r="AF58" s="2">
        <v>26</v>
      </c>
      <c r="AG58" s="2">
        <v>36.299999999999997</v>
      </c>
      <c r="AH58" s="2">
        <v>37</v>
      </c>
      <c r="AI58" s="2" t="str">
        <f>IF(EHR[[#This Row],[BMI_kg_m2]]&gt;=30,"Obese","Non-Obese")</f>
        <v>Obese</v>
      </c>
      <c r="AJ58" s="2">
        <v>94</v>
      </c>
      <c r="AK58" s="2" t="s">
        <v>50</v>
      </c>
      <c r="AL58" s="2" t="s">
        <v>51</v>
      </c>
      <c r="AM58" s="2" t="s">
        <v>52</v>
      </c>
      <c r="AN58" s="2" t="s">
        <v>53</v>
      </c>
      <c r="AO58" s="2" t="s">
        <v>54</v>
      </c>
    </row>
    <row r="59" spans="1:41" x14ac:dyDescent="0.2">
      <c r="A59" s="7" t="s">
        <v>324</v>
      </c>
      <c r="B59" s="3" t="s">
        <v>342</v>
      </c>
      <c r="C59" s="14">
        <v>45144</v>
      </c>
      <c r="D59" s="3" t="s">
        <v>103</v>
      </c>
      <c r="E59" s="3" t="s">
        <v>89</v>
      </c>
      <c r="F59" s="3" t="s">
        <v>189</v>
      </c>
      <c r="G59" s="3" t="s">
        <v>138</v>
      </c>
      <c r="H59" s="14">
        <v>25052</v>
      </c>
      <c r="I59" s="3">
        <v>57</v>
      </c>
      <c r="J59" s="3" t="str" cm="1">
        <f t="array" ref="J5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59" s="3" t="s">
        <v>1572</v>
      </c>
      <c r="L59" s="3" t="s">
        <v>42</v>
      </c>
      <c r="M59" s="3" t="s">
        <v>43</v>
      </c>
      <c r="N59" s="3" t="s">
        <v>44</v>
      </c>
      <c r="O59" s="3" t="s">
        <v>81</v>
      </c>
      <c r="P59" s="3" t="s">
        <v>328</v>
      </c>
      <c r="Q59" s="3" t="str">
        <f>_xlfn.XLOOKUP(EHR[[#This Row],[Primary_ICD11_Code]],'03_ICD11_Reference'!A:A,'03_ICD11_Reference'!D:D,,0)</f>
        <v>Mental health</v>
      </c>
      <c r="R59" s="3" t="s">
        <v>329</v>
      </c>
      <c r="S59" s="3" t="s">
        <v>69</v>
      </c>
      <c r="T59" s="3" t="s">
        <v>268</v>
      </c>
      <c r="U59" s="3">
        <v>1</v>
      </c>
      <c r="V59" s="3" t="str">
        <f>_xlfn.XLOOKUP(EHR[[#This Row],[Encounter_ID]],'02_Lab_Results'!B:B,'02_Lab_Results'!D:D,,0)</f>
        <v>4548-4</v>
      </c>
      <c r="W59" s="3" t="str">
        <f>_xlfn.XLOOKUP(EHR[[#This Row],[LOINC Code]],'04_LOINC_Reference'!A:A,'04_LOINC_Reference'!F:F,,0)</f>
        <v>Biochemistry</v>
      </c>
      <c r="X59" s="3" t="str">
        <f>_xlfn.XLOOKUP(EHR[[#This Row],[LOINC Code]],'02_Lab_Results'!D:D,'02_Lab_Results'!E:E,,0)</f>
        <v>HbA1c</v>
      </c>
      <c r="Y59" s="3" t="str">
        <f>_xlfn.XLOOKUP(EHR[[#This Row],[LOINC Code]],'02_Lab_Results'!D:D,'02_Lab_Results'!J:J,,0)</f>
        <v>High</v>
      </c>
      <c r="Z59" s="3" t="str" cm="1">
        <f t="array" ref="Z59">_xlfn.XLOOKUP(1,(B59=B$2:B$500)*(V$2:V$500="4548-4"),Y$2:Y$500,"Not Tested")</f>
        <v>High</v>
      </c>
      <c r="AA59" s="3">
        <v>153</v>
      </c>
      <c r="AB59" s="3">
        <v>91</v>
      </c>
      <c r="AC59" s="3" t="str">
        <f>IF(AND(EHR[[#This Row],[BP_Systolic_mmHg]]&lt;140,EHR[[#This Row],[BP_Diastolic_mmHg]]&lt;90),"Controlled",IF(OR(EHR[[#This Row],[BP_Systolic_mmHg]]="Not Recorded",EHR[[#This Row],[BP_Diastolic_mmHg]]="Not Recorded"),"No Reading","Uncontrolled"))</f>
        <v>Uncontrolled</v>
      </c>
      <c r="AD59" s="3" t="str">
        <f>_xlfn.CONCAT(EHR[[#This Row],[BP_Systolic_mmHg]],"/",EHR[[#This Row],[BP_Diastolic_mmHg]])</f>
        <v>153/91</v>
      </c>
      <c r="AE59" s="3">
        <v>52</v>
      </c>
      <c r="AF59" s="3">
        <v>25</v>
      </c>
      <c r="AG59" s="3">
        <v>36.799999999999997</v>
      </c>
      <c r="AH59" s="3">
        <v>21.1</v>
      </c>
      <c r="AI59" s="3" t="str">
        <f>IF(EHR[[#This Row],[BMI_kg_m2]]&gt;=30,"Obese","Non-Obese")</f>
        <v>Non-Obese</v>
      </c>
      <c r="AJ59" s="3">
        <v>94</v>
      </c>
      <c r="AK59" s="3" t="s">
        <v>50</v>
      </c>
      <c r="AL59" s="3" t="s">
        <v>51</v>
      </c>
      <c r="AM59" s="3" t="s">
        <v>52</v>
      </c>
      <c r="AN59" s="3" t="s">
        <v>53</v>
      </c>
      <c r="AO59" s="3" t="s">
        <v>54</v>
      </c>
    </row>
    <row r="60" spans="1:41" x14ac:dyDescent="0.2">
      <c r="A60" s="6" t="s">
        <v>344</v>
      </c>
      <c r="B60" s="2" t="s">
        <v>345</v>
      </c>
      <c r="C60" s="13">
        <v>44953</v>
      </c>
      <c r="D60" s="2" t="s">
        <v>95</v>
      </c>
      <c r="E60" s="2" t="s">
        <v>167</v>
      </c>
      <c r="F60" s="2" t="s">
        <v>148</v>
      </c>
      <c r="G60" s="2" t="s">
        <v>63</v>
      </c>
      <c r="H60" s="13">
        <v>39230</v>
      </c>
      <c r="I60" s="2">
        <v>18</v>
      </c>
      <c r="J60" s="2" t="str" cm="1">
        <f t="array" ref="J6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0" s="2" t="s">
        <v>1572</v>
      </c>
      <c r="L60" s="2" t="s">
        <v>78</v>
      </c>
      <c r="M60" s="2" t="s">
        <v>79</v>
      </c>
      <c r="N60" s="2" t="s">
        <v>80</v>
      </c>
      <c r="O60" s="2" t="s">
        <v>45</v>
      </c>
      <c r="P60" s="2" t="s">
        <v>305</v>
      </c>
      <c r="Q60" s="2" t="str">
        <f>_xlfn.XLOOKUP(EHR[[#This Row],[Primary_ICD11_Code]],'03_ICD11_Reference'!A:A,'03_ICD11_Reference'!D:D,,0)</f>
        <v>Infectious</v>
      </c>
      <c r="R60" s="2" t="s">
        <v>306</v>
      </c>
      <c r="S60" s="2" t="s">
        <v>48</v>
      </c>
      <c r="T60" s="2" t="s">
        <v>348</v>
      </c>
      <c r="U60" s="2">
        <v>4</v>
      </c>
      <c r="V60" s="2" t="str">
        <f>_xlfn.XLOOKUP(EHR[[#This Row],[Encounter_ID]],'02_Lab_Results'!B:B,'02_Lab_Results'!D:D,,0)</f>
        <v>2093-3</v>
      </c>
      <c r="W60" s="2" t="str">
        <f>_xlfn.XLOOKUP(EHR[[#This Row],[LOINC Code]],'04_LOINC_Reference'!A:A,'04_LOINC_Reference'!F:F,,0)</f>
        <v>Biochemistry</v>
      </c>
      <c r="X60" s="2" t="str">
        <f>_xlfn.XLOOKUP(EHR[[#This Row],[LOINC Code]],'02_Lab_Results'!D:D,'02_Lab_Results'!E:E,,0)</f>
        <v>Total cholesterol</v>
      </c>
      <c r="Y60" s="2" t="str">
        <f>_xlfn.XLOOKUP(EHR[[#This Row],[LOINC Code]],'02_Lab_Results'!D:D,'02_Lab_Results'!J:J,,0)</f>
        <v>Normal</v>
      </c>
      <c r="Z60" s="2" t="str" cm="1">
        <f t="array" ref="Z60">_xlfn.XLOOKUP(1,(B60=B$2:B$500)*(V$2:V$500="4548-4"),Y$2:Y$500,"Not Tested")</f>
        <v>Not Tested</v>
      </c>
      <c r="AA60" s="2">
        <v>107</v>
      </c>
      <c r="AB60" s="2">
        <v>76</v>
      </c>
      <c r="AC60" s="2" t="str">
        <f>IF(AND(EHR[[#This Row],[BP_Systolic_mmHg]]&lt;140,EHR[[#This Row],[BP_Diastolic_mmHg]]&lt;90),"Controlled",IF(OR(EHR[[#This Row],[BP_Systolic_mmHg]]="Not Recorded",EHR[[#This Row],[BP_Diastolic_mmHg]]="Not Recorded"),"No Reading","Uncontrolled"))</f>
        <v>Controlled</v>
      </c>
      <c r="AD60" s="2" t="str">
        <f>_xlfn.CONCAT(EHR[[#This Row],[BP_Systolic_mmHg]],"/",EHR[[#This Row],[BP_Diastolic_mmHg]])</f>
        <v>107/76</v>
      </c>
      <c r="AE60" s="2">
        <v>109</v>
      </c>
      <c r="AF60" s="2">
        <v>21</v>
      </c>
      <c r="AG60" s="2">
        <v>36.1</v>
      </c>
      <c r="AH60" s="2">
        <v>25.1</v>
      </c>
      <c r="AI60" s="2" t="str">
        <f>IF(EHR[[#This Row],[BMI_kg_m2]]&gt;=30,"Obese","Non-Obese")</f>
        <v>Non-Obese</v>
      </c>
      <c r="AJ60" s="2">
        <v>89</v>
      </c>
      <c r="AK60" s="2" t="s">
        <v>50</v>
      </c>
      <c r="AL60" s="2" t="s">
        <v>51</v>
      </c>
      <c r="AM60" s="2" t="s">
        <v>52</v>
      </c>
      <c r="AN60" s="2" t="s">
        <v>53</v>
      </c>
      <c r="AO60" s="2" t="s">
        <v>54</v>
      </c>
    </row>
    <row r="61" spans="1:41" x14ac:dyDescent="0.2">
      <c r="A61" s="7" t="s">
        <v>349</v>
      </c>
      <c r="B61" s="3" t="s">
        <v>350</v>
      </c>
      <c r="C61" s="14">
        <v>45338</v>
      </c>
      <c r="D61" s="3" t="s">
        <v>88</v>
      </c>
      <c r="E61" s="3" t="s">
        <v>167</v>
      </c>
      <c r="F61" s="3" t="s">
        <v>132</v>
      </c>
      <c r="G61" s="3" t="s">
        <v>104</v>
      </c>
      <c r="H61" s="14">
        <v>37616</v>
      </c>
      <c r="I61" s="3">
        <v>23</v>
      </c>
      <c r="J61" s="3" t="str" cm="1">
        <f t="array" ref="J6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1" s="3" t="s">
        <v>1572</v>
      </c>
      <c r="L61" s="3" t="s">
        <v>78</v>
      </c>
      <c r="M61" s="3" t="s">
        <v>141</v>
      </c>
      <c r="N61" s="3" t="s">
        <v>44</v>
      </c>
      <c r="O61" s="3" t="s">
        <v>45</v>
      </c>
      <c r="P61" s="3" t="s">
        <v>283</v>
      </c>
      <c r="Q61" s="3" t="str">
        <f>_xlfn.XLOOKUP(EHR[[#This Row],[Primary_ICD11_Code]],'03_ICD11_Reference'!A:A,'03_ICD11_Reference'!D:D,,0)</f>
        <v>Multi-system</v>
      </c>
      <c r="R61" s="3" t="s">
        <v>284</v>
      </c>
      <c r="S61" s="3" t="s">
        <v>69</v>
      </c>
      <c r="T61" s="3" t="s">
        <v>353</v>
      </c>
      <c r="U61" s="3">
        <v>2</v>
      </c>
      <c r="V61" s="3" t="str">
        <f>_xlfn.XLOOKUP(EHR[[#This Row],[Encounter_ID]],'02_Lab_Results'!B:B,'02_Lab_Results'!D:D,,0)</f>
        <v>17861-6</v>
      </c>
      <c r="W61" s="3" t="str">
        <f>_xlfn.XLOOKUP(EHR[[#This Row],[LOINC Code]],'04_LOINC_Reference'!A:A,'04_LOINC_Reference'!F:F,,0)</f>
        <v>Biochemistry</v>
      </c>
      <c r="X61" s="3" t="str">
        <f>_xlfn.XLOOKUP(EHR[[#This Row],[LOINC Code]],'02_Lab_Results'!D:D,'02_Lab_Results'!E:E,,0)</f>
        <v>Serum calcium</v>
      </c>
      <c r="Y61" s="3" t="str">
        <f>_xlfn.XLOOKUP(EHR[[#This Row],[LOINC Code]],'02_Lab_Results'!D:D,'02_Lab_Results'!J:J,,0)</f>
        <v>High</v>
      </c>
      <c r="Z61" s="3" t="str" cm="1">
        <f t="array" ref="Z61">_xlfn.XLOOKUP(1,(B61=B$2:B$500)*(V$2:V$500="4548-4"),Y$2:Y$500,"Not Tested")</f>
        <v>Not Tested</v>
      </c>
      <c r="AA61" s="3">
        <v>133</v>
      </c>
      <c r="AB61" s="3">
        <v>61</v>
      </c>
      <c r="AC61" s="3" t="str">
        <f>IF(AND(EHR[[#This Row],[BP_Systolic_mmHg]]&lt;140,EHR[[#This Row],[BP_Diastolic_mmHg]]&lt;90),"Controlled",IF(OR(EHR[[#This Row],[BP_Systolic_mmHg]]="Not Recorded",EHR[[#This Row],[BP_Diastolic_mmHg]]="Not Recorded"),"No Reading","Uncontrolled"))</f>
        <v>Controlled</v>
      </c>
      <c r="AD61" s="3" t="str">
        <f>_xlfn.CONCAT(EHR[[#This Row],[BP_Systolic_mmHg]],"/",EHR[[#This Row],[BP_Diastolic_mmHg]])</f>
        <v>133/61</v>
      </c>
      <c r="AE61" s="3">
        <v>103</v>
      </c>
      <c r="AF61" s="3">
        <v>19</v>
      </c>
      <c r="AG61" s="3">
        <v>38.9</v>
      </c>
      <c r="AH61" s="3">
        <v>26.7</v>
      </c>
      <c r="AI61" s="3" t="str">
        <f>IF(EHR[[#This Row],[BMI_kg_m2]]&gt;=30,"Obese","Non-Obese")</f>
        <v>Non-Obese</v>
      </c>
      <c r="AJ61" s="3">
        <v>89</v>
      </c>
      <c r="AK61" s="3" t="s">
        <v>50</v>
      </c>
      <c r="AL61" s="3" t="s">
        <v>51</v>
      </c>
      <c r="AM61" s="3" t="s">
        <v>52</v>
      </c>
      <c r="AN61" s="3" t="s">
        <v>53</v>
      </c>
      <c r="AO61" s="3" t="s">
        <v>54</v>
      </c>
    </row>
    <row r="62" spans="1:41" x14ac:dyDescent="0.2">
      <c r="A62" s="6" t="s">
        <v>349</v>
      </c>
      <c r="B62" s="2" t="s">
        <v>354</v>
      </c>
      <c r="C62" s="13">
        <v>45444</v>
      </c>
      <c r="D62" s="2" t="s">
        <v>103</v>
      </c>
      <c r="E62" s="2" t="s">
        <v>96</v>
      </c>
      <c r="F62" s="2" t="s">
        <v>109</v>
      </c>
      <c r="G62" s="2" t="s">
        <v>98</v>
      </c>
      <c r="H62" s="13">
        <v>37616</v>
      </c>
      <c r="I62" s="2">
        <v>23</v>
      </c>
      <c r="J62" s="2" t="str" cm="1">
        <f t="array" ref="J6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2" s="2" t="s">
        <v>1572</v>
      </c>
      <c r="L62" s="2" t="s">
        <v>78</v>
      </c>
      <c r="M62" s="2" t="s">
        <v>141</v>
      </c>
      <c r="N62" s="2" t="s">
        <v>44</v>
      </c>
      <c r="O62" s="2" t="s">
        <v>45</v>
      </c>
      <c r="P62" s="2" t="s">
        <v>283</v>
      </c>
      <c r="Q62" s="2" t="str">
        <f>_xlfn.XLOOKUP(EHR[[#This Row],[Primary_ICD11_Code]],'03_ICD11_Reference'!A:A,'03_ICD11_Reference'!D:D,,0)</f>
        <v>Multi-system</v>
      </c>
      <c r="R62" s="2" t="s">
        <v>284</v>
      </c>
      <c r="S62" s="2" t="s">
        <v>69</v>
      </c>
      <c r="T62" s="2" t="s">
        <v>356</v>
      </c>
      <c r="U62" s="2">
        <v>2</v>
      </c>
      <c r="V62" s="2" t="str">
        <f>_xlfn.XLOOKUP(EHR[[#This Row],[Encounter_ID]],'02_Lab_Results'!B:B,'02_Lab_Results'!D:D,,0)</f>
        <v>789-8</v>
      </c>
      <c r="W62" s="2" t="str">
        <f>_xlfn.XLOOKUP(EHR[[#This Row],[LOINC Code]],'04_LOINC_Reference'!A:A,'04_LOINC_Reference'!F:F,,0)</f>
        <v>Biochemistry</v>
      </c>
      <c r="X62" s="2" t="str">
        <f>_xlfn.XLOOKUP(EHR[[#This Row],[LOINC Code]],'02_Lab_Results'!D:D,'02_Lab_Results'!E:E,,0)</f>
        <v>RBC count</v>
      </c>
      <c r="Y62" s="2" t="str">
        <f>_xlfn.XLOOKUP(EHR[[#This Row],[LOINC Code]],'02_Lab_Results'!D:D,'02_Lab_Results'!J:J,,0)</f>
        <v>High</v>
      </c>
      <c r="Z62" s="2" t="str" cm="1">
        <f t="array" ref="Z62">_xlfn.XLOOKUP(1,(B62=B$2:B$500)*(V$2:V$500="4548-4"),Y$2:Y$500,"Not Tested")</f>
        <v>Not Tested</v>
      </c>
      <c r="AA62" s="2">
        <v>149</v>
      </c>
      <c r="AB62" s="2">
        <v>61</v>
      </c>
      <c r="AC62" s="2" t="str">
        <f>IF(AND(EHR[[#This Row],[BP_Systolic_mmHg]]&lt;140,EHR[[#This Row],[BP_Diastolic_mmHg]]&lt;90),"Controlled",IF(OR(EHR[[#This Row],[BP_Systolic_mmHg]]="Not Recorded",EHR[[#This Row],[BP_Diastolic_mmHg]]="Not Recorded"),"No Reading","Uncontrolled"))</f>
        <v>Uncontrolled</v>
      </c>
      <c r="AD62" s="2" t="str">
        <f>_xlfn.CONCAT(EHR[[#This Row],[BP_Systolic_mmHg]],"/",EHR[[#This Row],[BP_Diastolic_mmHg]])</f>
        <v>149/61</v>
      </c>
      <c r="AE62" s="2">
        <v>103</v>
      </c>
      <c r="AF62" s="2">
        <v>26</v>
      </c>
      <c r="AG62" s="2">
        <v>38.1</v>
      </c>
      <c r="AH62" s="2">
        <v>39.4</v>
      </c>
      <c r="AI62" s="2" t="str">
        <f>IF(EHR[[#This Row],[BMI_kg_m2]]&gt;=30,"Obese","Non-Obese")</f>
        <v>Obese</v>
      </c>
      <c r="AJ62" s="2">
        <v>96</v>
      </c>
      <c r="AK62" s="2" t="s">
        <v>50</v>
      </c>
      <c r="AL62" s="2" t="s">
        <v>51</v>
      </c>
      <c r="AM62" s="2" t="s">
        <v>52</v>
      </c>
      <c r="AN62" s="2" t="s">
        <v>53</v>
      </c>
      <c r="AO62" s="2" t="s">
        <v>54</v>
      </c>
    </row>
    <row r="63" spans="1:41" x14ac:dyDescent="0.2">
      <c r="A63" s="7" t="s">
        <v>349</v>
      </c>
      <c r="B63" s="3" t="s">
        <v>357</v>
      </c>
      <c r="C63" s="14">
        <v>45352</v>
      </c>
      <c r="D63" s="3" t="s">
        <v>60</v>
      </c>
      <c r="E63" s="3" t="s">
        <v>96</v>
      </c>
      <c r="F63" s="3" t="s">
        <v>122</v>
      </c>
      <c r="G63" s="3" t="s">
        <v>76</v>
      </c>
      <c r="H63" s="14">
        <v>37616</v>
      </c>
      <c r="I63" s="3">
        <v>23</v>
      </c>
      <c r="J63" s="3" t="str" cm="1">
        <f t="array" ref="J6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3" s="3" t="s">
        <v>1572</v>
      </c>
      <c r="L63" s="3" t="s">
        <v>66</v>
      </c>
      <c r="M63" s="3" t="s">
        <v>141</v>
      </c>
      <c r="N63" s="3" t="s">
        <v>44</v>
      </c>
      <c r="O63" s="3" t="s">
        <v>45</v>
      </c>
      <c r="P63" s="3" t="s">
        <v>283</v>
      </c>
      <c r="Q63" s="3" t="str">
        <f>_xlfn.XLOOKUP(EHR[[#This Row],[Primary_ICD11_Code]],'03_ICD11_Reference'!A:A,'03_ICD11_Reference'!D:D,,0)</f>
        <v>Multi-system</v>
      </c>
      <c r="R63" s="3" t="s">
        <v>284</v>
      </c>
      <c r="S63" s="3" t="s">
        <v>69</v>
      </c>
      <c r="T63" s="3" t="s">
        <v>176</v>
      </c>
      <c r="U63" s="3">
        <v>1</v>
      </c>
      <c r="V63" s="3" t="str">
        <f>_xlfn.XLOOKUP(EHR[[#This Row],[Encounter_ID]],'02_Lab_Results'!B:B,'02_Lab_Results'!D:D,,0)</f>
        <v>718-7</v>
      </c>
      <c r="W63" s="3" t="str">
        <f>_xlfn.XLOOKUP(EHR[[#This Row],[LOINC Code]],'04_LOINC_Reference'!A:A,'04_LOINC_Reference'!F:F,,0)</f>
        <v>Biochemistry</v>
      </c>
      <c r="X63" s="3" t="str">
        <f>_xlfn.XLOOKUP(EHR[[#This Row],[LOINC Code]],'02_Lab_Results'!D:D,'02_Lab_Results'!E:E,,0)</f>
        <v>Haemoglobin</v>
      </c>
      <c r="Y63" s="3" t="str">
        <f>_xlfn.XLOOKUP(EHR[[#This Row],[LOINC Code]],'02_Lab_Results'!D:D,'02_Lab_Results'!J:J,,0)</f>
        <v>Normal</v>
      </c>
      <c r="Z63" s="3" t="str" cm="1">
        <f t="array" ref="Z63">_xlfn.XLOOKUP(1,(B63=B$2:B$500)*(V$2:V$500="4548-4"),Y$2:Y$500,"Not Tested")</f>
        <v>Not Tested</v>
      </c>
      <c r="AA63" s="3">
        <v>161</v>
      </c>
      <c r="AB63" s="3">
        <v>74</v>
      </c>
      <c r="AC63" s="3" t="str">
        <f>IF(AND(EHR[[#This Row],[BP_Systolic_mmHg]]&lt;140,EHR[[#This Row],[BP_Diastolic_mmHg]]&lt;90),"Controlled",IF(OR(EHR[[#This Row],[BP_Systolic_mmHg]]="Not Recorded",EHR[[#This Row],[BP_Diastolic_mmHg]]="Not Recorded"),"No Reading","Uncontrolled"))</f>
        <v>Uncontrolled</v>
      </c>
      <c r="AD63" s="3" t="str">
        <f>_xlfn.CONCAT(EHR[[#This Row],[BP_Systolic_mmHg]],"/",EHR[[#This Row],[BP_Diastolic_mmHg]])</f>
        <v>161/74</v>
      </c>
      <c r="AE63" s="3">
        <v>73</v>
      </c>
      <c r="AF63" s="3">
        <v>16</v>
      </c>
      <c r="AG63" s="3">
        <v>39.1</v>
      </c>
      <c r="AH63" s="3">
        <v>37.1</v>
      </c>
      <c r="AI63" s="3" t="str">
        <f>IF(EHR[[#This Row],[BMI_kg_m2]]&gt;=30,"Obese","Non-Obese")</f>
        <v>Obese</v>
      </c>
      <c r="AJ63" s="3">
        <v>93</v>
      </c>
      <c r="AK63" s="3" t="s">
        <v>50</v>
      </c>
      <c r="AL63" s="3" t="s">
        <v>51</v>
      </c>
      <c r="AM63" s="3" t="s">
        <v>52</v>
      </c>
      <c r="AN63" s="3" t="s">
        <v>53</v>
      </c>
      <c r="AO63" s="3" t="s">
        <v>54</v>
      </c>
    </row>
    <row r="64" spans="1:41" x14ac:dyDescent="0.2">
      <c r="A64" s="6" t="s">
        <v>358</v>
      </c>
      <c r="B64" s="2" t="s">
        <v>359</v>
      </c>
      <c r="C64" s="13">
        <v>45695</v>
      </c>
      <c r="D64" s="2" t="s">
        <v>60</v>
      </c>
      <c r="E64" s="2" t="s">
        <v>167</v>
      </c>
      <c r="F64" s="2" t="s">
        <v>148</v>
      </c>
      <c r="G64" s="2" t="s">
        <v>76</v>
      </c>
      <c r="H64" s="13">
        <v>36817</v>
      </c>
      <c r="I64" s="2">
        <v>25</v>
      </c>
      <c r="J64" s="2" t="str" cm="1">
        <f t="array" ref="J6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4" s="2" t="s">
        <v>1572</v>
      </c>
      <c r="L64" s="2" t="s">
        <v>110</v>
      </c>
      <c r="M64" s="2" t="s">
        <v>45</v>
      </c>
      <c r="N64" s="2" t="s">
        <v>1574</v>
      </c>
      <c r="O64" s="2" t="s">
        <v>81</v>
      </c>
      <c r="P64" s="2" t="s">
        <v>67</v>
      </c>
      <c r="Q64" s="2" t="str">
        <f>_xlfn.XLOOKUP(EHR[[#This Row],[Primary_ICD11_Code]],'03_ICD11_Reference'!A:A,'03_ICD11_Reference'!D:D,,0)</f>
        <v>Endocrine</v>
      </c>
      <c r="R64" s="2" t="s">
        <v>68</v>
      </c>
      <c r="S64" s="2" t="s">
        <v>69</v>
      </c>
      <c r="T64" s="2" t="s">
        <v>362</v>
      </c>
      <c r="U64" s="2">
        <v>2</v>
      </c>
      <c r="V64" s="2" t="str">
        <f>_xlfn.XLOOKUP(EHR[[#This Row],[Encounter_ID]],'02_Lab_Results'!B:B,'02_Lab_Results'!D:D,,0)</f>
        <v>2951-2</v>
      </c>
      <c r="W64" s="2" t="str">
        <f>_xlfn.XLOOKUP(EHR[[#This Row],[LOINC Code]],'04_LOINC_Reference'!A:A,'04_LOINC_Reference'!F:F,,0)</f>
        <v>Biochemistry</v>
      </c>
      <c r="X64" s="2" t="str">
        <f>_xlfn.XLOOKUP(EHR[[#This Row],[LOINC Code]],'02_Lab_Results'!D:D,'02_Lab_Results'!E:E,,0)</f>
        <v>Serum sodium</v>
      </c>
      <c r="Y64" s="2" t="str">
        <f>_xlfn.XLOOKUP(EHR[[#This Row],[LOINC Code]],'02_Lab_Results'!D:D,'02_Lab_Results'!J:J,,0)</f>
        <v>Low</v>
      </c>
      <c r="Z64" s="2" t="str" cm="1">
        <f t="array" ref="Z64">_xlfn.XLOOKUP(1,(B64=B$2:B$500)*(V$2:V$500="4548-4"),Y$2:Y$500,"Not Tested")</f>
        <v>Not Tested</v>
      </c>
      <c r="AA64" s="2">
        <v>133</v>
      </c>
      <c r="AB64" s="2">
        <v>110</v>
      </c>
      <c r="AC64" s="2" t="str">
        <f>IF(AND(EHR[[#This Row],[BP_Systolic_mmHg]]&lt;140,EHR[[#This Row],[BP_Diastolic_mmHg]]&lt;90),"Controlled",IF(OR(EHR[[#This Row],[BP_Systolic_mmHg]]="Not Recorded",EHR[[#This Row],[BP_Diastolic_mmHg]]="Not Recorded"),"No Reading","Uncontrolled"))</f>
        <v>Uncontrolled</v>
      </c>
      <c r="AD64" s="2" t="str">
        <f>_xlfn.CONCAT(EHR[[#This Row],[BP_Systolic_mmHg]],"/",EHR[[#This Row],[BP_Diastolic_mmHg]])</f>
        <v>133/110</v>
      </c>
      <c r="AE64" s="2">
        <v>54</v>
      </c>
      <c r="AF64" s="2">
        <v>17</v>
      </c>
      <c r="AG64" s="2">
        <v>37</v>
      </c>
      <c r="AH64" s="2">
        <v>20.5</v>
      </c>
      <c r="AI64" s="2" t="str">
        <f>IF(EHR[[#This Row],[BMI_kg_m2]]&gt;=30,"Obese","Non-Obese")</f>
        <v>Non-Obese</v>
      </c>
      <c r="AJ64" s="2">
        <v>94</v>
      </c>
      <c r="AK64" s="2" t="s">
        <v>50</v>
      </c>
      <c r="AL64" s="2" t="s">
        <v>51</v>
      </c>
      <c r="AM64" s="2" t="s">
        <v>52</v>
      </c>
      <c r="AN64" s="2" t="s">
        <v>53</v>
      </c>
      <c r="AO64" s="2" t="s">
        <v>54</v>
      </c>
    </row>
    <row r="65" spans="1:41" x14ac:dyDescent="0.2">
      <c r="A65" s="7" t="s">
        <v>358</v>
      </c>
      <c r="B65" s="3" t="s">
        <v>363</v>
      </c>
      <c r="C65" s="14">
        <v>45707</v>
      </c>
      <c r="D65" s="3" t="s">
        <v>36</v>
      </c>
      <c r="E65" s="3" t="s">
        <v>37</v>
      </c>
      <c r="F65" s="3" t="s">
        <v>38</v>
      </c>
      <c r="G65" s="3" t="s">
        <v>104</v>
      </c>
      <c r="H65" s="14">
        <v>36817</v>
      </c>
      <c r="I65" s="3">
        <v>25</v>
      </c>
      <c r="J65" s="3" t="str" cm="1">
        <f t="array" ref="J6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5" s="3" t="s">
        <v>1572</v>
      </c>
      <c r="L65" s="3" t="s">
        <v>116</v>
      </c>
      <c r="M65" s="3" t="s">
        <v>45</v>
      </c>
      <c r="N65" s="3" t="s">
        <v>1574</v>
      </c>
      <c r="O65" s="3" t="s">
        <v>81</v>
      </c>
      <c r="P65" s="3" t="s">
        <v>67</v>
      </c>
      <c r="Q65" s="3" t="str">
        <f>_xlfn.XLOOKUP(EHR[[#This Row],[Primary_ICD11_Code]],'03_ICD11_Reference'!A:A,'03_ICD11_Reference'!D:D,,0)</f>
        <v>Endocrine</v>
      </c>
      <c r="R65" s="3" t="s">
        <v>68</v>
      </c>
      <c r="S65" s="3" t="s">
        <v>69</v>
      </c>
      <c r="T65" s="3" t="s">
        <v>45</v>
      </c>
      <c r="U65" s="3">
        <v>1</v>
      </c>
      <c r="V65" s="3" t="str">
        <f>_xlfn.XLOOKUP(EHR[[#This Row],[Encounter_ID]],'02_Lab_Results'!B:B,'02_Lab_Results'!D:D,,0)</f>
        <v>6768-6</v>
      </c>
      <c r="W65" s="3" t="str">
        <f>_xlfn.XLOOKUP(EHR[[#This Row],[LOINC Code]],'04_LOINC_Reference'!A:A,'04_LOINC_Reference'!F:F,,0)</f>
        <v>Biochemistry</v>
      </c>
      <c r="X65" s="3" t="str">
        <f>_xlfn.XLOOKUP(EHR[[#This Row],[LOINC Code]],'02_Lab_Results'!D:D,'02_Lab_Results'!E:E,,0)</f>
        <v>ALP</v>
      </c>
      <c r="Y65" s="3" t="str">
        <f>_xlfn.XLOOKUP(EHR[[#This Row],[LOINC Code]],'02_Lab_Results'!D:D,'02_Lab_Results'!J:J,,0)</f>
        <v>High</v>
      </c>
      <c r="Z65" s="3" t="str" cm="1">
        <f t="array" ref="Z65">_xlfn.XLOOKUP(1,(B65=B$2:B$500)*(V$2:V$500="4548-4"),Y$2:Y$500,"Not Tested")</f>
        <v>Not Tested</v>
      </c>
      <c r="AA65" s="3">
        <v>120</v>
      </c>
      <c r="AB65" s="3">
        <v>69</v>
      </c>
      <c r="AC65" s="3" t="str">
        <f>IF(AND(EHR[[#This Row],[BP_Systolic_mmHg]]&lt;140,EHR[[#This Row],[BP_Diastolic_mmHg]]&lt;90),"Controlled",IF(OR(EHR[[#This Row],[BP_Systolic_mmHg]]="Not Recorded",EHR[[#This Row],[BP_Diastolic_mmHg]]="Not Recorded"),"No Reading","Uncontrolled"))</f>
        <v>Controlled</v>
      </c>
      <c r="AD65" s="3" t="str">
        <f>_xlfn.CONCAT(EHR[[#This Row],[BP_Systolic_mmHg]],"/",EHR[[#This Row],[BP_Diastolic_mmHg]])</f>
        <v>120/69</v>
      </c>
      <c r="AE65" s="3">
        <v>82</v>
      </c>
      <c r="AF65" s="3">
        <v>21</v>
      </c>
      <c r="AG65" s="3">
        <v>38.5</v>
      </c>
      <c r="AH65" s="3">
        <v>35.200000000000003</v>
      </c>
      <c r="AI65" s="3" t="str">
        <f>IF(EHR[[#This Row],[BMI_kg_m2]]&gt;=30,"Obese","Non-Obese")</f>
        <v>Obese</v>
      </c>
      <c r="AJ65" s="3">
        <v>96</v>
      </c>
      <c r="AK65" s="3" t="s">
        <v>50</v>
      </c>
      <c r="AL65" s="3" t="s">
        <v>51</v>
      </c>
      <c r="AM65" s="3" t="s">
        <v>52</v>
      </c>
      <c r="AN65" s="3" t="s">
        <v>53</v>
      </c>
      <c r="AO65" s="3" t="s">
        <v>54</v>
      </c>
    </row>
    <row r="66" spans="1:41" x14ac:dyDescent="0.2">
      <c r="A66" s="6" t="s">
        <v>358</v>
      </c>
      <c r="B66" s="2" t="s">
        <v>364</v>
      </c>
      <c r="C66" s="13">
        <v>45707</v>
      </c>
      <c r="D66" s="2" t="s">
        <v>88</v>
      </c>
      <c r="E66" s="2" t="s">
        <v>61</v>
      </c>
      <c r="F66" s="2" t="s">
        <v>132</v>
      </c>
      <c r="G66" s="2" t="s">
        <v>39</v>
      </c>
      <c r="H66" s="13">
        <v>36817</v>
      </c>
      <c r="I66" s="2">
        <v>25</v>
      </c>
      <c r="J66" s="2" t="str" cm="1">
        <f t="array" ref="J6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6" s="2" t="s">
        <v>1572</v>
      </c>
      <c r="L66" s="2" t="s">
        <v>78</v>
      </c>
      <c r="M66" s="2" t="s">
        <v>45</v>
      </c>
      <c r="N66" s="2" t="s">
        <v>1574</v>
      </c>
      <c r="O66" s="2" t="s">
        <v>81</v>
      </c>
      <c r="P66" s="2" t="s">
        <v>67</v>
      </c>
      <c r="Q66" s="2" t="str">
        <f>_xlfn.XLOOKUP(EHR[[#This Row],[Primary_ICD11_Code]],'03_ICD11_Reference'!A:A,'03_ICD11_Reference'!D:D,,0)</f>
        <v>Endocrine</v>
      </c>
      <c r="R66" s="2" t="s">
        <v>68</v>
      </c>
      <c r="S66" s="2" t="s">
        <v>69</v>
      </c>
      <c r="T66" s="2" t="s">
        <v>176</v>
      </c>
      <c r="U66" s="2">
        <v>1</v>
      </c>
      <c r="V66" s="2" t="str">
        <f>_xlfn.XLOOKUP(EHR[[#This Row],[Encounter_ID]],'02_Lab_Results'!B:B,'02_Lab_Results'!D:D,,0)</f>
        <v>6768-6</v>
      </c>
      <c r="W66" s="2" t="str">
        <f>_xlfn.XLOOKUP(EHR[[#This Row],[LOINC Code]],'04_LOINC_Reference'!A:A,'04_LOINC_Reference'!F:F,,0)</f>
        <v>Biochemistry</v>
      </c>
      <c r="X66" s="2" t="str">
        <f>_xlfn.XLOOKUP(EHR[[#This Row],[LOINC Code]],'02_Lab_Results'!D:D,'02_Lab_Results'!E:E,,0)</f>
        <v>ALP</v>
      </c>
      <c r="Y66" s="2" t="str">
        <f>_xlfn.XLOOKUP(EHR[[#This Row],[LOINC Code]],'02_Lab_Results'!D:D,'02_Lab_Results'!J:J,,0)</f>
        <v>High</v>
      </c>
      <c r="Z66" s="2" t="str" cm="1">
        <f t="array" ref="Z66">_xlfn.XLOOKUP(1,(B66=B$2:B$500)*(V$2:V$500="4548-4"),Y$2:Y$500,"Not Tested")</f>
        <v>Not Tested</v>
      </c>
      <c r="AA66" s="2">
        <v>123</v>
      </c>
      <c r="AB66" s="2">
        <v>75</v>
      </c>
      <c r="AC66" s="2" t="str">
        <f>IF(AND(EHR[[#This Row],[BP_Systolic_mmHg]]&lt;140,EHR[[#This Row],[BP_Diastolic_mmHg]]&lt;90),"Controlled",IF(OR(EHR[[#This Row],[BP_Systolic_mmHg]]="Not Recorded",EHR[[#This Row],[BP_Diastolic_mmHg]]="Not Recorded"),"No Reading","Uncontrolled"))</f>
        <v>Controlled</v>
      </c>
      <c r="AD66" s="2" t="str">
        <f>_xlfn.CONCAT(EHR[[#This Row],[BP_Systolic_mmHg]],"/",EHR[[#This Row],[BP_Diastolic_mmHg]])</f>
        <v>123/75</v>
      </c>
      <c r="AE66" s="2">
        <v>50</v>
      </c>
      <c r="AF66" s="2">
        <v>26</v>
      </c>
      <c r="AG66" s="2">
        <v>37.799999999999997</v>
      </c>
      <c r="AH66" s="2">
        <v>28.9</v>
      </c>
      <c r="AI66" s="2" t="str">
        <f>IF(EHR[[#This Row],[BMI_kg_m2]]&gt;=30,"Obese","Non-Obese")</f>
        <v>Non-Obese</v>
      </c>
      <c r="AJ66" s="2">
        <v>89</v>
      </c>
      <c r="AK66" s="2" t="s">
        <v>50</v>
      </c>
      <c r="AL66" s="2" t="s">
        <v>51</v>
      </c>
      <c r="AM66" s="2" t="s">
        <v>52</v>
      </c>
      <c r="AN66" s="2" t="s">
        <v>53</v>
      </c>
      <c r="AO66" s="2" t="s">
        <v>54</v>
      </c>
    </row>
    <row r="67" spans="1:41" x14ac:dyDescent="0.2">
      <c r="A67" s="7" t="s">
        <v>358</v>
      </c>
      <c r="B67" s="3" t="s">
        <v>365</v>
      </c>
      <c r="C67" s="14">
        <v>45276</v>
      </c>
      <c r="D67" s="3" t="s">
        <v>36</v>
      </c>
      <c r="E67" s="3" t="s">
        <v>96</v>
      </c>
      <c r="F67" s="3" t="s">
        <v>132</v>
      </c>
      <c r="G67" s="3" t="s">
        <v>98</v>
      </c>
      <c r="H67" s="14">
        <v>36817</v>
      </c>
      <c r="I67" s="3">
        <v>25</v>
      </c>
      <c r="J67" s="3" t="str" cm="1">
        <f t="array" ref="J6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7" s="3" t="s">
        <v>1572</v>
      </c>
      <c r="L67" s="3" t="s">
        <v>90</v>
      </c>
      <c r="M67" s="3" t="s">
        <v>45</v>
      </c>
      <c r="N67" s="3" t="s">
        <v>1574</v>
      </c>
      <c r="O67" s="3" t="s">
        <v>81</v>
      </c>
      <c r="P67" s="3" t="s">
        <v>67</v>
      </c>
      <c r="Q67" s="3" t="str">
        <f>_xlfn.XLOOKUP(EHR[[#This Row],[Primary_ICD11_Code]],'03_ICD11_Reference'!A:A,'03_ICD11_Reference'!D:D,,0)</f>
        <v>Endocrine</v>
      </c>
      <c r="R67" s="3" t="s">
        <v>68</v>
      </c>
      <c r="S67" s="3" t="s">
        <v>69</v>
      </c>
      <c r="T67" s="3" t="s">
        <v>176</v>
      </c>
      <c r="U67" s="3">
        <v>1</v>
      </c>
      <c r="V67" s="3" t="str">
        <f>_xlfn.XLOOKUP(EHR[[#This Row],[Encounter_ID]],'02_Lab_Results'!B:B,'02_Lab_Results'!D:D,,0)</f>
        <v>6768-6</v>
      </c>
      <c r="W67" s="3" t="str">
        <f>_xlfn.XLOOKUP(EHR[[#This Row],[LOINC Code]],'04_LOINC_Reference'!A:A,'04_LOINC_Reference'!F:F,,0)</f>
        <v>Biochemistry</v>
      </c>
      <c r="X67" s="3" t="str">
        <f>_xlfn.XLOOKUP(EHR[[#This Row],[LOINC Code]],'02_Lab_Results'!D:D,'02_Lab_Results'!E:E,,0)</f>
        <v>ALP</v>
      </c>
      <c r="Y67" s="3" t="str">
        <f>_xlfn.XLOOKUP(EHR[[#This Row],[LOINC Code]],'02_Lab_Results'!D:D,'02_Lab_Results'!J:J,,0)</f>
        <v>High</v>
      </c>
      <c r="Z67" s="3" t="str" cm="1">
        <f t="array" ref="Z67">_xlfn.XLOOKUP(1,(B67=B$2:B$500)*(V$2:V$500="4548-4"),Y$2:Y$500,"Not Tested")</f>
        <v>Not Tested</v>
      </c>
      <c r="AA67" s="3">
        <v>109</v>
      </c>
      <c r="AB67" s="3">
        <v>74</v>
      </c>
      <c r="AC67" s="3" t="str">
        <f>IF(AND(EHR[[#This Row],[BP_Systolic_mmHg]]&lt;140,EHR[[#This Row],[BP_Diastolic_mmHg]]&lt;90),"Controlled",IF(OR(EHR[[#This Row],[BP_Systolic_mmHg]]="Not Recorded",EHR[[#This Row],[BP_Diastolic_mmHg]]="Not Recorded"),"No Reading","Uncontrolled"))</f>
        <v>Controlled</v>
      </c>
      <c r="AD67" s="3" t="str">
        <f>_xlfn.CONCAT(EHR[[#This Row],[BP_Systolic_mmHg]],"/",EHR[[#This Row],[BP_Diastolic_mmHg]])</f>
        <v>109/74</v>
      </c>
      <c r="AE67" s="3">
        <v>74</v>
      </c>
      <c r="AF67" s="3">
        <v>27</v>
      </c>
      <c r="AG67" s="3">
        <v>37.9</v>
      </c>
      <c r="AH67" s="3">
        <v>42.7</v>
      </c>
      <c r="AI67" s="3" t="str">
        <f>IF(EHR[[#This Row],[BMI_kg_m2]]&gt;=30,"Obese","Non-Obese")</f>
        <v>Obese</v>
      </c>
      <c r="AJ67" s="3">
        <v>89</v>
      </c>
      <c r="AK67" s="3" t="s">
        <v>50</v>
      </c>
      <c r="AL67" s="3" t="s">
        <v>51</v>
      </c>
      <c r="AM67" s="3" t="s">
        <v>52</v>
      </c>
      <c r="AN67" s="3" t="s">
        <v>53</v>
      </c>
      <c r="AO67" s="3" t="s">
        <v>54</v>
      </c>
    </row>
    <row r="68" spans="1:41" x14ac:dyDescent="0.2">
      <c r="A68" s="6" t="s">
        <v>358</v>
      </c>
      <c r="B68" s="2" t="s">
        <v>367</v>
      </c>
      <c r="C68" s="13">
        <v>45379</v>
      </c>
      <c r="D68" s="2" t="s">
        <v>88</v>
      </c>
      <c r="E68" s="2" t="s">
        <v>37</v>
      </c>
      <c r="F68" s="2" t="s">
        <v>75</v>
      </c>
      <c r="G68" s="2" t="s">
        <v>138</v>
      </c>
      <c r="H68" s="13">
        <v>36817</v>
      </c>
      <c r="I68" s="2">
        <v>25</v>
      </c>
      <c r="J68" s="2" t="str" cm="1">
        <f t="array" ref="J6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8" s="2" t="s">
        <v>1572</v>
      </c>
      <c r="L68" s="2" t="s">
        <v>42</v>
      </c>
      <c r="M68" s="2" t="s">
        <v>45</v>
      </c>
      <c r="N68" s="2" t="s">
        <v>1574</v>
      </c>
      <c r="O68" s="2" t="s">
        <v>81</v>
      </c>
      <c r="P68" s="2" t="s">
        <v>67</v>
      </c>
      <c r="Q68" s="2" t="str">
        <f>_xlfn.XLOOKUP(EHR[[#This Row],[Primary_ICD11_Code]],'03_ICD11_Reference'!A:A,'03_ICD11_Reference'!D:D,,0)</f>
        <v>Endocrine</v>
      </c>
      <c r="R68" s="2" t="s">
        <v>68</v>
      </c>
      <c r="S68" s="2" t="s">
        <v>69</v>
      </c>
      <c r="T68" s="2" t="s">
        <v>369</v>
      </c>
      <c r="U68" s="2">
        <v>3</v>
      </c>
      <c r="V68" s="2" t="str">
        <f>_xlfn.XLOOKUP(EHR[[#This Row],[Encounter_ID]],'02_Lab_Results'!B:B,'02_Lab_Results'!D:D,,0)</f>
        <v>2345-7</v>
      </c>
      <c r="W68" s="2" t="str">
        <f>_xlfn.XLOOKUP(EHR[[#This Row],[LOINC Code]],'04_LOINC_Reference'!A:A,'04_LOINC_Reference'!F:F,,0)</f>
        <v>Biochemistry</v>
      </c>
      <c r="X68" s="2" t="str">
        <f>_xlfn.XLOOKUP(EHR[[#This Row],[LOINC Code]],'02_Lab_Results'!D:D,'02_Lab_Results'!E:E,,0)</f>
        <v>Serum glucose (fasting)</v>
      </c>
      <c r="Y68" s="2" t="str">
        <f>_xlfn.XLOOKUP(EHR[[#This Row],[LOINC Code]],'02_Lab_Results'!D:D,'02_Lab_Results'!J:J,,0)</f>
        <v>Normal</v>
      </c>
      <c r="Z68" s="2" t="str" cm="1">
        <f t="array" ref="Z68">_xlfn.XLOOKUP(1,(B68=B$2:B$500)*(V$2:V$500="4548-4"),Y$2:Y$500,"Not Tested")</f>
        <v>Not Tested</v>
      </c>
      <c r="AA68" s="2">
        <v>132</v>
      </c>
      <c r="AB68" s="2">
        <v>68</v>
      </c>
      <c r="AC68" s="2" t="str">
        <f>IF(AND(EHR[[#This Row],[BP_Systolic_mmHg]]&lt;140,EHR[[#This Row],[BP_Diastolic_mmHg]]&lt;90),"Controlled",IF(OR(EHR[[#This Row],[BP_Systolic_mmHg]]="Not Recorded",EHR[[#This Row],[BP_Diastolic_mmHg]]="Not Recorded"),"No Reading","Uncontrolled"))</f>
        <v>Controlled</v>
      </c>
      <c r="AD68" s="2" t="str">
        <f>_xlfn.CONCAT(EHR[[#This Row],[BP_Systolic_mmHg]],"/",EHR[[#This Row],[BP_Diastolic_mmHg]])</f>
        <v>132/68</v>
      </c>
      <c r="AE68" s="2">
        <v>88</v>
      </c>
      <c r="AF68" s="2">
        <v>18</v>
      </c>
      <c r="AG68" s="2">
        <v>36.4</v>
      </c>
      <c r="AH68" s="2">
        <v>36.799999999999997</v>
      </c>
      <c r="AI68" s="2" t="str">
        <f>IF(EHR[[#This Row],[BMI_kg_m2]]&gt;=30,"Obese","Non-Obese")</f>
        <v>Obese</v>
      </c>
      <c r="AJ68" s="2">
        <v>95</v>
      </c>
      <c r="AK68" s="2" t="s">
        <v>50</v>
      </c>
      <c r="AL68" s="2" t="s">
        <v>51</v>
      </c>
      <c r="AM68" s="2" t="s">
        <v>52</v>
      </c>
      <c r="AN68" s="2" t="s">
        <v>53</v>
      </c>
      <c r="AO68" s="2" t="s">
        <v>54</v>
      </c>
    </row>
    <row r="69" spans="1:41" x14ac:dyDescent="0.2">
      <c r="A69" s="7" t="s">
        <v>358</v>
      </c>
      <c r="B69" s="3" t="s">
        <v>370</v>
      </c>
      <c r="C69" s="14">
        <v>45143</v>
      </c>
      <c r="D69" s="3" t="s">
        <v>36</v>
      </c>
      <c r="E69" s="3" t="s">
        <v>37</v>
      </c>
      <c r="F69" s="3" t="s">
        <v>132</v>
      </c>
      <c r="G69" s="3" t="s">
        <v>123</v>
      </c>
      <c r="H69" s="14">
        <v>36817</v>
      </c>
      <c r="I69" s="3">
        <v>25</v>
      </c>
      <c r="J69" s="3" t="str" cm="1">
        <f t="array" ref="J6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69" s="3" t="s">
        <v>1572</v>
      </c>
      <c r="L69" s="3" t="s">
        <v>78</v>
      </c>
      <c r="M69" s="3" t="s">
        <v>45</v>
      </c>
      <c r="N69" s="3" t="s">
        <v>1574</v>
      </c>
      <c r="O69" s="3" t="s">
        <v>81</v>
      </c>
      <c r="P69" s="3" t="s">
        <v>67</v>
      </c>
      <c r="Q69" s="3" t="str">
        <f>_xlfn.XLOOKUP(EHR[[#This Row],[Primary_ICD11_Code]],'03_ICD11_Reference'!A:A,'03_ICD11_Reference'!D:D,,0)</f>
        <v>Endocrine</v>
      </c>
      <c r="R69" s="3" t="s">
        <v>68</v>
      </c>
      <c r="S69" s="3" t="s">
        <v>69</v>
      </c>
      <c r="T69" s="3" t="s">
        <v>372</v>
      </c>
      <c r="U69" s="3">
        <v>2</v>
      </c>
      <c r="V69" s="3" t="str">
        <f>_xlfn.XLOOKUP(EHR[[#This Row],[Encounter_ID]],'02_Lab_Results'!B:B,'02_Lab_Results'!D:D,,0)</f>
        <v>2160-0</v>
      </c>
      <c r="W69" s="3" t="str">
        <f>_xlfn.XLOOKUP(EHR[[#This Row],[LOINC Code]],'04_LOINC_Reference'!A:A,'04_LOINC_Reference'!F:F,,0)</f>
        <v>Biochemistry</v>
      </c>
      <c r="X69" s="3" t="str">
        <f>_xlfn.XLOOKUP(EHR[[#This Row],[LOINC Code]],'02_Lab_Results'!D:D,'02_Lab_Results'!E:E,,0)</f>
        <v>Serum creatinine</v>
      </c>
      <c r="Y69" s="3" t="str">
        <f>_xlfn.XLOOKUP(EHR[[#This Row],[LOINC Code]],'02_Lab_Results'!D:D,'02_Lab_Results'!J:J,,0)</f>
        <v>Normal</v>
      </c>
      <c r="Z69" s="3" t="str" cm="1">
        <f t="array" ref="Z69">_xlfn.XLOOKUP(1,(B69=B$2:B$500)*(V$2:V$500="4548-4"),Y$2:Y$500,"Not Tested")</f>
        <v>Not Tested</v>
      </c>
      <c r="AA69" s="3">
        <v>164</v>
      </c>
      <c r="AB69" s="3">
        <v>101</v>
      </c>
      <c r="AC69" s="3" t="str">
        <f>IF(AND(EHR[[#This Row],[BP_Systolic_mmHg]]&lt;140,EHR[[#This Row],[BP_Diastolic_mmHg]]&lt;90),"Controlled",IF(OR(EHR[[#This Row],[BP_Systolic_mmHg]]="Not Recorded",EHR[[#This Row],[BP_Diastolic_mmHg]]="Not Recorded"),"No Reading","Uncontrolled"))</f>
        <v>Uncontrolled</v>
      </c>
      <c r="AD69" s="3" t="str">
        <f>_xlfn.CONCAT(EHR[[#This Row],[BP_Systolic_mmHg]],"/",EHR[[#This Row],[BP_Diastolic_mmHg]])</f>
        <v>164/101</v>
      </c>
      <c r="AE69" s="3">
        <v>72</v>
      </c>
      <c r="AF69" s="3">
        <v>14</v>
      </c>
      <c r="AG69" s="3">
        <v>37.6</v>
      </c>
      <c r="AH69" s="3">
        <v>29.8</v>
      </c>
      <c r="AI69" s="3" t="str">
        <f>IF(EHR[[#This Row],[BMI_kg_m2]]&gt;=30,"Obese","Non-Obese")</f>
        <v>Non-Obese</v>
      </c>
      <c r="AJ69" s="3">
        <v>89</v>
      </c>
      <c r="AK69" s="3" t="s">
        <v>50</v>
      </c>
      <c r="AL69" s="3" t="s">
        <v>51</v>
      </c>
      <c r="AM69" s="3" t="s">
        <v>52</v>
      </c>
      <c r="AN69" s="3" t="s">
        <v>53</v>
      </c>
      <c r="AO69" s="3" t="s">
        <v>54</v>
      </c>
    </row>
    <row r="70" spans="1:41" x14ac:dyDescent="0.2">
      <c r="A70" s="6" t="s">
        <v>373</v>
      </c>
      <c r="B70" s="2" t="s">
        <v>374</v>
      </c>
      <c r="C70" s="13">
        <v>45341</v>
      </c>
      <c r="D70" s="2" t="s">
        <v>95</v>
      </c>
      <c r="E70" s="2" t="s">
        <v>89</v>
      </c>
      <c r="F70" s="2" t="s">
        <v>132</v>
      </c>
      <c r="G70" s="2" t="s">
        <v>63</v>
      </c>
      <c r="H70" s="13">
        <v>17957</v>
      </c>
      <c r="I70" s="2">
        <v>76</v>
      </c>
      <c r="J70" s="2" t="str" cm="1">
        <f t="array" ref="J7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70" s="2" t="s">
        <v>1572</v>
      </c>
      <c r="L70" s="2" t="s">
        <v>78</v>
      </c>
      <c r="M70" s="2" t="s">
        <v>141</v>
      </c>
      <c r="N70" s="2" t="s">
        <v>1574</v>
      </c>
      <c r="O70" s="2" t="s">
        <v>1574</v>
      </c>
      <c r="P70" s="2" t="s">
        <v>67</v>
      </c>
      <c r="Q70" s="2" t="str">
        <f>_xlfn.XLOOKUP(EHR[[#This Row],[Primary_ICD11_Code]],'03_ICD11_Reference'!A:A,'03_ICD11_Reference'!D:D,,0)</f>
        <v>Endocrine</v>
      </c>
      <c r="R70" s="2" t="s">
        <v>68</v>
      </c>
      <c r="S70" s="2" t="s">
        <v>69</v>
      </c>
      <c r="T70" s="2" t="s">
        <v>320</v>
      </c>
      <c r="U70" s="2">
        <v>1</v>
      </c>
      <c r="V70" s="2" t="str">
        <f>_xlfn.XLOOKUP(EHR[[#This Row],[Encounter_ID]],'02_Lab_Results'!B:B,'02_Lab_Results'!D:D,,0)</f>
        <v>4548-4</v>
      </c>
      <c r="W70" s="2" t="str">
        <f>_xlfn.XLOOKUP(EHR[[#This Row],[LOINC Code]],'04_LOINC_Reference'!A:A,'04_LOINC_Reference'!F:F,,0)</f>
        <v>Biochemistry</v>
      </c>
      <c r="X70" s="2" t="str">
        <f>_xlfn.XLOOKUP(EHR[[#This Row],[LOINC Code]],'02_Lab_Results'!D:D,'02_Lab_Results'!E:E,,0)</f>
        <v>HbA1c</v>
      </c>
      <c r="Y70" s="2" t="str">
        <f>_xlfn.XLOOKUP(EHR[[#This Row],[LOINC Code]],'02_Lab_Results'!D:D,'02_Lab_Results'!J:J,,0)</f>
        <v>High</v>
      </c>
      <c r="Z70" s="2" t="str" cm="1">
        <f t="array" ref="Z70">_xlfn.XLOOKUP(1,(B70=B$2:B$500)*(V$2:V$500="4548-4"),Y$2:Y$500,"Not Tested")</f>
        <v>High</v>
      </c>
      <c r="AA70" s="2">
        <v>97</v>
      </c>
      <c r="AB70" s="2">
        <v>74</v>
      </c>
      <c r="AC70" s="2" t="str">
        <f>IF(AND(EHR[[#This Row],[BP_Systolic_mmHg]]&lt;140,EHR[[#This Row],[BP_Diastolic_mmHg]]&lt;90),"Controlled",IF(OR(EHR[[#This Row],[BP_Systolic_mmHg]]="Not Recorded",EHR[[#This Row],[BP_Diastolic_mmHg]]="Not Recorded"),"No Reading","Uncontrolled"))</f>
        <v>Controlled</v>
      </c>
      <c r="AD70" s="2" t="str">
        <f>_xlfn.CONCAT(EHR[[#This Row],[BP_Systolic_mmHg]],"/",EHR[[#This Row],[BP_Diastolic_mmHg]])</f>
        <v>97/74</v>
      </c>
      <c r="AE70" s="2">
        <v>110</v>
      </c>
      <c r="AF70" s="2">
        <v>22</v>
      </c>
      <c r="AG70" s="2">
        <v>38.700000000000003</v>
      </c>
      <c r="AH70" s="2">
        <v>43.7</v>
      </c>
      <c r="AI70" s="2" t="str">
        <f>IF(EHR[[#This Row],[BMI_kg_m2]]&gt;=30,"Obese","Non-Obese")</f>
        <v>Obese</v>
      </c>
      <c r="AJ70" s="2">
        <v>88</v>
      </c>
      <c r="AK70" s="2" t="s">
        <v>50</v>
      </c>
      <c r="AL70" s="2" t="s">
        <v>51</v>
      </c>
      <c r="AM70" s="2" t="s">
        <v>52</v>
      </c>
      <c r="AN70" s="2" t="s">
        <v>53</v>
      </c>
      <c r="AO70" s="2" t="s">
        <v>54</v>
      </c>
    </row>
    <row r="71" spans="1:41" x14ac:dyDescent="0.2">
      <c r="A71" s="7" t="s">
        <v>373</v>
      </c>
      <c r="B71" s="3" t="s">
        <v>377</v>
      </c>
      <c r="C71" s="14">
        <v>45244</v>
      </c>
      <c r="D71" s="3" t="s">
        <v>60</v>
      </c>
      <c r="E71" s="3" t="s">
        <v>61</v>
      </c>
      <c r="F71" s="3" t="s">
        <v>62</v>
      </c>
      <c r="G71" s="3" t="s">
        <v>138</v>
      </c>
      <c r="H71" s="14">
        <v>17957</v>
      </c>
      <c r="I71" s="3">
        <v>76</v>
      </c>
      <c r="J71" s="3" t="str" cm="1">
        <f t="array" ref="J7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71" s="3" t="s">
        <v>1572</v>
      </c>
      <c r="L71" s="3" t="s">
        <v>140</v>
      </c>
      <c r="M71" s="3" t="s">
        <v>141</v>
      </c>
      <c r="N71" s="3" t="s">
        <v>1574</v>
      </c>
      <c r="O71" s="3" t="s">
        <v>1574</v>
      </c>
      <c r="P71" s="3" t="s">
        <v>67</v>
      </c>
      <c r="Q71" s="3" t="str">
        <f>_xlfn.XLOOKUP(EHR[[#This Row],[Primary_ICD11_Code]],'03_ICD11_Reference'!A:A,'03_ICD11_Reference'!D:D,,0)</f>
        <v>Endocrine</v>
      </c>
      <c r="R71" s="3" t="s">
        <v>68</v>
      </c>
      <c r="S71" s="3" t="s">
        <v>69</v>
      </c>
      <c r="T71" s="3" t="s">
        <v>379</v>
      </c>
      <c r="U71" s="3">
        <v>3</v>
      </c>
      <c r="V71" s="3" t="str">
        <f>_xlfn.XLOOKUP(EHR[[#This Row],[Encounter_ID]],'02_Lab_Results'!B:B,'02_Lab_Results'!D:D,,0)</f>
        <v>17861-6</v>
      </c>
      <c r="W71" s="3" t="str">
        <f>_xlfn.XLOOKUP(EHR[[#This Row],[LOINC Code]],'04_LOINC_Reference'!A:A,'04_LOINC_Reference'!F:F,,0)</f>
        <v>Biochemistry</v>
      </c>
      <c r="X71" s="3" t="str">
        <f>_xlfn.XLOOKUP(EHR[[#This Row],[LOINC Code]],'02_Lab_Results'!D:D,'02_Lab_Results'!E:E,,0)</f>
        <v>Serum calcium</v>
      </c>
      <c r="Y71" s="3" t="str">
        <f>_xlfn.XLOOKUP(EHR[[#This Row],[LOINC Code]],'02_Lab_Results'!D:D,'02_Lab_Results'!J:J,,0)</f>
        <v>High</v>
      </c>
      <c r="Z71" s="3" t="str" cm="1">
        <f t="array" ref="Z71">_xlfn.XLOOKUP(1,(B71=B$2:B$500)*(V$2:V$500="4548-4"),Y$2:Y$500,"Not Tested")</f>
        <v>Not Tested</v>
      </c>
      <c r="AA71" s="3">
        <v>162</v>
      </c>
      <c r="AB71" s="3">
        <v>68</v>
      </c>
      <c r="AC71" s="3" t="str">
        <f>IF(AND(EHR[[#This Row],[BP_Systolic_mmHg]]&lt;140,EHR[[#This Row],[BP_Diastolic_mmHg]]&lt;90),"Controlled",IF(OR(EHR[[#This Row],[BP_Systolic_mmHg]]="Not Recorded",EHR[[#This Row],[BP_Diastolic_mmHg]]="Not Recorded"),"No Reading","Uncontrolled"))</f>
        <v>Uncontrolled</v>
      </c>
      <c r="AD71" s="3" t="str">
        <f>_xlfn.CONCAT(EHR[[#This Row],[BP_Systolic_mmHg]],"/",EHR[[#This Row],[BP_Diastolic_mmHg]])</f>
        <v>162/68</v>
      </c>
      <c r="AE71" s="3">
        <v>108</v>
      </c>
      <c r="AF71" s="3">
        <v>13</v>
      </c>
      <c r="AG71" s="3">
        <v>38</v>
      </c>
      <c r="AH71" s="3">
        <v>32.6</v>
      </c>
      <c r="AI71" s="3" t="str">
        <f>IF(EHR[[#This Row],[BMI_kg_m2]]&gt;=30,"Obese","Non-Obese")</f>
        <v>Obese</v>
      </c>
      <c r="AJ71" s="3">
        <v>90</v>
      </c>
      <c r="AK71" s="3" t="s">
        <v>50</v>
      </c>
      <c r="AL71" s="3" t="s">
        <v>51</v>
      </c>
      <c r="AM71" s="3" t="s">
        <v>52</v>
      </c>
      <c r="AN71" s="3" t="s">
        <v>53</v>
      </c>
      <c r="AO71" s="3" t="s">
        <v>54</v>
      </c>
    </row>
    <row r="72" spans="1:41" x14ac:dyDescent="0.2">
      <c r="A72" s="6" t="s">
        <v>373</v>
      </c>
      <c r="B72" s="2" t="s">
        <v>380</v>
      </c>
      <c r="C72" s="13">
        <v>45543</v>
      </c>
      <c r="D72" s="2" t="s">
        <v>95</v>
      </c>
      <c r="E72" s="2" t="s">
        <v>37</v>
      </c>
      <c r="F72" s="2" t="s">
        <v>219</v>
      </c>
      <c r="G72" s="2" t="s">
        <v>98</v>
      </c>
      <c r="H72" s="13">
        <v>17957</v>
      </c>
      <c r="I72" s="2">
        <v>76</v>
      </c>
      <c r="J72" s="2" t="str" cm="1">
        <f t="array" ref="J7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72" s="2" t="s">
        <v>1572</v>
      </c>
      <c r="L72" s="2" t="s">
        <v>116</v>
      </c>
      <c r="M72" s="2" t="s">
        <v>141</v>
      </c>
      <c r="N72" s="2" t="s">
        <v>1574</v>
      </c>
      <c r="O72" s="2" t="s">
        <v>1574</v>
      </c>
      <c r="P72" s="2" t="s">
        <v>67</v>
      </c>
      <c r="Q72" s="2" t="str">
        <f>_xlfn.XLOOKUP(EHR[[#This Row],[Primary_ICD11_Code]],'03_ICD11_Reference'!A:A,'03_ICD11_Reference'!D:D,,0)</f>
        <v>Endocrine</v>
      </c>
      <c r="R72" s="2" t="s">
        <v>68</v>
      </c>
      <c r="S72" s="2" t="s">
        <v>69</v>
      </c>
      <c r="T72" s="2" t="s">
        <v>382</v>
      </c>
      <c r="U72" s="2">
        <v>4</v>
      </c>
      <c r="V72" s="2" t="str">
        <f>_xlfn.XLOOKUP(EHR[[#This Row],[Encounter_ID]],'02_Lab_Results'!B:B,'02_Lab_Results'!D:D,,0)</f>
        <v>2777-1</v>
      </c>
      <c r="W72" s="2" t="str">
        <f>_xlfn.XLOOKUP(EHR[[#This Row],[LOINC Code]],'04_LOINC_Reference'!A:A,'04_LOINC_Reference'!F:F,,0)</f>
        <v>Biochemistry</v>
      </c>
      <c r="X72" s="2" t="str">
        <f>_xlfn.XLOOKUP(EHR[[#This Row],[LOINC Code]],'02_Lab_Results'!D:D,'02_Lab_Results'!E:E,,0)</f>
        <v>Serum phosphate</v>
      </c>
      <c r="Y72" s="2" t="str">
        <f>_xlfn.XLOOKUP(EHR[[#This Row],[LOINC Code]],'02_Lab_Results'!D:D,'02_Lab_Results'!J:J,,0)</f>
        <v>Normal</v>
      </c>
      <c r="Z72" s="2" t="str" cm="1">
        <f t="array" ref="Z72">_xlfn.XLOOKUP(1,(B72=B$2:B$500)*(V$2:V$500="4548-4"),Y$2:Y$500,"Not Tested")</f>
        <v>Not Tested</v>
      </c>
      <c r="AA72" s="2">
        <v>109</v>
      </c>
      <c r="AB72" s="2">
        <v>101</v>
      </c>
      <c r="AC72" s="2" t="str">
        <f>IF(AND(EHR[[#This Row],[BP_Systolic_mmHg]]&lt;140,EHR[[#This Row],[BP_Diastolic_mmHg]]&lt;90),"Controlled",IF(OR(EHR[[#This Row],[BP_Systolic_mmHg]]="Not Recorded",EHR[[#This Row],[BP_Diastolic_mmHg]]="Not Recorded"),"No Reading","Uncontrolled"))</f>
        <v>Uncontrolled</v>
      </c>
      <c r="AD72" s="2" t="str">
        <f>_xlfn.CONCAT(EHR[[#This Row],[BP_Systolic_mmHg]],"/",EHR[[#This Row],[BP_Diastolic_mmHg]])</f>
        <v>109/101</v>
      </c>
      <c r="AE72" s="2">
        <v>56</v>
      </c>
      <c r="AF72" s="2">
        <v>27</v>
      </c>
      <c r="AG72" s="2">
        <v>38</v>
      </c>
      <c r="AH72" s="2">
        <v>30.7</v>
      </c>
      <c r="AI72" s="2" t="str">
        <f>IF(EHR[[#This Row],[BMI_kg_m2]]&gt;=30,"Obese","Non-Obese")</f>
        <v>Obese</v>
      </c>
      <c r="AJ72" s="2">
        <v>94</v>
      </c>
      <c r="AK72" s="2" t="s">
        <v>50</v>
      </c>
      <c r="AL72" s="2" t="s">
        <v>51</v>
      </c>
      <c r="AM72" s="2" t="s">
        <v>52</v>
      </c>
      <c r="AN72" s="2" t="s">
        <v>53</v>
      </c>
      <c r="AO72" s="2" t="s">
        <v>54</v>
      </c>
    </row>
    <row r="73" spans="1:41" x14ac:dyDescent="0.2">
      <c r="A73" s="7" t="s">
        <v>373</v>
      </c>
      <c r="B73" s="3" t="s">
        <v>383</v>
      </c>
      <c r="C73" s="14">
        <v>45237</v>
      </c>
      <c r="D73" s="3" t="s">
        <v>95</v>
      </c>
      <c r="E73" s="3" t="s">
        <v>96</v>
      </c>
      <c r="F73" s="3" t="s">
        <v>97</v>
      </c>
      <c r="G73" s="3" t="s">
        <v>123</v>
      </c>
      <c r="H73" s="14">
        <v>17957</v>
      </c>
      <c r="I73" s="3">
        <v>76</v>
      </c>
      <c r="J73" s="3" t="str" cm="1">
        <f t="array" ref="J7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73" s="3" t="s">
        <v>1572</v>
      </c>
      <c r="L73" s="3" t="s">
        <v>78</v>
      </c>
      <c r="M73" s="3" t="s">
        <v>141</v>
      </c>
      <c r="N73" s="3" t="s">
        <v>1574</v>
      </c>
      <c r="O73" s="3" t="s">
        <v>1574</v>
      </c>
      <c r="P73" s="3" t="s">
        <v>67</v>
      </c>
      <c r="Q73" s="3" t="str">
        <f>_xlfn.XLOOKUP(EHR[[#This Row],[Primary_ICD11_Code]],'03_ICD11_Reference'!A:A,'03_ICD11_Reference'!D:D,,0)</f>
        <v>Endocrine</v>
      </c>
      <c r="R73" s="3" t="s">
        <v>68</v>
      </c>
      <c r="S73" s="3" t="s">
        <v>69</v>
      </c>
      <c r="T73" s="3" t="s">
        <v>385</v>
      </c>
      <c r="U73" s="3">
        <v>3</v>
      </c>
      <c r="V73" s="3" t="str">
        <f>_xlfn.XLOOKUP(EHR[[#This Row],[Encounter_ID]],'02_Lab_Results'!B:B,'02_Lab_Results'!D:D,,0)</f>
        <v>2085-9</v>
      </c>
      <c r="W73" s="3" t="str">
        <f>_xlfn.XLOOKUP(EHR[[#This Row],[LOINC Code]],'04_LOINC_Reference'!A:A,'04_LOINC_Reference'!F:F,,0)</f>
        <v>Biochemistry</v>
      </c>
      <c r="X73" s="3" t="str">
        <f>_xlfn.XLOOKUP(EHR[[#This Row],[LOINC Code]],'02_Lab_Results'!D:D,'02_Lab_Results'!E:E,,0)</f>
        <v>HDL cholesterol</v>
      </c>
      <c r="Y73" s="3" t="str">
        <f>_xlfn.XLOOKUP(EHR[[#This Row],[LOINC Code]],'02_Lab_Results'!D:D,'02_Lab_Results'!J:J,,0)</f>
        <v>Normal</v>
      </c>
      <c r="Z73" s="3" t="str" cm="1">
        <f t="array" ref="Z73">_xlfn.XLOOKUP(1,(B73=B$2:B$500)*(V$2:V$500="4548-4"),Y$2:Y$500,"Not Tested")</f>
        <v>Not Tested</v>
      </c>
      <c r="AA73" s="3">
        <v>167</v>
      </c>
      <c r="AB73" s="3">
        <v>90</v>
      </c>
      <c r="AC73" s="3" t="str">
        <f>IF(AND(EHR[[#This Row],[BP_Systolic_mmHg]]&lt;140,EHR[[#This Row],[BP_Diastolic_mmHg]]&lt;90),"Controlled",IF(OR(EHR[[#This Row],[BP_Systolic_mmHg]]="Not Recorded",EHR[[#This Row],[BP_Diastolic_mmHg]]="Not Recorded"),"No Reading","Uncontrolled"))</f>
        <v>Uncontrolled</v>
      </c>
      <c r="AD73" s="3" t="str">
        <f>_xlfn.CONCAT(EHR[[#This Row],[BP_Systolic_mmHg]],"/",EHR[[#This Row],[BP_Diastolic_mmHg]])</f>
        <v>167/90</v>
      </c>
      <c r="AE73" s="3">
        <v>76</v>
      </c>
      <c r="AF73" s="3">
        <v>13</v>
      </c>
      <c r="AG73" s="3">
        <v>37.5</v>
      </c>
      <c r="AH73" s="3">
        <v>18.600000000000001</v>
      </c>
      <c r="AI73" s="3" t="str">
        <f>IF(EHR[[#This Row],[BMI_kg_m2]]&gt;=30,"Obese","Non-Obese")</f>
        <v>Non-Obese</v>
      </c>
      <c r="AJ73" s="3">
        <v>92</v>
      </c>
      <c r="AK73" s="3" t="s">
        <v>50</v>
      </c>
      <c r="AL73" s="3" t="s">
        <v>51</v>
      </c>
      <c r="AM73" s="3" t="s">
        <v>52</v>
      </c>
      <c r="AN73" s="3" t="s">
        <v>53</v>
      </c>
      <c r="AO73" s="3" t="s">
        <v>54</v>
      </c>
    </row>
    <row r="74" spans="1:41" x14ac:dyDescent="0.2">
      <c r="A74" s="6" t="s">
        <v>373</v>
      </c>
      <c r="B74" s="2" t="s">
        <v>386</v>
      </c>
      <c r="C74" s="13">
        <v>45512</v>
      </c>
      <c r="D74" s="2" t="s">
        <v>60</v>
      </c>
      <c r="E74" s="2" t="s">
        <v>61</v>
      </c>
      <c r="F74" s="2" t="s">
        <v>219</v>
      </c>
      <c r="G74" s="2" t="s">
        <v>98</v>
      </c>
      <c r="H74" s="13">
        <v>17957</v>
      </c>
      <c r="I74" s="2">
        <v>76</v>
      </c>
      <c r="J74" s="2" t="str" cm="1">
        <f t="array" ref="J7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74" s="2" t="s">
        <v>1572</v>
      </c>
      <c r="L74" s="2" t="s">
        <v>90</v>
      </c>
      <c r="M74" s="2" t="s">
        <v>141</v>
      </c>
      <c r="N74" s="2" t="s">
        <v>1574</v>
      </c>
      <c r="O74" s="2" t="s">
        <v>1574</v>
      </c>
      <c r="P74" s="2" t="s">
        <v>67</v>
      </c>
      <c r="Q74" s="2" t="str">
        <f>_xlfn.XLOOKUP(EHR[[#This Row],[Primary_ICD11_Code]],'03_ICD11_Reference'!A:A,'03_ICD11_Reference'!D:D,,0)</f>
        <v>Endocrine</v>
      </c>
      <c r="R74" s="2" t="s">
        <v>68</v>
      </c>
      <c r="S74" s="2" t="s">
        <v>69</v>
      </c>
      <c r="T74" s="2" t="s">
        <v>388</v>
      </c>
      <c r="U74" s="2">
        <v>3</v>
      </c>
      <c r="V74" s="2" t="str">
        <f>_xlfn.XLOOKUP(EHR[[#This Row],[Encounter_ID]],'02_Lab_Results'!B:B,'02_Lab_Results'!D:D,,0)</f>
        <v>2951-2</v>
      </c>
      <c r="W74" s="2" t="str">
        <f>_xlfn.XLOOKUP(EHR[[#This Row],[LOINC Code]],'04_LOINC_Reference'!A:A,'04_LOINC_Reference'!F:F,,0)</f>
        <v>Biochemistry</v>
      </c>
      <c r="X74" s="2" t="str">
        <f>_xlfn.XLOOKUP(EHR[[#This Row],[LOINC Code]],'02_Lab_Results'!D:D,'02_Lab_Results'!E:E,,0)</f>
        <v>Serum sodium</v>
      </c>
      <c r="Y74" s="2" t="str">
        <f>_xlfn.XLOOKUP(EHR[[#This Row],[LOINC Code]],'02_Lab_Results'!D:D,'02_Lab_Results'!J:J,,0)</f>
        <v>Low</v>
      </c>
      <c r="Z74" s="2" t="str" cm="1">
        <f t="array" ref="Z74">_xlfn.XLOOKUP(1,(B74=B$2:B$500)*(V$2:V$500="4548-4"),Y$2:Y$500,"Not Tested")</f>
        <v>Not Tested</v>
      </c>
      <c r="AA74" s="2">
        <v>154</v>
      </c>
      <c r="AB74" s="2">
        <v>74</v>
      </c>
      <c r="AC74" s="2" t="str">
        <f>IF(AND(EHR[[#This Row],[BP_Systolic_mmHg]]&lt;140,EHR[[#This Row],[BP_Diastolic_mmHg]]&lt;90),"Controlled",IF(OR(EHR[[#This Row],[BP_Systolic_mmHg]]="Not Recorded",EHR[[#This Row],[BP_Diastolic_mmHg]]="Not Recorded"),"No Reading","Uncontrolled"))</f>
        <v>Uncontrolled</v>
      </c>
      <c r="AD74" s="2" t="str">
        <f>_xlfn.CONCAT(EHR[[#This Row],[BP_Systolic_mmHg]],"/",EHR[[#This Row],[BP_Diastolic_mmHg]])</f>
        <v>154/74</v>
      </c>
      <c r="AE74" s="2">
        <v>86</v>
      </c>
      <c r="AF74" s="2">
        <v>14</v>
      </c>
      <c r="AG74" s="2">
        <v>36.200000000000003</v>
      </c>
      <c r="AH74" s="2">
        <v>20.399999999999999</v>
      </c>
      <c r="AI74" s="2" t="str">
        <f>IF(EHR[[#This Row],[BMI_kg_m2]]&gt;=30,"Obese","Non-Obese")</f>
        <v>Non-Obese</v>
      </c>
      <c r="AJ74" s="2">
        <v>99</v>
      </c>
      <c r="AK74" s="2" t="s">
        <v>50</v>
      </c>
      <c r="AL74" s="2" t="s">
        <v>51</v>
      </c>
      <c r="AM74" s="2" t="s">
        <v>52</v>
      </c>
      <c r="AN74" s="2" t="s">
        <v>53</v>
      </c>
      <c r="AO74" s="2" t="s">
        <v>54</v>
      </c>
    </row>
    <row r="75" spans="1:41" x14ac:dyDescent="0.2">
      <c r="A75" s="7" t="s">
        <v>389</v>
      </c>
      <c r="B75" s="3" t="s">
        <v>390</v>
      </c>
      <c r="C75" s="14">
        <v>45023</v>
      </c>
      <c r="D75" s="3" t="s">
        <v>103</v>
      </c>
      <c r="E75" s="3" t="s">
        <v>167</v>
      </c>
      <c r="F75" s="3" t="s">
        <v>62</v>
      </c>
      <c r="G75" s="3" t="s">
        <v>39</v>
      </c>
      <c r="H75" s="14">
        <v>22442</v>
      </c>
      <c r="I75" s="3">
        <v>64</v>
      </c>
      <c r="J75" s="3" t="str" cm="1">
        <f t="array" ref="J7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75" s="3" t="s">
        <v>1572</v>
      </c>
      <c r="L75" s="3" t="s">
        <v>140</v>
      </c>
      <c r="M75" s="3" t="s">
        <v>79</v>
      </c>
      <c r="N75" s="3" t="s">
        <v>44</v>
      </c>
      <c r="O75" s="3" t="s">
        <v>81</v>
      </c>
      <c r="P75" s="3" t="s">
        <v>150</v>
      </c>
      <c r="Q75" s="3" t="str">
        <f>_xlfn.XLOOKUP(EHR[[#This Row],[Primary_ICD11_Code]],'03_ICD11_Reference'!A:A,'03_ICD11_Reference'!D:D,,0)</f>
        <v>Gastroenterology</v>
      </c>
      <c r="R75" s="3" t="s">
        <v>151</v>
      </c>
      <c r="S75" s="3" t="s">
        <v>69</v>
      </c>
      <c r="T75" s="3" t="s">
        <v>393</v>
      </c>
      <c r="U75" s="3">
        <v>1</v>
      </c>
      <c r="V75" s="3" t="str">
        <f>_xlfn.XLOOKUP(EHR[[#This Row],[Encounter_ID]],'02_Lab_Results'!B:B,'02_Lab_Results'!D:D,,0)</f>
        <v>2777-1</v>
      </c>
      <c r="W75" s="3" t="str">
        <f>_xlfn.XLOOKUP(EHR[[#This Row],[LOINC Code]],'04_LOINC_Reference'!A:A,'04_LOINC_Reference'!F:F,,0)</f>
        <v>Biochemistry</v>
      </c>
      <c r="X75" s="3" t="str">
        <f>_xlfn.XLOOKUP(EHR[[#This Row],[LOINC Code]],'02_Lab_Results'!D:D,'02_Lab_Results'!E:E,,0)</f>
        <v>Serum phosphate</v>
      </c>
      <c r="Y75" s="3" t="str">
        <f>_xlfn.XLOOKUP(EHR[[#This Row],[LOINC Code]],'02_Lab_Results'!D:D,'02_Lab_Results'!J:J,,0)</f>
        <v>Normal</v>
      </c>
      <c r="Z75" s="3" t="str" cm="1">
        <f t="array" ref="Z75">_xlfn.XLOOKUP(1,(B75=B$2:B$500)*(V$2:V$500="4548-4"),Y$2:Y$500,"Not Tested")</f>
        <v>Not Tested</v>
      </c>
      <c r="AA75" s="3">
        <v>145</v>
      </c>
      <c r="AB75" s="3">
        <v>78</v>
      </c>
      <c r="AC75" s="3" t="str">
        <f>IF(AND(EHR[[#This Row],[BP_Systolic_mmHg]]&lt;140,EHR[[#This Row],[BP_Diastolic_mmHg]]&lt;90),"Controlled",IF(OR(EHR[[#This Row],[BP_Systolic_mmHg]]="Not Recorded",EHR[[#This Row],[BP_Diastolic_mmHg]]="Not Recorded"),"No Reading","Uncontrolled"))</f>
        <v>Uncontrolled</v>
      </c>
      <c r="AD75" s="3" t="str">
        <f>_xlfn.CONCAT(EHR[[#This Row],[BP_Systolic_mmHg]],"/",EHR[[#This Row],[BP_Diastolic_mmHg]])</f>
        <v>145/78</v>
      </c>
      <c r="AE75" s="3">
        <v>69</v>
      </c>
      <c r="AF75" s="3">
        <v>26</v>
      </c>
      <c r="AG75" s="3">
        <v>39.1</v>
      </c>
      <c r="AH75" s="3">
        <v>34.700000000000003</v>
      </c>
      <c r="AI75" s="3" t="str">
        <f>IF(EHR[[#This Row],[BMI_kg_m2]]&gt;=30,"Obese","Non-Obese")</f>
        <v>Obese</v>
      </c>
      <c r="AJ75" s="3">
        <v>89</v>
      </c>
      <c r="AK75" s="3" t="s">
        <v>50</v>
      </c>
      <c r="AL75" s="3" t="s">
        <v>51</v>
      </c>
      <c r="AM75" s="3" t="s">
        <v>52</v>
      </c>
      <c r="AN75" s="3" t="s">
        <v>53</v>
      </c>
      <c r="AO75" s="3" t="s">
        <v>54</v>
      </c>
    </row>
    <row r="76" spans="1:41" x14ac:dyDescent="0.2">
      <c r="A76" s="6" t="s">
        <v>389</v>
      </c>
      <c r="B76" s="2" t="s">
        <v>395</v>
      </c>
      <c r="C76" s="15">
        <v>45057</v>
      </c>
      <c r="D76" s="2" t="s">
        <v>103</v>
      </c>
      <c r="E76" s="2" t="s">
        <v>61</v>
      </c>
      <c r="F76" s="2" t="s">
        <v>109</v>
      </c>
      <c r="G76" s="2" t="s">
        <v>98</v>
      </c>
      <c r="H76" s="13">
        <v>22442</v>
      </c>
      <c r="I76" s="18">
        <f>(EHR[[#This Row],[Encounter_Date]]-EHR[[#This Row],[Patient_DOB]])/365</f>
        <v>61.958904109589042</v>
      </c>
      <c r="J76" s="18" t="str" cm="1">
        <f t="array" ref="J7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76" s="2" t="s">
        <v>1572</v>
      </c>
      <c r="L76" s="2" t="s">
        <v>140</v>
      </c>
      <c r="M76" s="2" t="s">
        <v>79</v>
      </c>
      <c r="N76" s="2" t="s">
        <v>44</v>
      </c>
      <c r="O76" s="2" t="s">
        <v>81</v>
      </c>
      <c r="P76" s="2" t="s">
        <v>150</v>
      </c>
      <c r="Q76" s="2" t="str">
        <f>_xlfn.XLOOKUP(EHR[[#This Row],[Primary_ICD11_Code]],'03_ICD11_Reference'!A:A,'03_ICD11_Reference'!D:D,,0)</f>
        <v>Gastroenterology</v>
      </c>
      <c r="R76" s="2" t="s">
        <v>151</v>
      </c>
      <c r="S76" s="2" t="s">
        <v>69</v>
      </c>
      <c r="T76" s="2" t="s">
        <v>397</v>
      </c>
      <c r="U76" s="2">
        <v>3</v>
      </c>
      <c r="V76" s="2" t="str">
        <f>_xlfn.XLOOKUP(EHR[[#This Row],[Encounter_ID]],'02_Lab_Results'!B:B,'02_Lab_Results'!D:D,,0)</f>
        <v>789-8</v>
      </c>
      <c r="W76" s="2" t="str">
        <f>_xlfn.XLOOKUP(EHR[[#This Row],[LOINC Code]],'04_LOINC_Reference'!A:A,'04_LOINC_Reference'!F:F,,0)</f>
        <v>Biochemistry</v>
      </c>
      <c r="X76" s="2" t="str">
        <f>_xlfn.XLOOKUP(EHR[[#This Row],[LOINC Code]],'02_Lab_Results'!D:D,'02_Lab_Results'!E:E,,0)</f>
        <v>RBC count</v>
      </c>
      <c r="Y76" s="2" t="str">
        <f>_xlfn.XLOOKUP(EHR[[#This Row],[LOINC Code]],'02_Lab_Results'!D:D,'02_Lab_Results'!J:J,,0)</f>
        <v>High</v>
      </c>
      <c r="Z76" s="2" t="str" cm="1">
        <f t="array" ref="Z76">_xlfn.XLOOKUP(1,(B76=B$2:B$500)*(V$2:V$500="4548-4"),Y$2:Y$500,"Not Tested")</f>
        <v>Not Tested</v>
      </c>
      <c r="AA76" s="4" t="s">
        <v>1570</v>
      </c>
      <c r="AB76" s="4" t="s">
        <v>1570</v>
      </c>
      <c r="AC76" s="4" t="str">
        <f>IF(AND(EHR[[#This Row],[BP_Systolic_mmHg]]&lt;140,EHR[[#This Row],[BP_Diastolic_mmHg]]&lt;90),"Controlled",IF(OR(EHR[[#This Row],[BP_Systolic_mmHg]]="Not Recorded",EHR[[#This Row],[BP_Diastolic_mmHg]]="Not Recorded"),"No Reading","Uncontrolled"))</f>
        <v>No Reading</v>
      </c>
      <c r="AD76" s="4" t="str">
        <f>_xlfn.CONCAT(EHR[[#This Row],[BP_Systolic_mmHg]],"/",EHR[[#This Row],[BP_Diastolic_mmHg]])</f>
        <v>Not Recorded/Not Recorded</v>
      </c>
      <c r="AE76" s="2">
        <v>105</v>
      </c>
      <c r="AF76" s="2">
        <v>23</v>
      </c>
      <c r="AG76" s="2">
        <v>37.700000000000003</v>
      </c>
      <c r="AH76" s="4" t="s">
        <v>1576</v>
      </c>
      <c r="AI76" s="4" t="str">
        <f>IF(EHR[[#This Row],[BMI_kg_m2]]&gt;=30,"Obese","Non-Obese")</f>
        <v>Obese</v>
      </c>
      <c r="AJ76" s="2">
        <v>93</v>
      </c>
      <c r="AK76" s="2" t="s">
        <v>50</v>
      </c>
      <c r="AL76" s="2" t="s">
        <v>51</v>
      </c>
      <c r="AM76" s="2" t="s">
        <v>52</v>
      </c>
      <c r="AN76" s="2" t="s">
        <v>53</v>
      </c>
      <c r="AO76" s="2" t="s">
        <v>54</v>
      </c>
    </row>
    <row r="77" spans="1:41" x14ac:dyDescent="0.2">
      <c r="A77" s="7" t="s">
        <v>389</v>
      </c>
      <c r="B77" s="3" t="s">
        <v>400</v>
      </c>
      <c r="C77" s="14">
        <v>45716</v>
      </c>
      <c r="D77" s="3" t="s">
        <v>88</v>
      </c>
      <c r="E77" s="3" t="s">
        <v>61</v>
      </c>
      <c r="F77" s="3" t="s">
        <v>219</v>
      </c>
      <c r="G77" s="3" t="s">
        <v>123</v>
      </c>
      <c r="H77" s="14">
        <v>22442</v>
      </c>
      <c r="I77" s="3">
        <v>64</v>
      </c>
      <c r="J77" s="3" t="str" cm="1">
        <f t="array" ref="J7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77" s="3" t="s">
        <v>1572</v>
      </c>
      <c r="L77" s="3" t="s">
        <v>78</v>
      </c>
      <c r="M77" s="3" t="s">
        <v>79</v>
      </c>
      <c r="N77" s="3" t="s">
        <v>44</v>
      </c>
      <c r="O77" s="3" t="s">
        <v>81</v>
      </c>
      <c r="P77" s="3" t="s">
        <v>150</v>
      </c>
      <c r="Q77" s="3" t="str">
        <f>_xlfn.XLOOKUP(EHR[[#This Row],[Primary_ICD11_Code]],'03_ICD11_Reference'!A:A,'03_ICD11_Reference'!D:D,,0)</f>
        <v>Gastroenterology</v>
      </c>
      <c r="R77" s="3" t="s">
        <v>151</v>
      </c>
      <c r="S77" s="3" t="s">
        <v>69</v>
      </c>
      <c r="T77" s="3" t="s">
        <v>402</v>
      </c>
      <c r="U77" s="3">
        <v>2</v>
      </c>
      <c r="V77" s="3" t="str">
        <f>_xlfn.XLOOKUP(EHR[[#This Row],[Encounter_ID]],'02_Lab_Results'!B:B,'02_Lab_Results'!D:D,,0)</f>
        <v>6768-6</v>
      </c>
      <c r="W77" s="3" t="str">
        <f>_xlfn.XLOOKUP(EHR[[#This Row],[LOINC Code]],'04_LOINC_Reference'!A:A,'04_LOINC_Reference'!F:F,,0)</f>
        <v>Biochemistry</v>
      </c>
      <c r="X77" s="3" t="str">
        <f>_xlfn.XLOOKUP(EHR[[#This Row],[LOINC Code]],'02_Lab_Results'!D:D,'02_Lab_Results'!E:E,,0)</f>
        <v>ALP</v>
      </c>
      <c r="Y77" s="3" t="str">
        <f>_xlfn.XLOOKUP(EHR[[#This Row],[LOINC Code]],'02_Lab_Results'!D:D,'02_Lab_Results'!J:J,,0)</f>
        <v>High</v>
      </c>
      <c r="Z77" s="3" t="str" cm="1">
        <f t="array" ref="Z77">_xlfn.XLOOKUP(1,(B77=B$2:B$500)*(V$2:V$500="4548-4"),Y$2:Y$500,"Not Tested")</f>
        <v>Not Tested</v>
      </c>
      <c r="AA77" s="3" t="s">
        <v>1570</v>
      </c>
      <c r="AB77" s="3">
        <v>99</v>
      </c>
      <c r="AC77" s="3" t="str">
        <f>IF(AND(EHR[[#This Row],[BP_Systolic_mmHg]]&lt;140,EHR[[#This Row],[BP_Diastolic_mmHg]]&lt;90),"Controlled",IF(OR(EHR[[#This Row],[BP_Systolic_mmHg]]="Not Recorded",EHR[[#This Row],[BP_Diastolic_mmHg]]="Not Recorded"),"No Reading","Uncontrolled"))</f>
        <v>No Reading</v>
      </c>
      <c r="AD77" s="3" t="str">
        <f>_xlfn.CONCAT(EHR[[#This Row],[BP_Systolic_mmHg]],"/",EHR[[#This Row],[BP_Diastolic_mmHg]])</f>
        <v>Not Recorded/99</v>
      </c>
      <c r="AE77" s="3">
        <v>89</v>
      </c>
      <c r="AF77" s="3">
        <v>23</v>
      </c>
      <c r="AG77" s="3">
        <v>38.799999999999997</v>
      </c>
      <c r="AH77" s="3">
        <v>35.1</v>
      </c>
      <c r="AI77" s="3" t="str">
        <f>IF(EHR[[#This Row],[BMI_kg_m2]]&gt;=30,"Obese","Non-Obese")</f>
        <v>Obese</v>
      </c>
      <c r="AJ77" s="3">
        <v>95</v>
      </c>
      <c r="AK77" s="3" t="s">
        <v>50</v>
      </c>
      <c r="AL77" s="3" t="s">
        <v>51</v>
      </c>
      <c r="AM77" s="3" t="s">
        <v>52</v>
      </c>
      <c r="AN77" s="3" t="s">
        <v>53</v>
      </c>
      <c r="AO77" s="3" t="s">
        <v>54</v>
      </c>
    </row>
    <row r="78" spans="1:41" x14ac:dyDescent="0.2">
      <c r="A78" s="6" t="s">
        <v>389</v>
      </c>
      <c r="B78" s="2" t="s">
        <v>404</v>
      </c>
      <c r="C78" s="15">
        <v>45729</v>
      </c>
      <c r="D78" s="2" t="s">
        <v>88</v>
      </c>
      <c r="E78" s="2" t="s">
        <v>96</v>
      </c>
      <c r="F78" s="2" t="s">
        <v>38</v>
      </c>
      <c r="G78" s="2" t="s">
        <v>138</v>
      </c>
      <c r="H78" s="13">
        <v>22442</v>
      </c>
      <c r="I78" s="18">
        <f>(EHR[[#This Row],[Encounter_Date]]-EHR[[#This Row],[Patient_DOB]])/365</f>
        <v>63.8</v>
      </c>
      <c r="J78" s="18" t="str" cm="1">
        <f t="array" ref="J7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78" s="2" t="s">
        <v>1572</v>
      </c>
      <c r="L78" s="2" t="s">
        <v>66</v>
      </c>
      <c r="M78" s="2" t="s">
        <v>79</v>
      </c>
      <c r="N78" s="2" t="s">
        <v>44</v>
      </c>
      <c r="O78" s="2" t="s">
        <v>81</v>
      </c>
      <c r="P78" s="2" t="s">
        <v>150</v>
      </c>
      <c r="Q78" s="2" t="str">
        <f>_xlfn.XLOOKUP(EHR[[#This Row],[Primary_ICD11_Code]],'03_ICD11_Reference'!A:A,'03_ICD11_Reference'!D:D,,0)</f>
        <v>Gastroenterology</v>
      </c>
      <c r="R78" s="2" t="s">
        <v>151</v>
      </c>
      <c r="S78" s="2" t="s">
        <v>69</v>
      </c>
      <c r="T78" s="2" t="s">
        <v>406</v>
      </c>
      <c r="U78" s="2">
        <v>4</v>
      </c>
      <c r="V78" s="2" t="str">
        <f>_xlfn.XLOOKUP(EHR[[#This Row],[Encounter_ID]],'02_Lab_Results'!B:B,'02_Lab_Results'!D:D,,0)</f>
        <v>2085-9</v>
      </c>
      <c r="W78" s="2" t="str">
        <f>_xlfn.XLOOKUP(EHR[[#This Row],[LOINC Code]],'04_LOINC_Reference'!A:A,'04_LOINC_Reference'!F:F,,0)</f>
        <v>Biochemistry</v>
      </c>
      <c r="X78" s="2" t="str">
        <f>_xlfn.XLOOKUP(EHR[[#This Row],[LOINC Code]],'02_Lab_Results'!D:D,'02_Lab_Results'!E:E,,0)</f>
        <v>HDL cholesterol</v>
      </c>
      <c r="Y78" s="2" t="str">
        <f>_xlfn.XLOOKUP(EHR[[#This Row],[LOINC Code]],'02_Lab_Results'!D:D,'02_Lab_Results'!J:J,,0)</f>
        <v>Normal</v>
      </c>
      <c r="Z78" s="2" t="str" cm="1">
        <f t="array" ref="Z78">_xlfn.XLOOKUP(1,(B78=B$2:B$500)*(V$2:V$500="4548-4"),Y$2:Y$500,"Not Tested")</f>
        <v>Not Tested</v>
      </c>
      <c r="AA78" s="4">
        <v>135</v>
      </c>
      <c r="AB78" s="4">
        <v>87</v>
      </c>
      <c r="AC78" s="4" t="str">
        <f>IF(AND(EHR[[#This Row],[BP_Systolic_mmHg]]&lt;140,EHR[[#This Row],[BP_Diastolic_mmHg]]&lt;90),"Controlled",IF(OR(EHR[[#This Row],[BP_Systolic_mmHg]]="Not Recorded",EHR[[#This Row],[BP_Diastolic_mmHg]]="Not Recorded"),"No Reading","Uncontrolled"))</f>
        <v>Controlled</v>
      </c>
      <c r="AD78" s="4" t="str">
        <f>_xlfn.CONCAT(EHR[[#This Row],[BP_Systolic_mmHg]],"/",EHR[[#This Row],[BP_Diastolic_mmHg]])</f>
        <v>135/87</v>
      </c>
      <c r="AE78" s="2">
        <v>73</v>
      </c>
      <c r="AF78" s="2">
        <v>25</v>
      </c>
      <c r="AG78" s="2">
        <v>37.5</v>
      </c>
      <c r="AH78" s="4">
        <v>41.3</v>
      </c>
      <c r="AI78" s="4" t="str">
        <f>IF(EHR[[#This Row],[BMI_kg_m2]]&gt;=30,"Obese","Non-Obese")</f>
        <v>Obese</v>
      </c>
      <c r="AJ78" s="2">
        <v>92</v>
      </c>
      <c r="AK78" s="2" t="s">
        <v>50</v>
      </c>
      <c r="AL78" s="2" t="s">
        <v>51</v>
      </c>
      <c r="AM78" s="2" t="s">
        <v>52</v>
      </c>
      <c r="AN78" s="2" t="s">
        <v>53</v>
      </c>
      <c r="AO78" s="2" t="s">
        <v>54</v>
      </c>
    </row>
    <row r="79" spans="1:41" x14ac:dyDescent="0.2">
      <c r="A79" s="7" t="s">
        <v>409</v>
      </c>
      <c r="B79" s="3" t="s">
        <v>410</v>
      </c>
      <c r="C79" s="14">
        <v>45020</v>
      </c>
      <c r="D79" s="3" t="s">
        <v>36</v>
      </c>
      <c r="E79" s="3" t="s">
        <v>61</v>
      </c>
      <c r="F79" s="3" t="s">
        <v>75</v>
      </c>
      <c r="G79" s="3" t="s">
        <v>76</v>
      </c>
      <c r="H79" s="14">
        <v>15017</v>
      </c>
      <c r="I79" s="3">
        <v>84</v>
      </c>
      <c r="J79" s="3" t="str" cm="1">
        <f t="array" ref="J7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79" s="3" t="s">
        <v>1572</v>
      </c>
      <c r="L79" s="3" t="s">
        <v>110</v>
      </c>
      <c r="M79" s="3" t="s">
        <v>79</v>
      </c>
      <c r="N79" s="3" t="s">
        <v>1574</v>
      </c>
      <c r="O79" s="3" t="s">
        <v>182</v>
      </c>
      <c r="P79" s="3" t="s">
        <v>195</v>
      </c>
      <c r="Q79" s="3" t="str">
        <f>_xlfn.XLOOKUP(EHR[[#This Row],[Primary_ICD11_Code]],'03_ICD11_Reference'!A:A,'03_ICD11_Reference'!D:D,,0)</f>
        <v>Respiratory</v>
      </c>
      <c r="R79" s="3" t="s">
        <v>196</v>
      </c>
      <c r="S79" s="3" t="s">
        <v>69</v>
      </c>
      <c r="T79" s="3" t="s">
        <v>413</v>
      </c>
      <c r="U79" s="3">
        <v>2</v>
      </c>
      <c r="V79" s="3" t="str">
        <f>_xlfn.XLOOKUP(EHR[[#This Row],[Encounter_ID]],'02_Lab_Results'!B:B,'02_Lab_Results'!D:D,,0)</f>
        <v>2345-7</v>
      </c>
      <c r="W79" s="3" t="str">
        <f>_xlfn.XLOOKUP(EHR[[#This Row],[LOINC Code]],'04_LOINC_Reference'!A:A,'04_LOINC_Reference'!F:F,,0)</f>
        <v>Biochemistry</v>
      </c>
      <c r="X79" s="3" t="str">
        <f>_xlfn.XLOOKUP(EHR[[#This Row],[LOINC Code]],'02_Lab_Results'!D:D,'02_Lab_Results'!E:E,,0)</f>
        <v>Serum glucose (fasting)</v>
      </c>
      <c r="Y79" s="3" t="str">
        <f>_xlfn.XLOOKUP(EHR[[#This Row],[LOINC Code]],'02_Lab_Results'!D:D,'02_Lab_Results'!J:J,,0)</f>
        <v>Normal</v>
      </c>
      <c r="Z79" s="3" t="str" cm="1">
        <f t="array" ref="Z79">_xlfn.XLOOKUP(1,(B79=B$2:B$500)*(V$2:V$500="4548-4"),Y$2:Y$500,"Not Tested")</f>
        <v>Not Tested</v>
      </c>
      <c r="AA79" s="3">
        <v>180</v>
      </c>
      <c r="AB79" s="3">
        <v>68</v>
      </c>
      <c r="AC79" s="3" t="str">
        <f>IF(AND(EHR[[#This Row],[BP_Systolic_mmHg]]&lt;140,EHR[[#This Row],[BP_Diastolic_mmHg]]&lt;90),"Controlled",IF(OR(EHR[[#This Row],[BP_Systolic_mmHg]]="Not Recorded",EHR[[#This Row],[BP_Diastolic_mmHg]]="Not Recorded"),"No Reading","Uncontrolled"))</f>
        <v>Uncontrolled</v>
      </c>
      <c r="AD79" s="3" t="str">
        <f>_xlfn.CONCAT(EHR[[#This Row],[BP_Systolic_mmHg]],"/",EHR[[#This Row],[BP_Diastolic_mmHg]])</f>
        <v>180/68</v>
      </c>
      <c r="AE79" s="3">
        <v>84</v>
      </c>
      <c r="AF79" s="3">
        <v>18</v>
      </c>
      <c r="AG79" s="3">
        <v>36.1</v>
      </c>
      <c r="AH79" s="3">
        <v>19</v>
      </c>
      <c r="AI79" s="3" t="str">
        <f>IF(EHR[[#This Row],[BMI_kg_m2]]&gt;=30,"Obese","Non-Obese")</f>
        <v>Non-Obese</v>
      </c>
      <c r="AJ79" s="3">
        <v>94</v>
      </c>
      <c r="AK79" s="3" t="s">
        <v>50</v>
      </c>
      <c r="AL79" s="3" t="s">
        <v>51</v>
      </c>
      <c r="AM79" s="3" t="s">
        <v>52</v>
      </c>
      <c r="AN79" s="3" t="s">
        <v>53</v>
      </c>
      <c r="AO79" s="3" t="s">
        <v>54</v>
      </c>
    </row>
    <row r="80" spans="1:41" x14ac:dyDescent="0.2">
      <c r="A80" s="6" t="s">
        <v>409</v>
      </c>
      <c r="B80" s="2" t="s">
        <v>414</v>
      </c>
      <c r="C80" s="13">
        <v>45658</v>
      </c>
      <c r="D80" s="2" t="s">
        <v>36</v>
      </c>
      <c r="E80" s="2" t="s">
        <v>61</v>
      </c>
      <c r="F80" s="2" t="s">
        <v>38</v>
      </c>
      <c r="G80" s="2" t="s">
        <v>39</v>
      </c>
      <c r="H80" s="13">
        <v>15017</v>
      </c>
      <c r="I80" s="2">
        <v>84</v>
      </c>
      <c r="J80" s="2" t="str" cm="1">
        <f t="array" ref="J8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80" s="2" t="s">
        <v>1572</v>
      </c>
      <c r="L80" s="2" t="s">
        <v>110</v>
      </c>
      <c r="M80" s="2" t="s">
        <v>79</v>
      </c>
      <c r="N80" s="2" t="s">
        <v>1574</v>
      </c>
      <c r="O80" s="2" t="s">
        <v>182</v>
      </c>
      <c r="P80" s="2" t="s">
        <v>195</v>
      </c>
      <c r="Q80" s="2" t="str">
        <f>_xlfn.XLOOKUP(EHR[[#This Row],[Primary_ICD11_Code]],'03_ICD11_Reference'!A:A,'03_ICD11_Reference'!D:D,,0)</f>
        <v>Respiratory</v>
      </c>
      <c r="R80" s="2" t="s">
        <v>196</v>
      </c>
      <c r="S80" s="2" t="s">
        <v>69</v>
      </c>
      <c r="T80" s="2" t="s">
        <v>416</v>
      </c>
      <c r="U80" s="2">
        <v>4</v>
      </c>
      <c r="V80" s="2" t="str">
        <f>_xlfn.XLOOKUP(EHR[[#This Row],[Encounter_ID]],'02_Lab_Results'!B:B,'02_Lab_Results'!D:D,,0)</f>
        <v>4548-4</v>
      </c>
      <c r="W80" s="2" t="str">
        <f>_xlfn.XLOOKUP(EHR[[#This Row],[LOINC Code]],'04_LOINC_Reference'!A:A,'04_LOINC_Reference'!F:F,,0)</f>
        <v>Biochemistry</v>
      </c>
      <c r="X80" s="2" t="str">
        <f>_xlfn.XLOOKUP(EHR[[#This Row],[LOINC Code]],'02_Lab_Results'!D:D,'02_Lab_Results'!E:E,,0)</f>
        <v>HbA1c</v>
      </c>
      <c r="Y80" s="2" t="str">
        <f>_xlfn.XLOOKUP(EHR[[#This Row],[LOINC Code]],'02_Lab_Results'!D:D,'02_Lab_Results'!J:J,,0)</f>
        <v>High</v>
      </c>
      <c r="Z80" s="2" t="str" cm="1">
        <f t="array" ref="Z80">_xlfn.XLOOKUP(1,(B80=B$2:B$500)*(V$2:V$500="4548-4"),Y$2:Y$500,"Not Tested")</f>
        <v>High</v>
      </c>
      <c r="AA80" s="2">
        <v>153</v>
      </c>
      <c r="AB80" s="2">
        <v>102</v>
      </c>
      <c r="AC80" s="2" t="str">
        <f>IF(AND(EHR[[#This Row],[BP_Systolic_mmHg]]&lt;140,EHR[[#This Row],[BP_Diastolic_mmHg]]&lt;90),"Controlled",IF(OR(EHR[[#This Row],[BP_Systolic_mmHg]]="Not Recorded",EHR[[#This Row],[BP_Diastolic_mmHg]]="Not Recorded"),"No Reading","Uncontrolled"))</f>
        <v>Uncontrolled</v>
      </c>
      <c r="AD80" s="2" t="str">
        <f>_xlfn.CONCAT(EHR[[#This Row],[BP_Systolic_mmHg]],"/",EHR[[#This Row],[BP_Diastolic_mmHg]])</f>
        <v>153/102</v>
      </c>
      <c r="AE80" s="2">
        <v>60</v>
      </c>
      <c r="AF80" s="2">
        <v>17</v>
      </c>
      <c r="AG80" s="2">
        <v>38.700000000000003</v>
      </c>
      <c r="AH80" s="2">
        <v>37.299999999999997</v>
      </c>
      <c r="AI80" s="2" t="str">
        <f>IF(EHR[[#This Row],[BMI_kg_m2]]&gt;=30,"Obese","Non-Obese")</f>
        <v>Obese</v>
      </c>
      <c r="AJ80" s="2">
        <v>89</v>
      </c>
      <c r="AK80" s="2" t="s">
        <v>50</v>
      </c>
      <c r="AL80" s="2" t="s">
        <v>51</v>
      </c>
      <c r="AM80" s="2" t="s">
        <v>52</v>
      </c>
      <c r="AN80" s="2" t="s">
        <v>53</v>
      </c>
      <c r="AO80" s="2" t="s">
        <v>54</v>
      </c>
    </row>
    <row r="81" spans="1:41" x14ac:dyDescent="0.2">
      <c r="A81" s="7" t="s">
        <v>417</v>
      </c>
      <c r="B81" s="3" t="s">
        <v>418</v>
      </c>
      <c r="C81" s="15">
        <v>45438</v>
      </c>
      <c r="D81" s="3" t="s">
        <v>103</v>
      </c>
      <c r="E81" s="3" t="s">
        <v>37</v>
      </c>
      <c r="F81" s="3" t="s">
        <v>148</v>
      </c>
      <c r="G81" s="3" t="s">
        <v>76</v>
      </c>
      <c r="H81" s="14">
        <v>28249</v>
      </c>
      <c r="I81" s="4">
        <v>48</v>
      </c>
      <c r="J81" s="4" t="str" cm="1">
        <f t="array" ref="J8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81" s="3" t="s">
        <v>1573</v>
      </c>
      <c r="L81" s="3" t="s">
        <v>110</v>
      </c>
      <c r="M81" s="3" t="s">
        <v>141</v>
      </c>
      <c r="N81" s="3" t="s">
        <v>1574</v>
      </c>
      <c r="O81" s="3" t="s">
        <v>45</v>
      </c>
      <c r="P81" s="3" t="s">
        <v>315</v>
      </c>
      <c r="Q81" s="3" t="str">
        <f>_xlfn.XLOOKUP(EHR[[#This Row],[Primary_ICD11_Code]],'03_ICD11_Reference'!A:A,'03_ICD11_Reference'!D:D,,0)</f>
        <v>Endocrine</v>
      </c>
      <c r="R81" s="3" t="s">
        <v>316</v>
      </c>
      <c r="S81" s="3" t="s">
        <v>69</v>
      </c>
      <c r="T81" s="3" t="s">
        <v>421</v>
      </c>
      <c r="U81" s="3">
        <v>2</v>
      </c>
      <c r="V81" s="3" t="str">
        <f>_xlfn.XLOOKUP(EHR[[#This Row],[Encounter_ID]],'02_Lab_Results'!B:B,'02_Lab_Results'!D:D,,0)</f>
        <v>4548-4</v>
      </c>
      <c r="W81" s="3" t="str">
        <f>_xlfn.XLOOKUP(EHR[[#This Row],[LOINC Code]],'04_LOINC_Reference'!A:A,'04_LOINC_Reference'!F:F,,0)</f>
        <v>Biochemistry</v>
      </c>
      <c r="X81" s="3" t="str">
        <f>_xlfn.XLOOKUP(EHR[[#This Row],[LOINC Code]],'02_Lab_Results'!D:D,'02_Lab_Results'!E:E,,0)</f>
        <v>HbA1c</v>
      </c>
      <c r="Y81" s="3" t="str">
        <f>_xlfn.XLOOKUP(EHR[[#This Row],[LOINC Code]],'02_Lab_Results'!D:D,'02_Lab_Results'!J:J,,0)</f>
        <v>High</v>
      </c>
      <c r="Z81" s="3" t="str" cm="1">
        <f t="array" ref="Z81">_xlfn.XLOOKUP(1,(B81=B$2:B$500)*(V$2:V$500="4548-4"),Y$2:Y$500,"Not Tested")</f>
        <v>High</v>
      </c>
      <c r="AA81" s="4">
        <v>149</v>
      </c>
      <c r="AB81" s="4">
        <v>56</v>
      </c>
      <c r="AC81" s="4" t="str">
        <f>IF(AND(EHR[[#This Row],[BP_Systolic_mmHg]]&lt;140,EHR[[#This Row],[BP_Diastolic_mmHg]]&lt;90),"Controlled",IF(OR(EHR[[#This Row],[BP_Systolic_mmHg]]="Not Recorded",EHR[[#This Row],[BP_Diastolic_mmHg]]="Not Recorded"),"No Reading","Uncontrolled"))</f>
        <v>Uncontrolled</v>
      </c>
      <c r="AD81" s="4" t="str">
        <f>_xlfn.CONCAT(EHR[[#This Row],[BP_Systolic_mmHg]],"/",EHR[[#This Row],[BP_Diastolic_mmHg]])</f>
        <v>149/56</v>
      </c>
      <c r="AE81" s="3">
        <v>89</v>
      </c>
      <c r="AF81" s="3">
        <v>16</v>
      </c>
      <c r="AG81" s="3">
        <v>36.5</v>
      </c>
      <c r="AH81" s="4" t="s">
        <v>1576</v>
      </c>
      <c r="AI81" s="4" t="str">
        <f>IF(EHR[[#This Row],[BMI_kg_m2]]&gt;=30,"Obese","Non-Obese")</f>
        <v>Obese</v>
      </c>
      <c r="AJ81" s="3">
        <v>95</v>
      </c>
      <c r="AK81" s="3" t="s">
        <v>50</v>
      </c>
      <c r="AL81" s="3" t="s">
        <v>51</v>
      </c>
      <c r="AM81" s="3" t="s">
        <v>52</v>
      </c>
      <c r="AN81" s="3" t="s">
        <v>53</v>
      </c>
      <c r="AO81" s="3" t="s">
        <v>54</v>
      </c>
    </row>
    <row r="82" spans="1:41" x14ac:dyDescent="0.2">
      <c r="A82" s="6" t="s">
        <v>417</v>
      </c>
      <c r="B82" s="2" t="s">
        <v>423</v>
      </c>
      <c r="C82" s="13">
        <v>45408</v>
      </c>
      <c r="D82" s="2" t="s">
        <v>36</v>
      </c>
      <c r="E82" s="2" t="s">
        <v>61</v>
      </c>
      <c r="F82" s="2" t="s">
        <v>75</v>
      </c>
      <c r="G82" s="2" t="s">
        <v>76</v>
      </c>
      <c r="H82" s="13">
        <v>28249</v>
      </c>
      <c r="I82" s="2">
        <v>48</v>
      </c>
      <c r="J82" s="2" t="str" cm="1">
        <f t="array" ref="J8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82" s="2" t="s">
        <v>1573</v>
      </c>
      <c r="L82" s="2" t="s">
        <v>90</v>
      </c>
      <c r="M82" s="2" t="s">
        <v>141</v>
      </c>
      <c r="N82" s="2" t="s">
        <v>1574</v>
      </c>
      <c r="O82" s="2" t="s">
        <v>45</v>
      </c>
      <c r="P82" s="2" t="s">
        <v>315</v>
      </c>
      <c r="Q82" s="2" t="str">
        <f>_xlfn.XLOOKUP(EHR[[#This Row],[Primary_ICD11_Code]],'03_ICD11_Reference'!A:A,'03_ICD11_Reference'!D:D,,0)</f>
        <v>Endocrine</v>
      </c>
      <c r="R82" s="2" t="s">
        <v>316</v>
      </c>
      <c r="S82" s="2" t="s">
        <v>69</v>
      </c>
      <c r="T82" s="2" t="s">
        <v>393</v>
      </c>
      <c r="U82" s="2">
        <v>1</v>
      </c>
      <c r="V82" s="2" t="str">
        <f>_xlfn.XLOOKUP(EHR[[#This Row],[Encounter_ID]],'02_Lab_Results'!B:B,'02_Lab_Results'!D:D,,0)</f>
        <v>17861-6</v>
      </c>
      <c r="W82" s="2" t="str">
        <f>_xlfn.XLOOKUP(EHR[[#This Row],[LOINC Code]],'04_LOINC_Reference'!A:A,'04_LOINC_Reference'!F:F,,0)</f>
        <v>Biochemistry</v>
      </c>
      <c r="X82" s="2" t="str">
        <f>_xlfn.XLOOKUP(EHR[[#This Row],[LOINC Code]],'02_Lab_Results'!D:D,'02_Lab_Results'!E:E,,0)</f>
        <v>Serum calcium</v>
      </c>
      <c r="Y82" s="2" t="str">
        <f>_xlfn.XLOOKUP(EHR[[#This Row],[LOINC Code]],'02_Lab_Results'!D:D,'02_Lab_Results'!J:J,,0)</f>
        <v>High</v>
      </c>
      <c r="Z82" s="2" t="str" cm="1">
        <f t="array" ref="Z82">_xlfn.XLOOKUP(1,(B82=B$2:B$500)*(V$2:V$500="4548-4"),Y$2:Y$500,"Not Tested")</f>
        <v>Not Tested</v>
      </c>
      <c r="AA82" s="2" t="s">
        <v>1570</v>
      </c>
      <c r="AB82" s="2">
        <v>78</v>
      </c>
      <c r="AC82" s="2" t="str">
        <f>IF(AND(EHR[[#This Row],[BP_Systolic_mmHg]]&lt;140,EHR[[#This Row],[BP_Diastolic_mmHg]]&lt;90),"Controlled",IF(OR(EHR[[#This Row],[BP_Systolic_mmHg]]="Not Recorded",EHR[[#This Row],[BP_Diastolic_mmHg]]="Not Recorded"),"No Reading","Uncontrolled"))</f>
        <v>No Reading</v>
      </c>
      <c r="AD82" s="2" t="str">
        <f>_xlfn.CONCAT(EHR[[#This Row],[BP_Systolic_mmHg]],"/",EHR[[#This Row],[BP_Diastolic_mmHg]])</f>
        <v>Not Recorded/78</v>
      </c>
      <c r="AE82" s="2">
        <v>78</v>
      </c>
      <c r="AF82" s="2">
        <v>24</v>
      </c>
      <c r="AG82" s="2">
        <v>37.1</v>
      </c>
      <c r="AH82" s="2">
        <v>19.399999999999999</v>
      </c>
      <c r="AI82" s="2" t="str">
        <f>IF(EHR[[#This Row],[BMI_kg_m2]]&gt;=30,"Obese","Non-Obese")</f>
        <v>Non-Obese</v>
      </c>
      <c r="AJ82" s="2">
        <v>90</v>
      </c>
      <c r="AK82" s="2" t="s">
        <v>50</v>
      </c>
      <c r="AL82" s="2" t="s">
        <v>51</v>
      </c>
      <c r="AM82" s="2" t="s">
        <v>52</v>
      </c>
      <c r="AN82" s="2" t="s">
        <v>53</v>
      </c>
      <c r="AO82" s="2" t="s">
        <v>54</v>
      </c>
    </row>
    <row r="83" spans="1:41" x14ac:dyDescent="0.2">
      <c r="A83" s="7" t="s">
        <v>425</v>
      </c>
      <c r="B83" s="3" t="s">
        <v>426</v>
      </c>
      <c r="C83" s="14">
        <v>44969</v>
      </c>
      <c r="D83" s="3" t="s">
        <v>36</v>
      </c>
      <c r="E83" s="3" t="s">
        <v>37</v>
      </c>
      <c r="F83" s="3" t="s">
        <v>109</v>
      </c>
      <c r="G83" s="3" t="s">
        <v>39</v>
      </c>
      <c r="H83" s="14">
        <v>30744</v>
      </c>
      <c r="I83" s="3">
        <v>41</v>
      </c>
      <c r="J83" s="3" t="str" cm="1">
        <f t="array" ref="J8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83" s="3" t="s">
        <v>1573</v>
      </c>
      <c r="L83" s="3" t="s">
        <v>78</v>
      </c>
      <c r="M83" s="3" t="s">
        <v>79</v>
      </c>
      <c r="N83" s="3" t="s">
        <v>80</v>
      </c>
      <c r="O83" s="3" t="s">
        <v>45</v>
      </c>
      <c r="P83" s="3" t="s">
        <v>82</v>
      </c>
      <c r="Q83" s="3" t="str">
        <f>_xlfn.XLOOKUP(EHR[[#This Row],[Primary_ICD11_Code]],'03_ICD11_Reference'!A:A,'03_ICD11_Reference'!D:D,,0)</f>
        <v>Renal</v>
      </c>
      <c r="R83" s="3" t="s">
        <v>83</v>
      </c>
      <c r="S83" s="3" t="s">
        <v>69</v>
      </c>
      <c r="T83" s="3" t="s">
        <v>429</v>
      </c>
      <c r="U83" s="3">
        <v>3</v>
      </c>
      <c r="V83" s="3" t="str">
        <f>_xlfn.XLOOKUP(EHR[[#This Row],[Encounter_ID]],'02_Lab_Results'!B:B,'02_Lab_Results'!D:D,,0)</f>
        <v>789-8</v>
      </c>
      <c r="W83" s="3" t="str">
        <f>_xlfn.XLOOKUP(EHR[[#This Row],[LOINC Code]],'04_LOINC_Reference'!A:A,'04_LOINC_Reference'!F:F,,0)</f>
        <v>Biochemistry</v>
      </c>
      <c r="X83" s="3" t="str">
        <f>_xlfn.XLOOKUP(EHR[[#This Row],[LOINC Code]],'02_Lab_Results'!D:D,'02_Lab_Results'!E:E,,0)</f>
        <v>RBC count</v>
      </c>
      <c r="Y83" s="3" t="str">
        <f>_xlfn.XLOOKUP(EHR[[#This Row],[LOINC Code]],'02_Lab_Results'!D:D,'02_Lab_Results'!J:J,,0)</f>
        <v>High</v>
      </c>
      <c r="Z83" s="3" t="str" cm="1">
        <f t="array" ref="Z83">_xlfn.XLOOKUP(1,(B83=B$2:B$500)*(V$2:V$500="4548-4"),Y$2:Y$500,"Not Tested")</f>
        <v>Not Tested</v>
      </c>
      <c r="AA83" s="3">
        <v>123</v>
      </c>
      <c r="AB83" s="3">
        <v>74</v>
      </c>
      <c r="AC83" s="3" t="str">
        <f>IF(AND(EHR[[#This Row],[BP_Systolic_mmHg]]&lt;140,EHR[[#This Row],[BP_Diastolic_mmHg]]&lt;90),"Controlled",IF(OR(EHR[[#This Row],[BP_Systolic_mmHg]]="Not Recorded",EHR[[#This Row],[BP_Diastolic_mmHg]]="Not Recorded"),"No Reading","Uncontrolled"))</f>
        <v>Controlled</v>
      </c>
      <c r="AD83" s="3" t="str">
        <f>_xlfn.CONCAT(EHR[[#This Row],[BP_Systolic_mmHg]],"/",EHR[[#This Row],[BP_Diastolic_mmHg]])</f>
        <v>123/74</v>
      </c>
      <c r="AE83" s="3">
        <v>80</v>
      </c>
      <c r="AF83" s="3">
        <v>25</v>
      </c>
      <c r="AG83" s="3">
        <v>37.5</v>
      </c>
      <c r="AH83" s="3">
        <v>18.5</v>
      </c>
      <c r="AI83" s="3" t="str">
        <f>IF(EHR[[#This Row],[BMI_kg_m2]]&gt;=30,"Obese","Non-Obese")</f>
        <v>Non-Obese</v>
      </c>
      <c r="AJ83" s="3">
        <v>95</v>
      </c>
      <c r="AK83" s="3" t="s">
        <v>50</v>
      </c>
      <c r="AL83" s="3" t="s">
        <v>51</v>
      </c>
      <c r="AM83" s="3" t="s">
        <v>52</v>
      </c>
      <c r="AN83" s="3" t="s">
        <v>53</v>
      </c>
      <c r="AO83" s="3" t="s">
        <v>54</v>
      </c>
    </row>
    <row r="84" spans="1:41" x14ac:dyDescent="0.2">
      <c r="A84" s="6" t="s">
        <v>430</v>
      </c>
      <c r="B84" s="2" t="s">
        <v>431</v>
      </c>
      <c r="C84" s="13">
        <v>45671</v>
      </c>
      <c r="D84" s="2" t="s">
        <v>103</v>
      </c>
      <c r="E84" s="2" t="s">
        <v>96</v>
      </c>
      <c r="F84" s="2" t="s">
        <v>109</v>
      </c>
      <c r="G84" s="2" t="s">
        <v>98</v>
      </c>
      <c r="H84" s="13">
        <v>21342</v>
      </c>
      <c r="I84" s="2">
        <v>67</v>
      </c>
      <c r="J84" s="2" t="str" cm="1">
        <f t="array" ref="J8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84" s="2" t="s">
        <v>1573</v>
      </c>
      <c r="L84" s="2" t="s">
        <v>110</v>
      </c>
      <c r="M84" s="2" t="s">
        <v>141</v>
      </c>
      <c r="N84" s="2" t="s">
        <v>125</v>
      </c>
      <c r="O84" s="2" t="s">
        <v>81</v>
      </c>
      <c r="P84" s="2" t="s">
        <v>157</v>
      </c>
      <c r="Q84" s="2" t="str">
        <f>_xlfn.XLOOKUP(EHR[[#This Row],[Primary_ICD11_Code]],'03_ICD11_Reference'!A:A,'03_ICD11_Reference'!D:D,,0)</f>
        <v>Multi-system</v>
      </c>
      <c r="R84" s="2" t="s">
        <v>158</v>
      </c>
      <c r="S84" s="2" t="s">
        <v>69</v>
      </c>
      <c r="T84" s="2" t="s">
        <v>434</v>
      </c>
      <c r="U84" s="2">
        <v>3</v>
      </c>
      <c r="V84" s="2" t="str">
        <f>_xlfn.XLOOKUP(EHR[[#This Row],[Encounter_ID]],'02_Lab_Results'!B:B,'02_Lab_Results'!D:D,,0)</f>
        <v>2777-1</v>
      </c>
      <c r="W84" s="2" t="str">
        <f>_xlfn.XLOOKUP(EHR[[#This Row],[LOINC Code]],'04_LOINC_Reference'!A:A,'04_LOINC_Reference'!F:F,,0)</f>
        <v>Biochemistry</v>
      </c>
      <c r="X84" s="2" t="str">
        <f>_xlfn.XLOOKUP(EHR[[#This Row],[LOINC Code]],'02_Lab_Results'!D:D,'02_Lab_Results'!E:E,,0)</f>
        <v>Serum phosphate</v>
      </c>
      <c r="Y84" s="2" t="str">
        <f>_xlfn.XLOOKUP(EHR[[#This Row],[LOINC Code]],'02_Lab_Results'!D:D,'02_Lab_Results'!J:J,,0)</f>
        <v>Normal</v>
      </c>
      <c r="Z84" s="2" t="str" cm="1">
        <f t="array" ref="Z84">_xlfn.XLOOKUP(1,(B84=B$2:B$500)*(V$2:V$500="4548-4"),Y$2:Y$500,"Not Tested")</f>
        <v>Not Tested</v>
      </c>
      <c r="AA84" s="2">
        <v>133</v>
      </c>
      <c r="AB84" s="2">
        <v>81</v>
      </c>
      <c r="AC84" s="2" t="str">
        <f>IF(AND(EHR[[#This Row],[BP_Systolic_mmHg]]&lt;140,EHR[[#This Row],[BP_Diastolic_mmHg]]&lt;90),"Controlled",IF(OR(EHR[[#This Row],[BP_Systolic_mmHg]]="Not Recorded",EHR[[#This Row],[BP_Diastolic_mmHg]]="Not Recorded"),"No Reading","Uncontrolled"))</f>
        <v>Controlled</v>
      </c>
      <c r="AD84" s="2" t="str">
        <f>_xlfn.CONCAT(EHR[[#This Row],[BP_Systolic_mmHg]],"/",EHR[[#This Row],[BP_Diastolic_mmHg]])</f>
        <v>133/81</v>
      </c>
      <c r="AE84" s="2">
        <v>125</v>
      </c>
      <c r="AF84" s="2">
        <v>15</v>
      </c>
      <c r="AG84" s="2">
        <v>36.9</v>
      </c>
      <c r="AH84" s="2">
        <v>20.399999999999999</v>
      </c>
      <c r="AI84" s="2" t="str">
        <f>IF(EHR[[#This Row],[BMI_kg_m2]]&gt;=30,"Obese","Non-Obese")</f>
        <v>Non-Obese</v>
      </c>
      <c r="AJ84" s="2">
        <v>91</v>
      </c>
      <c r="AK84" s="2" t="s">
        <v>50</v>
      </c>
      <c r="AL84" s="2" t="s">
        <v>51</v>
      </c>
      <c r="AM84" s="2" t="s">
        <v>52</v>
      </c>
      <c r="AN84" s="2" t="s">
        <v>53</v>
      </c>
      <c r="AO84" s="2" t="s">
        <v>54</v>
      </c>
    </row>
    <row r="85" spans="1:41" x14ac:dyDescent="0.2">
      <c r="A85" s="7" t="s">
        <v>430</v>
      </c>
      <c r="B85" s="3" t="s">
        <v>435</v>
      </c>
      <c r="C85" s="14">
        <v>45671</v>
      </c>
      <c r="D85" s="3" t="s">
        <v>103</v>
      </c>
      <c r="E85" s="3" t="s">
        <v>89</v>
      </c>
      <c r="F85" s="3" t="s">
        <v>219</v>
      </c>
      <c r="G85" s="3" t="s">
        <v>123</v>
      </c>
      <c r="H85" s="14">
        <v>21342</v>
      </c>
      <c r="I85" s="3">
        <v>67</v>
      </c>
      <c r="J85" s="3" t="str" cm="1">
        <f t="array" ref="J8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85" s="3" t="s">
        <v>1573</v>
      </c>
      <c r="L85" s="3" t="s">
        <v>140</v>
      </c>
      <c r="M85" s="3" t="s">
        <v>141</v>
      </c>
      <c r="N85" s="3" t="s">
        <v>125</v>
      </c>
      <c r="O85" s="3" t="s">
        <v>81</v>
      </c>
      <c r="P85" s="3" t="s">
        <v>157</v>
      </c>
      <c r="Q85" s="3" t="str">
        <f>_xlfn.XLOOKUP(EHR[[#This Row],[Primary_ICD11_Code]],'03_ICD11_Reference'!A:A,'03_ICD11_Reference'!D:D,,0)</f>
        <v>Multi-system</v>
      </c>
      <c r="R85" s="3" t="s">
        <v>158</v>
      </c>
      <c r="S85" s="3" t="s">
        <v>69</v>
      </c>
      <c r="T85" s="3" t="s">
        <v>436</v>
      </c>
      <c r="U85" s="3">
        <v>4</v>
      </c>
      <c r="V85" s="3" t="str">
        <f>_xlfn.XLOOKUP(EHR[[#This Row],[Encounter_ID]],'02_Lab_Results'!B:B,'02_Lab_Results'!D:D,,0)</f>
        <v>718-7</v>
      </c>
      <c r="W85" s="3" t="str">
        <f>_xlfn.XLOOKUP(EHR[[#This Row],[LOINC Code]],'04_LOINC_Reference'!A:A,'04_LOINC_Reference'!F:F,,0)</f>
        <v>Biochemistry</v>
      </c>
      <c r="X85" s="3" t="str">
        <f>_xlfn.XLOOKUP(EHR[[#This Row],[LOINC Code]],'02_Lab_Results'!D:D,'02_Lab_Results'!E:E,,0)</f>
        <v>Haemoglobin</v>
      </c>
      <c r="Y85" s="3" t="str">
        <f>_xlfn.XLOOKUP(EHR[[#This Row],[LOINC Code]],'02_Lab_Results'!D:D,'02_Lab_Results'!J:J,,0)</f>
        <v>Normal</v>
      </c>
      <c r="Z85" s="3" t="str" cm="1">
        <f t="array" ref="Z85">_xlfn.XLOOKUP(1,(B85=B$2:B$500)*(V$2:V$500="4548-4"),Y$2:Y$500,"Not Tested")</f>
        <v>Not Tested</v>
      </c>
      <c r="AA85" s="3">
        <v>173</v>
      </c>
      <c r="AB85" s="3">
        <v>76</v>
      </c>
      <c r="AC85" s="3" t="str">
        <f>IF(AND(EHR[[#This Row],[BP_Systolic_mmHg]]&lt;140,EHR[[#This Row],[BP_Diastolic_mmHg]]&lt;90),"Controlled",IF(OR(EHR[[#This Row],[BP_Systolic_mmHg]]="Not Recorded",EHR[[#This Row],[BP_Diastolic_mmHg]]="Not Recorded"),"No Reading","Uncontrolled"))</f>
        <v>Uncontrolled</v>
      </c>
      <c r="AD85" s="3" t="str">
        <f>_xlfn.CONCAT(EHR[[#This Row],[BP_Systolic_mmHg]],"/",EHR[[#This Row],[BP_Diastolic_mmHg]])</f>
        <v>173/76</v>
      </c>
      <c r="AE85" s="3">
        <v>125</v>
      </c>
      <c r="AF85" s="3">
        <v>16</v>
      </c>
      <c r="AG85" s="3">
        <v>39.1</v>
      </c>
      <c r="AH85" s="3">
        <v>44.5</v>
      </c>
      <c r="AI85" s="3" t="str">
        <f>IF(EHR[[#This Row],[BMI_kg_m2]]&gt;=30,"Obese","Non-Obese")</f>
        <v>Obese</v>
      </c>
      <c r="AJ85" s="3">
        <v>88</v>
      </c>
      <c r="AK85" s="3" t="s">
        <v>50</v>
      </c>
      <c r="AL85" s="3" t="s">
        <v>51</v>
      </c>
      <c r="AM85" s="3" t="s">
        <v>52</v>
      </c>
      <c r="AN85" s="3" t="s">
        <v>53</v>
      </c>
      <c r="AO85" s="3" t="s">
        <v>54</v>
      </c>
    </row>
    <row r="86" spans="1:41" x14ac:dyDescent="0.2">
      <c r="A86" s="6" t="s">
        <v>430</v>
      </c>
      <c r="B86" s="2" t="s">
        <v>437</v>
      </c>
      <c r="C86" s="13">
        <v>44995</v>
      </c>
      <c r="D86" s="2" t="s">
        <v>88</v>
      </c>
      <c r="E86" s="2" t="s">
        <v>61</v>
      </c>
      <c r="F86" s="2" t="s">
        <v>148</v>
      </c>
      <c r="G86" s="2" t="s">
        <v>76</v>
      </c>
      <c r="H86" s="13">
        <v>21342</v>
      </c>
      <c r="I86" s="2">
        <v>67</v>
      </c>
      <c r="J86" s="2" t="str" cm="1">
        <f t="array" ref="J8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86" s="2" t="s">
        <v>1573</v>
      </c>
      <c r="L86" s="2" t="s">
        <v>78</v>
      </c>
      <c r="M86" s="2" t="s">
        <v>141</v>
      </c>
      <c r="N86" s="2" t="s">
        <v>125</v>
      </c>
      <c r="O86" s="2" t="s">
        <v>81</v>
      </c>
      <c r="P86" s="2" t="s">
        <v>157</v>
      </c>
      <c r="Q86" s="2" t="str">
        <f>_xlfn.XLOOKUP(EHR[[#This Row],[Primary_ICD11_Code]],'03_ICD11_Reference'!A:A,'03_ICD11_Reference'!D:D,,0)</f>
        <v>Multi-system</v>
      </c>
      <c r="R86" s="2" t="s">
        <v>158</v>
      </c>
      <c r="S86" s="2" t="s">
        <v>69</v>
      </c>
      <c r="T86" s="2" t="s">
        <v>439</v>
      </c>
      <c r="U86" s="2">
        <v>3</v>
      </c>
      <c r="V86" s="2" t="str">
        <f>_xlfn.XLOOKUP(EHR[[#This Row],[Encounter_ID]],'02_Lab_Results'!B:B,'02_Lab_Results'!D:D,,0)</f>
        <v>6768-6</v>
      </c>
      <c r="W86" s="2" t="str">
        <f>_xlfn.XLOOKUP(EHR[[#This Row],[LOINC Code]],'04_LOINC_Reference'!A:A,'04_LOINC_Reference'!F:F,,0)</f>
        <v>Biochemistry</v>
      </c>
      <c r="X86" s="2" t="str">
        <f>_xlfn.XLOOKUP(EHR[[#This Row],[LOINC Code]],'02_Lab_Results'!D:D,'02_Lab_Results'!E:E,,0)</f>
        <v>ALP</v>
      </c>
      <c r="Y86" s="2" t="str">
        <f>_xlfn.XLOOKUP(EHR[[#This Row],[LOINC Code]],'02_Lab_Results'!D:D,'02_Lab_Results'!J:J,,0)</f>
        <v>High</v>
      </c>
      <c r="Z86" s="2" t="str" cm="1">
        <f t="array" ref="Z86">_xlfn.XLOOKUP(1,(B86=B$2:B$500)*(V$2:V$500="4548-4"),Y$2:Y$500,"Not Tested")</f>
        <v>Not Tested</v>
      </c>
      <c r="AA86" s="2">
        <v>116</v>
      </c>
      <c r="AB86" s="2">
        <v>94</v>
      </c>
      <c r="AC86" s="2" t="str">
        <f>IF(AND(EHR[[#This Row],[BP_Systolic_mmHg]]&lt;140,EHR[[#This Row],[BP_Diastolic_mmHg]]&lt;90),"Controlled",IF(OR(EHR[[#This Row],[BP_Systolic_mmHg]]="Not Recorded",EHR[[#This Row],[BP_Diastolic_mmHg]]="Not Recorded"),"No Reading","Uncontrolled"))</f>
        <v>Uncontrolled</v>
      </c>
      <c r="AD86" s="2" t="str">
        <f>_xlfn.CONCAT(EHR[[#This Row],[BP_Systolic_mmHg]],"/",EHR[[#This Row],[BP_Diastolic_mmHg]])</f>
        <v>116/94</v>
      </c>
      <c r="AE86" s="2">
        <v>77</v>
      </c>
      <c r="AF86" s="2">
        <v>27</v>
      </c>
      <c r="AG86" s="2">
        <v>36.1</v>
      </c>
      <c r="AH86" s="2">
        <v>21.9</v>
      </c>
      <c r="AI86" s="2" t="str">
        <f>IF(EHR[[#This Row],[BMI_kg_m2]]&gt;=30,"Obese","Non-Obese")</f>
        <v>Non-Obese</v>
      </c>
      <c r="AJ86" s="2">
        <v>93</v>
      </c>
      <c r="AK86" s="2" t="s">
        <v>50</v>
      </c>
      <c r="AL86" s="2" t="s">
        <v>51</v>
      </c>
      <c r="AM86" s="2" t="s">
        <v>52</v>
      </c>
      <c r="AN86" s="2" t="s">
        <v>53</v>
      </c>
      <c r="AO86" s="2" t="s">
        <v>54</v>
      </c>
    </row>
    <row r="87" spans="1:41" x14ac:dyDescent="0.2">
      <c r="A87" s="7" t="s">
        <v>430</v>
      </c>
      <c r="B87" s="3" t="s">
        <v>440</v>
      </c>
      <c r="C87" s="14">
        <v>45248</v>
      </c>
      <c r="D87" s="3" t="s">
        <v>88</v>
      </c>
      <c r="E87" s="3" t="s">
        <v>167</v>
      </c>
      <c r="F87" s="3" t="s">
        <v>219</v>
      </c>
      <c r="G87" s="3" t="s">
        <v>138</v>
      </c>
      <c r="H87" s="14">
        <v>21342</v>
      </c>
      <c r="I87" s="3">
        <v>67</v>
      </c>
      <c r="J87" s="3" t="str" cm="1">
        <f t="array" ref="J8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87" s="3" t="s">
        <v>1573</v>
      </c>
      <c r="L87" s="3" t="s">
        <v>110</v>
      </c>
      <c r="M87" s="3" t="s">
        <v>141</v>
      </c>
      <c r="N87" s="3" t="s">
        <v>125</v>
      </c>
      <c r="O87" s="3" t="s">
        <v>81</v>
      </c>
      <c r="P87" s="3" t="s">
        <v>157</v>
      </c>
      <c r="Q87" s="3" t="str">
        <f>_xlfn.XLOOKUP(EHR[[#This Row],[Primary_ICD11_Code]],'03_ICD11_Reference'!A:A,'03_ICD11_Reference'!D:D,,0)</f>
        <v>Multi-system</v>
      </c>
      <c r="R87" s="3" t="s">
        <v>158</v>
      </c>
      <c r="S87" s="3" t="s">
        <v>69</v>
      </c>
      <c r="T87" s="3" t="s">
        <v>442</v>
      </c>
      <c r="U87" s="3">
        <v>3</v>
      </c>
      <c r="V87" s="3" t="str">
        <f>_xlfn.XLOOKUP(EHR[[#This Row],[Encounter_ID]],'02_Lab_Results'!B:B,'02_Lab_Results'!D:D,,0)</f>
        <v>6768-6</v>
      </c>
      <c r="W87" s="3" t="str">
        <f>_xlfn.XLOOKUP(EHR[[#This Row],[LOINC Code]],'04_LOINC_Reference'!A:A,'04_LOINC_Reference'!F:F,,0)</f>
        <v>Biochemistry</v>
      </c>
      <c r="X87" s="3" t="str">
        <f>_xlfn.XLOOKUP(EHR[[#This Row],[LOINC Code]],'02_Lab_Results'!D:D,'02_Lab_Results'!E:E,,0)</f>
        <v>ALP</v>
      </c>
      <c r="Y87" s="3" t="str">
        <f>_xlfn.XLOOKUP(EHR[[#This Row],[LOINC Code]],'02_Lab_Results'!D:D,'02_Lab_Results'!J:J,,0)</f>
        <v>High</v>
      </c>
      <c r="Z87" s="3" t="str" cm="1">
        <f t="array" ref="Z87">_xlfn.XLOOKUP(1,(B87=B$2:B$500)*(V$2:V$500="4548-4"),Y$2:Y$500,"Not Tested")</f>
        <v>Not Tested</v>
      </c>
      <c r="AA87" s="3">
        <v>153</v>
      </c>
      <c r="AB87" s="3">
        <v>70</v>
      </c>
      <c r="AC87" s="3" t="str">
        <f>IF(AND(EHR[[#This Row],[BP_Systolic_mmHg]]&lt;140,EHR[[#This Row],[BP_Diastolic_mmHg]]&lt;90),"Controlled",IF(OR(EHR[[#This Row],[BP_Systolic_mmHg]]="Not Recorded",EHR[[#This Row],[BP_Diastolic_mmHg]]="Not Recorded"),"No Reading","Uncontrolled"))</f>
        <v>Uncontrolled</v>
      </c>
      <c r="AD87" s="3" t="str">
        <f>_xlfn.CONCAT(EHR[[#This Row],[BP_Systolic_mmHg]],"/",EHR[[#This Row],[BP_Diastolic_mmHg]])</f>
        <v>153/70</v>
      </c>
      <c r="AE87" s="3">
        <v>59</v>
      </c>
      <c r="AF87" s="3">
        <v>24</v>
      </c>
      <c r="AG87" s="3">
        <v>37.6</v>
      </c>
      <c r="AH87" s="3">
        <v>28.5</v>
      </c>
      <c r="AI87" s="3" t="str">
        <f>IF(EHR[[#This Row],[BMI_kg_m2]]&gt;=30,"Obese","Non-Obese")</f>
        <v>Non-Obese</v>
      </c>
      <c r="AJ87" s="3">
        <v>94</v>
      </c>
      <c r="AK87" s="3" t="s">
        <v>50</v>
      </c>
      <c r="AL87" s="3" t="s">
        <v>51</v>
      </c>
      <c r="AM87" s="3" t="s">
        <v>52</v>
      </c>
      <c r="AN87" s="3" t="s">
        <v>53</v>
      </c>
      <c r="AO87" s="3" t="s">
        <v>54</v>
      </c>
    </row>
    <row r="88" spans="1:41" x14ac:dyDescent="0.2">
      <c r="A88" s="6" t="s">
        <v>430</v>
      </c>
      <c r="B88" s="2" t="s">
        <v>443</v>
      </c>
      <c r="C88" s="13">
        <v>45065</v>
      </c>
      <c r="D88" s="2" t="s">
        <v>88</v>
      </c>
      <c r="E88" s="2" t="s">
        <v>167</v>
      </c>
      <c r="F88" s="2" t="s">
        <v>62</v>
      </c>
      <c r="G88" s="2" t="s">
        <v>115</v>
      </c>
      <c r="H88" s="13">
        <v>21342</v>
      </c>
      <c r="I88" s="2">
        <v>67</v>
      </c>
      <c r="J88" s="2" t="str" cm="1">
        <f t="array" ref="J8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88" s="2" t="s">
        <v>1573</v>
      </c>
      <c r="L88" s="2" t="s">
        <v>116</v>
      </c>
      <c r="M88" s="2" t="s">
        <v>141</v>
      </c>
      <c r="N88" s="2" t="s">
        <v>125</v>
      </c>
      <c r="O88" s="2" t="s">
        <v>81</v>
      </c>
      <c r="P88" s="2" t="s">
        <v>157</v>
      </c>
      <c r="Q88" s="2" t="str">
        <f>_xlfn.XLOOKUP(EHR[[#This Row],[Primary_ICD11_Code]],'03_ICD11_Reference'!A:A,'03_ICD11_Reference'!D:D,,0)</f>
        <v>Multi-system</v>
      </c>
      <c r="R88" s="2" t="s">
        <v>158</v>
      </c>
      <c r="S88" s="2" t="s">
        <v>69</v>
      </c>
      <c r="T88" s="2" t="s">
        <v>445</v>
      </c>
      <c r="U88" s="2">
        <v>3</v>
      </c>
      <c r="V88" s="2" t="str">
        <f>_xlfn.XLOOKUP(EHR[[#This Row],[Encounter_ID]],'02_Lab_Results'!B:B,'02_Lab_Results'!D:D,,0)</f>
        <v>13457-7</v>
      </c>
      <c r="W88" s="2" t="str">
        <f>_xlfn.XLOOKUP(EHR[[#This Row],[LOINC Code]],'04_LOINC_Reference'!A:A,'04_LOINC_Reference'!F:F,,0)</f>
        <v>Biochemistry</v>
      </c>
      <c r="X88" s="2" t="str">
        <f>_xlfn.XLOOKUP(EHR[[#This Row],[LOINC Code]],'02_Lab_Results'!D:D,'02_Lab_Results'!E:E,,0)</f>
        <v>LDL cholesterol</v>
      </c>
      <c r="Y88" s="2" t="str">
        <f>_xlfn.XLOOKUP(EHR[[#This Row],[LOINC Code]],'02_Lab_Results'!D:D,'02_Lab_Results'!J:J,,0)</f>
        <v>High</v>
      </c>
      <c r="Z88" s="2" t="str" cm="1">
        <f t="array" ref="Z88">_xlfn.XLOOKUP(1,(B88=B$2:B$500)*(V$2:V$500="4548-4"),Y$2:Y$500,"Not Tested")</f>
        <v>Not Tested</v>
      </c>
      <c r="AA88" s="2">
        <v>172</v>
      </c>
      <c r="AB88" s="2">
        <v>82</v>
      </c>
      <c r="AC88" s="2" t="str">
        <f>IF(AND(EHR[[#This Row],[BP_Systolic_mmHg]]&lt;140,EHR[[#This Row],[BP_Diastolic_mmHg]]&lt;90),"Controlled",IF(OR(EHR[[#This Row],[BP_Systolic_mmHg]]="Not Recorded",EHR[[#This Row],[BP_Diastolic_mmHg]]="Not Recorded"),"No Reading","Uncontrolled"))</f>
        <v>Uncontrolled</v>
      </c>
      <c r="AD88" s="2" t="str">
        <f>_xlfn.CONCAT(EHR[[#This Row],[BP_Systolic_mmHg]],"/",EHR[[#This Row],[BP_Diastolic_mmHg]])</f>
        <v>172/82</v>
      </c>
      <c r="AE88" s="2">
        <v>117</v>
      </c>
      <c r="AF88" s="2">
        <v>19</v>
      </c>
      <c r="AG88" s="2">
        <v>36.299999999999997</v>
      </c>
      <c r="AH88" s="2">
        <v>36.9</v>
      </c>
      <c r="AI88" s="2" t="str">
        <f>IF(EHR[[#This Row],[BMI_kg_m2]]&gt;=30,"Obese","Non-Obese")</f>
        <v>Obese</v>
      </c>
      <c r="AJ88" s="2">
        <v>98</v>
      </c>
      <c r="AK88" s="2" t="s">
        <v>50</v>
      </c>
      <c r="AL88" s="2" t="s">
        <v>51</v>
      </c>
      <c r="AM88" s="2" t="s">
        <v>52</v>
      </c>
      <c r="AN88" s="2" t="s">
        <v>53</v>
      </c>
      <c r="AO88" s="2" t="s">
        <v>54</v>
      </c>
    </row>
    <row r="89" spans="1:41" x14ac:dyDescent="0.2">
      <c r="A89" s="7" t="s">
        <v>430</v>
      </c>
      <c r="B89" s="3" t="s">
        <v>446</v>
      </c>
      <c r="C89" s="14">
        <v>45653</v>
      </c>
      <c r="D89" s="3" t="s">
        <v>95</v>
      </c>
      <c r="E89" s="3" t="s">
        <v>89</v>
      </c>
      <c r="F89" s="3" t="s">
        <v>38</v>
      </c>
      <c r="G89" s="3" t="s">
        <v>63</v>
      </c>
      <c r="H89" s="14">
        <v>21342</v>
      </c>
      <c r="I89" s="3">
        <v>67</v>
      </c>
      <c r="J89" s="3" t="str" cm="1">
        <f t="array" ref="J8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89" s="3" t="s">
        <v>1573</v>
      </c>
      <c r="L89" s="3" t="s">
        <v>110</v>
      </c>
      <c r="M89" s="3" t="s">
        <v>141</v>
      </c>
      <c r="N89" s="3" t="s">
        <v>125</v>
      </c>
      <c r="O89" s="3" t="s">
        <v>81</v>
      </c>
      <c r="P89" s="3" t="s">
        <v>157</v>
      </c>
      <c r="Q89" s="3" t="str">
        <f>_xlfn.XLOOKUP(EHR[[#This Row],[Primary_ICD11_Code]],'03_ICD11_Reference'!A:A,'03_ICD11_Reference'!D:D,,0)</f>
        <v>Multi-system</v>
      </c>
      <c r="R89" s="3" t="s">
        <v>158</v>
      </c>
      <c r="S89" s="3" t="s">
        <v>69</v>
      </c>
      <c r="T89" s="3" t="s">
        <v>448</v>
      </c>
      <c r="U89" s="3">
        <v>4</v>
      </c>
      <c r="V89" s="3" t="str">
        <f>_xlfn.XLOOKUP(EHR[[#This Row],[Encounter_ID]],'02_Lab_Results'!B:B,'02_Lab_Results'!D:D,,0)</f>
        <v>2951-2</v>
      </c>
      <c r="W89" s="3" t="str">
        <f>_xlfn.XLOOKUP(EHR[[#This Row],[LOINC Code]],'04_LOINC_Reference'!A:A,'04_LOINC_Reference'!F:F,,0)</f>
        <v>Biochemistry</v>
      </c>
      <c r="X89" s="3" t="str">
        <f>_xlfn.XLOOKUP(EHR[[#This Row],[LOINC Code]],'02_Lab_Results'!D:D,'02_Lab_Results'!E:E,,0)</f>
        <v>Serum sodium</v>
      </c>
      <c r="Y89" s="3" t="str">
        <f>_xlfn.XLOOKUP(EHR[[#This Row],[LOINC Code]],'02_Lab_Results'!D:D,'02_Lab_Results'!J:J,,0)</f>
        <v>Low</v>
      </c>
      <c r="Z89" s="3" t="str" cm="1">
        <f t="array" ref="Z89">_xlfn.XLOOKUP(1,(B89=B$2:B$500)*(V$2:V$500="4548-4"),Y$2:Y$500,"Not Tested")</f>
        <v>Not Tested</v>
      </c>
      <c r="AA89" s="3">
        <v>178</v>
      </c>
      <c r="AB89" s="3">
        <v>93</v>
      </c>
      <c r="AC89" s="3" t="str">
        <f>IF(AND(EHR[[#This Row],[BP_Systolic_mmHg]]&lt;140,EHR[[#This Row],[BP_Diastolic_mmHg]]&lt;90),"Controlled",IF(OR(EHR[[#This Row],[BP_Systolic_mmHg]]="Not Recorded",EHR[[#This Row],[BP_Diastolic_mmHg]]="Not Recorded"),"No Reading","Uncontrolled"))</f>
        <v>Uncontrolled</v>
      </c>
      <c r="AD89" s="3" t="str">
        <f>_xlfn.CONCAT(EHR[[#This Row],[BP_Systolic_mmHg]],"/",EHR[[#This Row],[BP_Diastolic_mmHg]])</f>
        <v>178/93</v>
      </c>
      <c r="AE89" s="3">
        <v>110</v>
      </c>
      <c r="AF89" s="3">
        <v>20</v>
      </c>
      <c r="AG89" s="3">
        <v>36.4</v>
      </c>
      <c r="AH89" s="3">
        <v>23.2</v>
      </c>
      <c r="AI89" s="3" t="str">
        <f>IF(EHR[[#This Row],[BMI_kg_m2]]&gt;=30,"Obese","Non-Obese")</f>
        <v>Non-Obese</v>
      </c>
      <c r="AJ89" s="3">
        <v>89</v>
      </c>
      <c r="AK89" s="3" t="s">
        <v>50</v>
      </c>
      <c r="AL89" s="3" t="s">
        <v>51</v>
      </c>
      <c r="AM89" s="3" t="s">
        <v>52</v>
      </c>
      <c r="AN89" s="3" t="s">
        <v>53</v>
      </c>
      <c r="AO89" s="3" t="s">
        <v>54</v>
      </c>
    </row>
    <row r="90" spans="1:41" x14ac:dyDescent="0.2">
      <c r="A90" s="6" t="s">
        <v>449</v>
      </c>
      <c r="B90" s="2" t="s">
        <v>450</v>
      </c>
      <c r="C90" s="13">
        <v>45251</v>
      </c>
      <c r="D90" s="2" t="s">
        <v>88</v>
      </c>
      <c r="E90" s="2" t="s">
        <v>37</v>
      </c>
      <c r="F90" s="2" t="s">
        <v>122</v>
      </c>
      <c r="G90" s="2" t="s">
        <v>115</v>
      </c>
      <c r="H90" s="13">
        <v>21178</v>
      </c>
      <c r="I90" s="2">
        <v>68</v>
      </c>
      <c r="J90" s="2" t="str" cm="1">
        <f t="array" ref="J9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90" s="2" t="s">
        <v>1573</v>
      </c>
      <c r="L90" s="2" t="s">
        <v>42</v>
      </c>
      <c r="M90" s="2" t="s">
        <v>141</v>
      </c>
      <c r="N90" s="2" t="s">
        <v>1574</v>
      </c>
      <c r="O90" s="2" t="s">
        <v>45</v>
      </c>
      <c r="P90" s="2" t="s">
        <v>157</v>
      </c>
      <c r="Q90" s="2" t="str">
        <f>_xlfn.XLOOKUP(EHR[[#This Row],[Primary_ICD11_Code]],'03_ICD11_Reference'!A:A,'03_ICD11_Reference'!D:D,,0)</f>
        <v>Multi-system</v>
      </c>
      <c r="R90" s="2" t="s">
        <v>158</v>
      </c>
      <c r="S90" s="2" t="s">
        <v>69</v>
      </c>
      <c r="T90" s="2" t="s">
        <v>453</v>
      </c>
      <c r="U90" s="2">
        <v>2</v>
      </c>
      <c r="V90" s="2" t="str">
        <f>_xlfn.XLOOKUP(EHR[[#This Row],[Encounter_ID]],'02_Lab_Results'!B:B,'02_Lab_Results'!D:D,,0)</f>
        <v>4548-4</v>
      </c>
      <c r="W90" s="2" t="str">
        <f>_xlfn.XLOOKUP(EHR[[#This Row],[LOINC Code]],'04_LOINC_Reference'!A:A,'04_LOINC_Reference'!F:F,,0)</f>
        <v>Biochemistry</v>
      </c>
      <c r="X90" s="2" t="str">
        <f>_xlfn.XLOOKUP(EHR[[#This Row],[LOINC Code]],'02_Lab_Results'!D:D,'02_Lab_Results'!E:E,,0)</f>
        <v>HbA1c</v>
      </c>
      <c r="Y90" s="2" t="str">
        <f>_xlfn.XLOOKUP(EHR[[#This Row],[LOINC Code]],'02_Lab_Results'!D:D,'02_Lab_Results'!J:J,,0)</f>
        <v>High</v>
      </c>
      <c r="Z90" s="2" t="str" cm="1">
        <f t="array" ref="Z90">_xlfn.XLOOKUP(1,(B90=B$2:B$500)*(V$2:V$500="4548-4"),Y$2:Y$500,"Not Tested")</f>
        <v>High</v>
      </c>
      <c r="AA90" s="2" t="s">
        <v>1570</v>
      </c>
      <c r="AB90" s="2" t="s">
        <v>1570</v>
      </c>
      <c r="AC90" s="2" t="str">
        <f>IF(AND(EHR[[#This Row],[BP_Systolic_mmHg]]&lt;140,EHR[[#This Row],[BP_Diastolic_mmHg]]&lt;90),"Controlled",IF(OR(EHR[[#This Row],[BP_Systolic_mmHg]]="Not Recorded",EHR[[#This Row],[BP_Diastolic_mmHg]]="Not Recorded"),"No Reading","Uncontrolled"))</f>
        <v>No Reading</v>
      </c>
      <c r="AD90" s="2" t="str">
        <f>_xlfn.CONCAT(EHR[[#This Row],[BP_Systolic_mmHg]],"/",EHR[[#This Row],[BP_Diastolic_mmHg]])</f>
        <v>Not Recorded/Not Recorded</v>
      </c>
      <c r="AE90" s="2">
        <v>101</v>
      </c>
      <c r="AF90" s="2">
        <v>18</v>
      </c>
      <c r="AG90" s="2">
        <v>38.799999999999997</v>
      </c>
      <c r="AH90" s="2">
        <v>39.700000000000003</v>
      </c>
      <c r="AI90" s="2" t="str">
        <f>IF(EHR[[#This Row],[BMI_kg_m2]]&gt;=30,"Obese","Non-Obese")</f>
        <v>Obese</v>
      </c>
      <c r="AJ90" s="2">
        <v>95</v>
      </c>
      <c r="AK90" s="2" t="s">
        <v>50</v>
      </c>
      <c r="AL90" s="2" t="s">
        <v>51</v>
      </c>
      <c r="AM90" s="2" t="s">
        <v>52</v>
      </c>
      <c r="AN90" s="2" t="s">
        <v>53</v>
      </c>
      <c r="AO90" s="2" t="s">
        <v>54</v>
      </c>
    </row>
    <row r="91" spans="1:41" x14ac:dyDescent="0.2">
      <c r="A91" s="7" t="s">
        <v>449</v>
      </c>
      <c r="B91" s="3" t="s">
        <v>454</v>
      </c>
      <c r="C91" s="15">
        <f>EHR[[#This Row],[Patient_DOB]]+(EHR[[#This Row],[Age_at_Encounter]]*365)</f>
        <v>45998</v>
      </c>
      <c r="D91" s="3" t="s">
        <v>103</v>
      </c>
      <c r="E91" s="3" t="s">
        <v>61</v>
      </c>
      <c r="F91" s="3" t="s">
        <v>97</v>
      </c>
      <c r="G91" s="3" t="s">
        <v>76</v>
      </c>
      <c r="H91" s="14">
        <v>21178</v>
      </c>
      <c r="I91" s="4">
        <v>68</v>
      </c>
      <c r="J91" s="4" t="str" cm="1">
        <f t="array" ref="J9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91" s="3" t="s">
        <v>1573</v>
      </c>
      <c r="L91" s="3" t="s">
        <v>66</v>
      </c>
      <c r="M91" s="3" t="s">
        <v>141</v>
      </c>
      <c r="N91" s="3" t="s">
        <v>1574</v>
      </c>
      <c r="O91" s="3" t="s">
        <v>45</v>
      </c>
      <c r="P91" s="3" t="s">
        <v>157</v>
      </c>
      <c r="Q91" s="3" t="str">
        <f>_xlfn.XLOOKUP(EHR[[#This Row],[Primary_ICD11_Code]],'03_ICD11_Reference'!A:A,'03_ICD11_Reference'!D:D,,0)</f>
        <v>Multi-system</v>
      </c>
      <c r="R91" s="3" t="s">
        <v>158</v>
      </c>
      <c r="S91" s="3" t="s">
        <v>69</v>
      </c>
      <c r="T91" s="3" t="s">
        <v>455</v>
      </c>
      <c r="U91" s="3">
        <v>2</v>
      </c>
      <c r="V91" s="3" t="str">
        <f>_xlfn.XLOOKUP(EHR[[#This Row],[Encounter_ID]],'02_Lab_Results'!B:B,'02_Lab_Results'!D:D,,0)</f>
        <v>4548-4</v>
      </c>
      <c r="W91" s="3" t="str">
        <f>_xlfn.XLOOKUP(EHR[[#This Row],[LOINC Code]],'04_LOINC_Reference'!A:A,'04_LOINC_Reference'!F:F,,0)</f>
        <v>Biochemistry</v>
      </c>
      <c r="X91" s="3" t="str">
        <f>_xlfn.XLOOKUP(EHR[[#This Row],[LOINC Code]],'02_Lab_Results'!D:D,'02_Lab_Results'!E:E,,0)</f>
        <v>HbA1c</v>
      </c>
      <c r="Y91" s="3" t="str">
        <f>_xlfn.XLOOKUP(EHR[[#This Row],[LOINC Code]],'02_Lab_Results'!D:D,'02_Lab_Results'!J:J,,0)</f>
        <v>High</v>
      </c>
      <c r="Z91" s="3" t="str" cm="1">
        <f t="array" ref="Z91">_xlfn.XLOOKUP(1,(B91=B$2:B$500)*(V$2:V$500="4548-4"),Y$2:Y$500,"Not Tested")</f>
        <v>High</v>
      </c>
      <c r="AA91" s="4">
        <v>171</v>
      </c>
      <c r="AB91" s="4" t="s">
        <v>1570</v>
      </c>
      <c r="AC91" s="4" t="str">
        <f>IF(AND(EHR[[#This Row],[BP_Systolic_mmHg]]&lt;140,EHR[[#This Row],[BP_Diastolic_mmHg]]&lt;90),"Controlled",IF(OR(EHR[[#This Row],[BP_Systolic_mmHg]]="Not Recorded",EHR[[#This Row],[BP_Diastolic_mmHg]]="Not Recorded"),"No Reading","Uncontrolled"))</f>
        <v>No Reading</v>
      </c>
      <c r="AD91" s="4" t="str">
        <f>_xlfn.CONCAT(EHR[[#This Row],[BP_Systolic_mmHg]],"/",EHR[[#This Row],[BP_Diastolic_mmHg]])</f>
        <v>171/Not Recorded</v>
      </c>
      <c r="AE91" s="3">
        <v>98</v>
      </c>
      <c r="AF91" s="3">
        <v>21</v>
      </c>
      <c r="AG91" s="3">
        <v>36.4</v>
      </c>
      <c r="AH91" s="4">
        <v>26.1</v>
      </c>
      <c r="AI91" s="4" t="str">
        <f>IF(EHR[[#This Row],[BMI_kg_m2]]&gt;=30,"Obese","Non-Obese")</f>
        <v>Non-Obese</v>
      </c>
      <c r="AJ91" s="3">
        <v>94</v>
      </c>
      <c r="AK91" s="3" t="s">
        <v>50</v>
      </c>
      <c r="AL91" s="3" t="s">
        <v>51</v>
      </c>
      <c r="AM91" s="3" t="s">
        <v>52</v>
      </c>
      <c r="AN91" s="3" t="s">
        <v>53</v>
      </c>
      <c r="AO91" s="3" t="s">
        <v>54</v>
      </c>
    </row>
    <row r="92" spans="1:41" x14ac:dyDescent="0.2">
      <c r="A92" s="6" t="s">
        <v>449</v>
      </c>
      <c r="B92" s="2" t="s">
        <v>456</v>
      </c>
      <c r="C92" s="15">
        <f>EHR[[#This Row],[Patient_DOB]]+(EHR[[#This Row],[Age_at_Encounter]]*365)</f>
        <v>45998</v>
      </c>
      <c r="D92" s="2" t="s">
        <v>95</v>
      </c>
      <c r="E92" s="2" t="s">
        <v>167</v>
      </c>
      <c r="F92" s="2" t="s">
        <v>219</v>
      </c>
      <c r="G92" s="2" t="s">
        <v>63</v>
      </c>
      <c r="H92" s="13">
        <v>21178</v>
      </c>
      <c r="I92" s="4">
        <v>68</v>
      </c>
      <c r="J92" s="4" t="str" cm="1">
        <f t="array" ref="J9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92" s="2" t="s">
        <v>1573</v>
      </c>
      <c r="L92" s="2" t="s">
        <v>116</v>
      </c>
      <c r="M92" s="2" t="s">
        <v>141</v>
      </c>
      <c r="N92" s="2" t="s">
        <v>1574</v>
      </c>
      <c r="O92" s="2" t="s">
        <v>45</v>
      </c>
      <c r="P92" s="2" t="s">
        <v>157</v>
      </c>
      <c r="Q92" s="2" t="str">
        <f>_xlfn.XLOOKUP(EHR[[#This Row],[Primary_ICD11_Code]],'03_ICD11_Reference'!A:A,'03_ICD11_Reference'!D:D,,0)</f>
        <v>Multi-system</v>
      </c>
      <c r="R92" s="2" t="s">
        <v>158</v>
      </c>
      <c r="S92" s="2" t="s">
        <v>69</v>
      </c>
      <c r="T92" s="2" t="s">
        <v>457</v>
      </c>
      <c r="U92" s="2">
        <v>3</v>
      </c>
      <c r="V92" s="2" t="str">
        <f>_xlfn.XLOOKUP(EHR[[#This Row],[Encounter_ID]],'02_Lab_Results'!B:B,'02_Lab_Results'!D:D,,0)</f>
        <v>14627-4</v>
      </c>
      <c r="W92" s="2" t="str">
        <f>_xlfn.XLOOKUP(EHR[[#This Row],[LOINC Code]],'04_LOINC_Reference'!A:A,'04_LOINC_Reference'!F:F,,0)</f>
        <v>Biochemistry</v>
      </c>
      <c r="X92" s="2" t="str">
        <f>_xlfn.XLOOKUP(EHR[[#This Row],[LOINC Code]],'02_Lab_Results'!D:D,'02_Lab_Results'!E:E,,0)</f>
        <v>eGFR (CKD-EPI)</v>
      </c>
      <c r="Y92" s="2" t="str">
        <f>_xlfn.XLOOKUP(EHR[[#This Row],[LOINC Code]],'02_Lab_Results'!D:D,'02_Lab_Results'!J:J,,0)</f>
        <v>High</v>
      </c>
      <c r="Z92" s="2" t="str" cm="1">
        <f t="array" ref="Z92">_xlfn.XLOOKUP(1,(B92=B$2:B$500)*(V$2:V$500="4548-4"),Y$2:Y$500,"Not Tested")</f>
        <v>Not Tested</v>
      </c>
      <c r="AA92" s="4" t="s">
        <v>1570</v>
      </c>
      <c r="AB92" s="4">
        <v>94</v>
      </c>
      <c r="AC92" s="4" t="str">
        <f>IF(AND(EHR[[#This Row],[BP_Systolic_mmHg]]&lt;140,EHR[[#This Row],[BP_Diastolic_mmHg]]&lt;90),"Controlled",IF(OR(EHR[[#This Row],[BP_Systolic_mmHg]]="Not Recorded",EHR[[#This Row],[BP_Diastolic_mmHg]]="Not Recorded"),"No Reading","Uncontrolled"))</f>
        <v>No Reading</v>
      </c>
      <c r="AD92" s="4" t="str">
        <f>_xlfn.CONCAT(EHR[[#This Row],[BP_Systolic_mmHg]],"/",EHR[[#This Row],[BP_Diastolic_mmHg]])</f>
        <v>Not Recorded/94</v>
      </c>
      <c r="AE92" s="2">
        <v>108</v>
      </c>
      <c r="AF92" s="2">
        <v>19</v>
      </c>
      <c r="AG92" s="2">
        <v>38</v>
      </c>
      <c r="AH92" s="4">
        <v>31.7</v>
      </c>
      <c r="AI92" s="4" t="str">
        <f>IF(EHR[[#This Row],[BMI_kg_m2]]&gt;=30,"Obese","Non-Obese")</f>
        <v>Obese</v>
      </c>
      <c r="AJ92" s="2">
        <v>95</v>
      </c>
      <c r="AK92" s="2" t="s">
        <v>50</v>
      </c>
      <c r="AL92" s="2" t="s">
        <v>51</v>
      </c>
      <c r="AM92" s="2" t="s">
        <v>52</v>
      </c>
      <c r="AN92" s="2" t="s">
        <v>53</v>
      </c>
      <c r="AO92" s="2" t="s">
        <v>54</v>
      </c>
    </row>
    <row r="93" spans="1:41" x14ac:dyDescent="0.2">
      <c r="A93" s="7" t="s">
        <v>449</v>
      </c>
      <c r="B93" s="3" t="s">
        <v>458</v>
      </c>
      <c r="C93" s="15">
        <v>45247</v>
      </c>
      <c r="D93" s="3" t="s">
        <v>103</v>
      </c>
      <c r="E93" s="3" t="s">
        <v>96</v>
      </c>
      <c r="F93" s="3" t="s">
        <v>122</v>
      </c>
      <c r="G93" s="3" t="s">
        <v>104</v>
      </c>
      <c r="H93" s="14">
        <v>21178</v>
      </c>
      <c r="I93" s="18">
        <f>(EHR[[#This Row],[Encounter_Date]]-EHR[[#This Row],[Patient_DOB]])/365</f>
        <v>65.942465753424656</v>
      </c>
      <c r="J93" s="18" t="str" cm="1">
        <f t="array" ref="J9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93" s="3" t="s">
        <v>1573</v>
      </c>
      <c r="L93" s="3" t="s">
        <v>78</v>
      </c>
      <c r="M93" s="3" t="s">
        <v>141</v>
      </c>
      <c r="N93" s="3" t="s">
        <v>1574</v>
      </c>
      <c r="O93" s="3" t="s">
        <v>45</v>
      </c>
      <c r="P93" s="3" t="s">
        <v>157</v>
      </c>
      <c r="Q93" s="3" t="str">
        <f>_xlfn.XLOOKUP(EHR[[#This Row],[Primary_ICD11_Code]],'03_ICD11_Reference'!A:A,'03_ICD11_Reference'!D:D,,0)</f>
        <v>Multi-system</v>
      </c>
      <c r="R93" s="3" t="s">
        <v>158</v>
      </c>
      <c r="S93" s="3" t="s">
        <v>69</v>
      </c>
      <c r="T93" s="3" t="s">
        <v>460</v>
      </c>
      <c r="U93" s="3">
        <v>1</v>
      </c>
      <c r="V93" s="3" t="str">
        <f>_xlfn.XLOOKUP(EHR[[#This Row],[Encounter_ID]],'02_Lab_Results'!B:B,'02_Lab_Results'!D:D,,0)</f>
        <v>718-7</v>
      </c>
      <c r="W93" s="3" t="str">
        <f>_xlfn.XLOOKUP(EHR[[#This Row],[LOINC Code]],'04_LOINC_Reference'!A:A,'04_LOINC_Reference'!F:F,,0)</f>
        <v>Biochemistry</v>
      </c>
      <c r="X93" s="3" t="str">
        <f>_xlfn.XLOOKUP(EHR[[#This Row],[LOINC Code]],'02_Lab_Results'!D:D,'02_Lab_Results'!E:E,,0)</f>
        <v>Haemoglobin</v>
      </c>
      <c r="Y93" s="3" t="str">
        <f>_xlfn.XLOOKUP(EHR[[#This Row],[LOINC Code]],'02_Lab_Results'!D:D,'02_Lab_Results'!J:J,,0)</f>
        <v>Normal</v>
      </c>
      <c r="Z93" s="3" t="str" cm="1">
        <f t="array" ref="Z93">_xlfn.XLOOKUP(1,(B93=B$2:B$500)*(V$2:V$500="4548-4"),Y$2:Y$500,"Not Tested")</f>
        <v>Not Tested</v>
      </c>
      <c r="AA93" s="4" t="s">
        <v>1570</v>
      </c>
      <c r="AB93" s="4" t="s">
        <v>1570</v>
      </c>
      <c r="AC93" s="4" t="str">
        <f>IF(AND(EHR[[#This Row],[BP_Systolic_mmHg]]&lt;140,EHR[[#This Row],[BP_Diastolic_mmHg]]&lt;90),"Controlled",IF(OR(EHR[[#This Row],[BP_Systolic_mmHg]]="Not Recorded",EHR[[#This Row],[BP_Diastolic_mmHg]]="Not Recorded"),"No Reading","Uncontrolled"))</f>
        <v>No Reading</v>
      </c>
      <c r="AD93" s="4" t="str">
        <f>_xlfn.CONCAT(EHR[[#This Row],[BP_Systolic_mmHg]],"/",EHR[[#This Row],[BP_Diastolic_mmHg]])</f>
        <v>Not Recorded/Not Recorded</v>
      </c>
      <c r="AE93" s="3">
        <v>124</v>
      </c>
      <c r="AF93" s="3">
        <v>18</v>
      </c>
      <c r="AG93" s="3">
        <v>37.299999999999997</v>
      </c>
      <c r="AH93" s="4">
        <v>39.200000000000003</v>
      </c>
      <c r="AI93" s="4" t="str">
        <f>IF(EHR[[#This Row],[BMI_kg_m2]]&gt;=30,"Obese","Non-Obese")</f>
        <v>Obese</v>
      </c>
      <c r="AJ93" s="3">
        <v>94</v>
      </c>
      <c r="AK93" s="3" t="s">
        <v>50</v>
      </c>
      <c r="AL93" s="3" t="s">
        <v>51</v>
      </c>
      <c r="AM93" s="3" t="s">
        <v>52</v>
      </c>
      <c r="AN93" s="3" t="s">
        <v>53</v>
      </c>
      <c r="AO93" s="3" t="s">
        <v>54</v>
      </c>
    </row>
    <row r="94" spans="1:41" x14ac:dyDescent="0.2">
      <c r="A94" s="6" t="s">
        <v>449</v>
      </c>
      <c r="B94" s="2" t="s">
        <v>461</v>
      </c>
      <c r="C94" s="15">
        <v>45181</v>
      </c>
      <c r="D94" s="2" t="s">
        <v>60</v>
      </c>
      <c r="E94" s="2" t="s">
        <v>96</v>
      </c>
      <c r="F94" s="2" t="s">
        <v>148</v>
      </c>
      <c r="G94" s="2" t="s">
        <v>98</v>
      </c>
      <c r="H94" s="13">
        <v>21178</v>
      </c>
      <c r="I94" s="18">
        <f>(EHR[[#This Row],[Encounter_Date]]-EHR[[#This Row],[Patient_DOB]])/365</f>
        <v>65.761643835616439</v>
      </c>
      <c r="J94" s="18" t="str" cm="1">
        <f t="array" ref="J9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94" s="2" t="s">
        <v>1573</v>
      </c>
      <c r="L94" s="2" t="s">
        <v>140</v>
      </c>
      <c r="M94" s="2" t="s">
        <v>141</v>
      </c>
      <c r="N94" s="2" t="s">
        <v>1574</v>
      </c>
      <c r="O94" s="2" t="s">
        <v>45</v>
      </c>
      <c r="P94" s="2" t="s">
        <v>157</v>
      </c>
      <c r="Q94" s="2" t="str">
        <f>_xlfn.XLOOKUP(EHR[[#This Row],[Primary_ICD11_Code]],'03_ICD11_Reference'!A:A,'03_ICD11_Reference'!D:D,,0)</f>
        <v>Multi-system</v>
      </c>
      <c r="R94" s="2" t="s">
        <v>158</v>
      </c>
      <c r="S94" s="2" t="s">
        <v>69</v>
      </c>
      <c r="T94" s="2" t="s">
        <v>463</v>
      </c>
      <c r="U94" s="2">
        <v>4</v>
      </c>
      <c r="V94" s="2" t="str">
        <f>_xlfn.XLOOKUP(EHR[[#This Row],[Encounter_ID]],'02_Lab_Results'!B:B,'02_Lab_Results'!D:D,,0)</f>
        <v>2093-3</v>
      </c>
      <c r="W94" s="2" t="str">
        <f>_xlfn.XLOOKUP(EHR[[#This Row],[LOINC Code]],'04_LOINC_Reference'!A:A,'04_LOINC_Reference'!F:F,,0)</f>
        <v>Biochemistry</v>
      </c>
      <c r="X94" s="2" t="str">
        <f>_xlfn.XLOOKUP(EHR[[#This Row],[LOINC Code]],'02_Lab_Results'!D:D,'02_Lab_Results'!E:E,,0)</f>
        <v>Total cholesterol</v>
      </c>
      <c r="Y94" s="2" t="str">
        <f>_xlfn.XLOOKUP(EHR[[#This Row],[LOINC Code]],'02_Lab_Results'!D:D,'02_Lab_Results'!J:J,,0)</f>
        <v>Normal</v>
      </c>
      <c r="Z94" s="2" t="str" cm="1">
        <f t="array" ref="Z94">_xlfn.XLOOKUP(1,(B94=B$2:B$500)*(V$2:V$500="4548-4"),Y$2:Y$500,"Not Tested")</f>
        <v>Not Tested</v>
      </c>
      <c r="AA94" s="4" t="s">
        <v>1570</v>
      </c>
      <c r="AB94" s="4" t="s">
        <v>1570</v>
      </c>
      <c r="AC94" s="4" t="str">
        <f>IF(AND(EHR[[#This Row],[BP_Systolic_mmHg]]&lt;140,EHR[[#This Row],[BP_Diastolic_mmHg]]&lt;90),"Controlled",IF(OR(EHR[[#This Row],[BP_Systolic_mmHg]]="Not Recorded",EHR[[#This Row],[BP_Diastolic_mmHg]]="Not Recorded"),"No Reading","Uncontrolled"))</f>
        <v>No Reading</v>
      </c>
      <c r="AD94" s="4" t="str">
        <f>_xlfn.CONCAT(EHR[[#This Row],[BP_Systolic_mmHg]],"/",EHR[[#This Row],[BP_Diastolic_mmHg]])</f>
        <v>Not Recorded/Not Recorded</v>
      </c>
      <c r="AE94" s="2">
        <v>111</v>
      </c>
      <c r="AF94" s="2">
        <v>27</v>
      </c>
      <c r="AG94" s="2">
        <v>38.299999999999997</v>
      </c>
      <c r="AH94" s="4">
        <v>22.9</v>
      </c>
      <c r="AI94" s="4" t="str">
        <f>IF(EHR[[#This Row],[BMI_kg_m2]]&gt;=30,"Obese","Non-Obese")</f>
        <v>Non-Obese</v>
      </c>
      <c r="AJ94" s="2">
        <v>89</v>
      </c>
      <c r="AK94" s="2" t="s">
        <v>50</v>
      </c>
      <c r="AL94" s="2" t="s">
        <v>51</v>
      </c>
      <c r="AM94" s="2" t="s">
        <v>52</v>
      </c>
      <c r="AN94" s="2" t="s">
        <v>53</v>
      </c>
      <c r="AO94" s="2" t="s">
        <v>54</v>
      </c>
    </row>
    <row r="95" spans="1:41" x14ac:dyDescent="0.2">
      <c r="A95" s="7" t="s">
        <v>464</v>
      </c>
      <c r="B95" s="3" t="s">
        <v>465</v>
      </c>
      <c r="C95" s="14">
        <v>45301</v>
      </c>
      <c r="D95" s="3" t="s">
        <v>60</v>
      </c>
      <c r="E95" s="3" t="s">
        <v>96</v>
      </c>
      <c r="F95" s="3" t="s">
        <v>109</v>
      </c>
      <c r="G95" s="3" t="s">
        <v>76</v>
      </c>
      <c r="H95" s="14">
        <v>26177</v>
      </c>
      <c r="I95" s="3">
        <v>54</v>
      </c>
      <c r="J95" s="3" t="str" cm="1">
        <f t="array" ref="J9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95" s="3" t="s">
        <v>1573</v>
      </c>
      <c r="L95" s="3" t="s">
        <v>90</v>
      </c>
      <c r="M95" s="3" t="s">
        <v>43</v>
      </c>
      <c r="N95" s="3" t="s">
        <v>125</v>
      </c>
      <c r="O95" s="3" t="s">
        <v>81</v>
      </c>
      <c r="P95" s="3" t="s">
        <v>142</v>
      </c>
      <c r="Q95" s="3" t="str">
        <f>_xlfn.XLOOKUP(EHR[[#This Row],[Primary_ICD11_Code]],'03_ICD11_Reference'!A:A,'03_ICD11_Reference'!D:D,,0)</f>
        <v>Cardiovascular</v>
      </c>
      <c r="R95" s="3" t="s">
        <v>143</v>
      </c>
      <c r="S95" s="3" t="s">
        <v>48</v>
      </c>
      <c r="T95" s="3" t="s">
        <v>468</v>
      </c>
      <c r="U95" s="3">
        <v>3</v>
      </c>
      <c r="V95" s="3" t="str">
        <f>_xlfn.XLOOKUP(EHR[[#This Row],[Encounter_ID]],'02_Lab_Results'!B:B,'02_Lab_Results'!D:D,,0)</f>
        <v>2345-7</v>
      </c>
      <c r="W95" s="3" t="str">
        <f>_xlfn.XLOOKUP(EHR[[#This Row],[LOINC Code]],'04_LOINC_Reference'!A:A,'04_LOINC_Reference'!F:F,,0)</f>
        <v>Biochemistry</v>
      </c>
      <c r="X95" s="3" t="str">
        <f>_xlfn.XLOOKUP(EHR[[#This Row],[LOINC Code]],'02_Lab_Results'!D:D,'02_Lab_Results'!E:E,,0)</f>
        <v>Serum glucose (fasting)</v>
      </c>
      <c r="Y95" s="3" t="str">
        <f>_xlfn.XLOOKUP(EHR[[#This Row],[LOINC Code]],'02_Lab_Results'!D:D,'02_Lab_Results'!J:J,,0)</f>
        <v>Normal</v>
      </c>
      <c r="Z95" s="3" t="str" cm="1">
        <f t="array" ref="Z95">_xlfn.XLOOKUP(1,(B95=B$2:B$500)*(V$2:V$500="4548-4"),Y$2:Y$500,"Not Tested")</f>
        <v>Not Tested</v>
      </c>
      <c r="AA95" s="3">
        <v>99</v>
      </c>
      <c r="AB95" s="3">
        <v>58</v>
      </c>
      <c r="AC95" s="3" t="str">
        <f>IF(AND(EHR[[#This Row],[BP_Systolic_mmHg]]&lt;140,EHR[[#This Row],[BP_Diastolic_mmHg]]&lt;90),"Controlled",IF(OR(EHR[[#This Row],[BP_Systolic_mmHg]]="Not Recorded",EHR[[#This Row],[BP_Diastolic_mmHg]]="Not Recorded"),"No Reading","Uncontrolled"))</f>
        <v>Controlled</v>
      </c>
      <c r="AD95" s="3" t="str">
        <f>_xlfn.CONCAT(EHR[[#This Row],[BP_Systolic_mmHg]],"/",EHR[[#This Row],[BP_Diastolic_mmHg]])</f>
        <v>99/58</v>
      </c>
      <c r="AE95" s="3">
        <v>92</v>
      </c>
      <c r="AF95" s="3">
        <v>18</v>
      </c>
      <c r="AG95" s="3">
        <v>36.9</v>
      </c>
      <c r="AH95" s="3">
        <v>28.5</v>
      </c>
      <c r="AI95" s="3" t="str">
        <f>IF(EHR[[#This Row],[BMI_kg_m2]]&gt;=30,"Obese","Non-Obese")</f>
        <v>Non-Obese</v>
      </c>
      <c r="AJ95" s="3">
        <v>93</v>
      </c>
      <c r="AK95" s="3" t="s">
        <v>50</v>
      </c>
      <c r="AL95" s="3" t="s">
        <v>51</v>
      </c>
      <c r="AM95" s="3" t="s">
        <v>52</v>
      </c>
      <c r="AN95" s="3" t="s">
        <v>53</v>
      </c>
      <c r="AO95" s="3" t="s">
        <v>54</v>
      </c>
    </row>
    <row r="96" spans="1:41" x14ac:dyDescent="0.2">
      <c r="A96" s="6" t="s">
        <v>464</v>
      </c>
      <c r="B96" s="2" t="s">
        <v>469</v>
      </c>
      <c r="C96" s="13">
        <v>45301</v>
      </c>
      <c r="D96" s="2" t="s">
        <v>103</v>
      </c>
      <c r="E96" s="2" t="s">
        <v>167</v>
      </c>
      <c r="F96" s="2" t="s">
        <v>97</v>
      </c>
      <c r="G96" s="2" t="s">
        <v>76</v>
      </c>
      <c r="H96" s="13">
        <v>26177</v>
      </c>
      <c r="I96" s="2">
        <v>54</v>
      </c>
      <c r="J96" s="2" t="str" cm="1">
        <f t="array" ref="J9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96" s="2" t="s">
        <v>1573</v>
      </c>
      <c r="L96" s="2" t="s">
        <v>140</v>
      </c>
      <c r="M96" s="2" t="s">
        <v>43</v>
      </c>
      <c r="N96" s="2" t="s">
        <v>125</v>
      </c>
      <c r="O96" s="2" t="s">
        <v>81</v>
      </c>
      <c r="P96" s="2" t="s">
        <v>142</v>
      </c>
      <c r="Q96" s="2" t="str">
        <f>_xlfn.XLOOKUP(EHR[[#This Row],[Primary_ICD11_Code]],'03_ICD11_Reference'!A:A,'03_ICD11_Reference'!D:D,,0)</f>
        <v>Cardiovascular</v>
      </c>
      <c r="R96" s="2" t="s">
        <v>143</v>
      </c>
      <c r="S96" s="2" t="s">
        <v>48</v>
      </c>
      <c r="T96" s="2" t="s">
        <v>470</v>
      </c>
      <c r="U96" s="2">
        <v>4</v>
      </c>
      <c r="V96" s="2" t="str">
        <f>_xlfn.XLOOKUP(EHR[[#This Row],[Encounter_ID]],'02_Lab_Results'!B:B,'02_Lab_Results'!D:D,,0)</f>
        <v>2823-3</v>
      </c>
      <c r="W96" s="2" t="str">
        <f>_xlfn.XLOOKUP(EHR[[#This Row],[LOINC Code]],'04_LOINC_Reference'!A:A,'04_LOINC_Reference'!F:F,,0)</f>
        <v>Biochemistry</v>
      </c>
      <c r="X96" s="2" t="str">
        <f>_xlfn.XLOOKUP(EHR[[#This Row],[LOINC Code]],'02_Lab_Results'!D:D,'02_Lab_Results'!E:E,,0)</f>
        <v>Serum potassium</v>
      </c>
      <c r="Y96" s="2" t="str">
        <f>_xlfn.XLOOKUP(EHR[[#This Row],[LOINC Code]],'02_Lab_Results'!D:D,'02_Lab_Results'!J:J,,0)</f>
        <v>Normal</v>
      </c>
      <c r="Z96" s="2" t="str" cm="1">
        <f t="array" ref="Z96">_xlfn.XLOOKUP(1,(B96=B$2:B$500)*(V$2:V$500="4548-4"),Y$2:Y$500,"Not Tested")</f>
        <v>Not Tested</v>
      </c>
      <c r="AA96" s="2">
        <v>163</v>
      </c>
      <c r="AB96" s="2">
        <v>67</v>
      </c>
      <c r="AC96" s="2" t="str">
        <f>IF(AND(EHR[[#This Row],[BP_Systolic_mmHg]]&lt;140,EHR[[#This Row],[BP_Diastolic_mmHg]]&lt;90),"Controlled",IF(OR(EHR[[#This Row],[BP_Systolic_mmHg]]="Not Recorded",EHR[[#This Row],[BP_Diastolic_mmHg]]="Not Recorded"),"No Reading","Uncontrolled"))</f>
        <v>Uncontrolled</v>
      </c>
      <c r="AD96" s="2" t="str">
        <f>_xlfn.CONCAT(EHR[[#This Row],[BP_Systolic_mmHg]],"/",EHR[[#This Row],[BP_Diastolic_mmHg]])</f>
        <v>163/67</v>
      </c>
      <c r="AE96" s="2">
        <v>88</v>
      </c>
      <c r="AF96" s="2">
        <v>20</v>
      </c>
      <c r="AG96" s="2">
        <v>36.1</v>
      </c>
      <c r="AH96" s="2">
        <v>21.4</v>
      </c>
      <c r="AI96" s="2" t="str">
        <f>IF(EHR[[#This Row],[BMI_kg_m2]]&gt;=30,"Obese","Non-Obese")</f>
        <v>Non-Obese</v>
      </c>
      <c r="AJ96" s="2">
        <v>91</v>
      </c>
      <c r="AK96" s="2" t="s">
        <v>50</v>
      </c>
      <c r="AL96" s="2" t="s">
        <v>51</v>
      </c>
      <c r="AM96" s="2" t="s">
        <v>52</v>
      </c>
      <c r="AN96" s="2" t="s">
        <v>53</v>
      </c>
      <c r="AO96" s="2" t="s">
        <v>54</v>
      </c>
    </row>
    <row r="97" spans="1:41" x14ac:dyDescent="0.2">
      <c r="A97" s="7" t="s">
        <v>471</v>
      </c>
      <c r="B97" s="3" t="s">
        <v>472</v>
      </c>
      <c r="C97" s="14">
        <v>45304</v>
      </c>
      <c r="D97" s="3" t="s">
        <v>88</v>
      </c>
      <c r="E97" s="3" t="s">
        <v>96</v>
      </c>
      <c r="F97" s="3" t="s">
        <v>38</v>
      </c>
      <c r="G97" s="3" t="s">
        <v>39</v>
      </c>
      <c r="H97" s="14">
        <v>25487</v>
      </c>
      <c r="I97" s="3">
        <v>56</v>
      </c>
      <c r="J97" s="3" t="str" cm="1">
        <f t="array" ref="J9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97" s="3" t="s">
        <v>1573</v>
      </c>
      <c r="L97" s="3" t="s">
        <v>140</v>
      </c>
      <c r="M97" s="3" t="s">
        <v>141</v>
      </c>
      <c r="N97" s="3" t="s">
        <v>125</v>
      </c>
      <c r="O97" s="3" t="s">
        <v>1574</v>
      </c>
      <c r="P97" s="3" t="s">
        <v>283</v>
      </c>
      <c r="Q97" s="3" t="str">
        <f>_xlfn.XLOOKUP(EHR[[#This Row],[Primary_ICD11_Code]],'03_ICD11_Reference'!A:A,'03_ICD11_Reference'!D:D,,0)</f>
        <v>Multi-system</v>
      </c>
      <c r="R97" s="3" t="s">
        <v>284</v>
      </c>
      <c r="S97" s="3" t="s">
        <v>69</v>
      </c>
      <c r="T97" s="3" t="s">
        <v>475</v>
      </c>
      <c r="U97" s="3">
        <v>4</v>
      </c>
      <c r="V97" s="3" t="str">
        <f>_xlfn.XLOOKUP(EHR[[#This Row],[Encounter_ID]],'02_Lab_Results'!B:B,'02_Lab_Results'!D:D,,0)</f>
        <v>6768-6</v>
      </c>
      <c r="W97" s="3" t="str">
        <f>_xlfn.XLOOKUP(EHR[[#This Row],[LOINC Code]],'04_LOINC_Reference'!A:A,'04_LOINC_Reference'!F:F,,0)</f>
        <v>Biochemistry</v>
      </c>
      <c r="X97" s="3" t="str">
        <f>_xlfn.XLOOKUP(EHR[[#This Row],[LOINC Code]],'02_Lab_Results'!D:D,'02_Lab_Results'!E:E,,0)</f>
        <v>ALP</v>
      </c>
      <c r="Y97" s="3" t="str">
        <f>_xlfn.XLOOKUP(EHR[[#This Row],[LOINC Code]],'02_Lab_Results'!D:D,'02_Lab_Results'!J:J,,0)</f>
        <v>High</v>
      </c>
      <c r="Z97" s="3" t="str" cm="1">
        <f t="array" ref="Z97">_xlfn.XLOOKUP(1,(B97=B$2:B$500)*(V$2:V$500="4548-4"),Y$2:Y$500,"Not Tested")</f>
        <v>Not Tested</v>
      </c>
      <c r="AA97" s="3">
        <v>125</v>
      </c>
      <c r="AB97" s="3">
        <v>62</v>
      </c>
      <c r="AC97" s="3" t="str">
        <f>IF(AND(EHR[[#This Row],[BP_Systolic_mmHg]]&lt;140,EHR[[#This Row],[BP_Diastolic_mmHg]]&lt;90),"Controlled",IF(OR(EHR[[#This Row],[BP_Systolic_mmHg]]="Not Recorded",EHR[[#This Row],[BP_Diastolic_mmHg]]="Not Recorded"),"No Reading","Uncontrolled"))</f>
        <v>Controlled</v>
      </c>
      <c r="AD97" s="3" t="str">
        <f>_xlfn.CONCAT(EHR[[#This Row],[BP_Systolic_mmHg]],"/",EHR[[#This Row],[BP_Diastolic_mmHg]])</f>
        <v>125/62</v>
      </c>
      <c r="AE97" s="3">
        <v>81</v>
      </c>
      <c r="AF97" s="3">
        <v>17</v>
      </c>
      <c r="AG97" s="3">
        <v>38.9</v>
      </c>
      <c r="AH97" s="3">
        <v>42.4</v>
      </c>
      <c r="AI97" s="3" t="str">
        <f>IF(EHR[[#This Row],[BMI_kg_m2]]&gt;=30,"Obese","Non-Obese")</f>
        <v>Obese</v>
      </c>
      <c r="AJ97" s="3">
        <v>95</v>
      </c>
      <c r="AK97" s="3" t="s">
        <v>50</v>
      </c>
      <c r="AL97" s="3" t="s">
        <v>51</v>
      </c>
      <c r="AM97" s="3" t="s">
        <v>52</v>
      </c>
      <c r="AN97" s="3" t="s">
        <v>53</v>
      </c>
      <c r="AO97" s="3" t="s">
        <v>54</v>
      </c>
    </row>
    <row r="98" spans="1:41" x14ac:dyDescent="0.2">
      <c r="A98" s="6" t="s">
        <v>471</v>
      </c>
      <c r="B98" s="2" t="s">
        <v>476</v>
      </c>
      <c r="C98" s="13">
        <v>45624</v>
      </c>
      <c r="D98" s="2" t="s">
        <v>88</v>
      </c>
      <c r="E98" s="2" t="s">
        <v>96</v>
      </c>
      <c r="F98" s="2" t="s">
        <v>75</v>
      </c>
      <c r="G98" s="2" t="s">
        <v>115</v>
      </c>
      <c r="H98" s="13">
        <v>25487</v>
      </c>
      <c r="I98" s="2">
        <v>56</v>
      </c>
      <c r="J98" s="2" t="str" cm="1">
        <f t="array" ref="J9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98" s="2" t="s">
        <v>1573</v>
      </c>
      <c r="L98" s="2" t="s">
        <v>90</v>
      </c>
      <c r="M98" s="2" t="s">
        <v>141</v>
      </c>
      <c r="N98" s="2" t="s">
        <v>125</v>
      </c>
      <c r="O98" s="2" t="s">
        <v>1574</v>
      </c>
      <c r="P98" s="2" t="s">
        <v>283</v>
      </c>
      <c r="Q98" s="2" t="str">
        <f>_xlfn.XLOOKUP(EHR[[#This Row],[Primary_ICD11_Code]],'03_ICD11_Reference'!A:A,'03_ICD11_Reference'!D:D,,0)</f>
        <v>Multi-system</v>
      </c>
      <c r="R98" s="2" t="s">
        <v>284</v>
      </c>
      <c r="S98" s="2" t="s">
        <v>69</v>
      </c>
      <c r="T98" s="2" t="s">
        <v>478</v>
      </c>
      <c r="U98" s="2">
        <v>2</v>
      </c>
      <c r="V98" s="2" t="str">
        <f>_xlfn.XLOOKUP(EHR[[#This Row],[Encounter_ID]],'02_Lab_Results'!B:B,'02_Lab_Results'!D:D,,0)</f>
        <v>2085-9</v>
      </c>
      <c r="W98" s="2" t="str">
        <f>_xlfn.XLOOKUP(EHR[[#This Row],[LOINC Code]],'04_LOINC_Reference'!A:A,'04_LOINC_Reference'!F:F,,0)</f>
        <v>Biochemistry</v>
      </c>
      <c r="X98" s="2" t="str">
        <f>_xlfn.XLOOKUP(EHR[[#This Row],[LOINC Code]],'02_Lab_Results'!D:D,'02_Lab_Results'!E:E,,0)</f>
        <v>HDL cholesterol</v>
      </c>
      <c r="Y98" s="2" t="str">
        <f>_xlfn.XLOOKUP(EHR[[#This Row],[LOINC Code]],'02_Lab_Results'!D:D,'02_Lab_Results'!J:J,,0)</f>
        <v>Normal</v>
      </c>
      <c r="Z98" s="2" t="str" cm="1">
        <f t="array" ref="Z98">_xlfn.XLOOKUP(1,(B98=B$2:B$500)*(V$2:V$500="4548-4"),Y$2:Y$500,"Not Tested")</f>
        <v>Not Tested</v>
      </c>
      <c r="AA98" s="2">
        <v>117</v>
      </c>
      <c r="AB98" s="2">
        <v>89</v>
      </c>
      <c r="AC98" s="2" t="str">
        <f>IF(AND(EHR[[#This Row],[BP_Systolic_mmHg]]&lt;140,EHR[[#This Row],[BP_Diastolic_mmHg]]&lt;90),"Controlled",IF(OR(EHR[[#This Row],[BP_Systolic_mmHg]]="Not Recorded",EHR[[#This Row],[BP_Diastolic_mmHg]]="Not Recorded"),"No Reading","Uncontrolled"))</f>
        <v>Controlled</v>
      </c>
      <c r="AD98" s="2" t="str">
        <f>_xlfn.CONCAT(EHR[[#This Row],[BP_Systolic_mmHg]],"/",EHR[[#This Row],[BP_Diastolic_mmHg]])</f>
        <v>117/89</v>
      </c>
      <c r="AE98" s="2">
        <v>103</v>
      </c>
      <c r="AF98" s="2">
        <v>15</v>
      </c>
      <c r="AG98" s="2">
        <v>37.4</v>
      </c>
      <c r="AH98" s="2">
        <v>29.4</v>
      </c>
      <c r="AI98" s="2" t="str">
        <f>IF(EHR[[#This Row],[BMI_kg_m2]]&gt;=30,"Obese","Non-Obese")</f>
        <v>Non-Obese</v>
      </c>
      <c r="AJ98" s="2">
        <v>92</v>
      </c>
      <c r="AK98" s="2" t="s">
        <v>50</v>
      </c>
      <c r="AL98" s="2" t="s">
        <v>51</v>
      </c>
      <c r="AM98" s="2" t="s">
        <v>52</v>
      </c>
      <c r="AN98" s="2" t="s">
        <v>53</v>
      </c>
      <c r="AO98" s="2" t="s">
        <v>54</v>
      </c>
    </row>
    <row r="99" spans="1:41" x14ac:dyDescent="0.2">
      <c r="A99" s="7" t="s">
        <v>471</v>
      </c>
      <c r="B99" s="3" t="s">
        <v>479</v>
      </c>
      <c r="C99" s="14">
        <v>45139</v>
      </c>
      <c r="D99" s="3" t="s">
        <v>103</v>
      </c>
      <c r="E99" s="3" t="s">
        <v>167</v>
      </c>
      <c r="F99" s="3" t="s">
        <v>148</v>
      </c>
      <c r="G99" s="3" t="s">
        <v>104</v>
      </c>
      <c r="H99" s="14">
        <v>25487</v>
      </c>
      <c r="I99" s="3">
        <v>56</v>
      </c>
      <c r="J99" s="3" t="str" cm="1">
        <f t="array" ref="J9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99" s="3" t="s">
        <v>1573</v>
      </c>
      <c r="L99" s="3" t="s">
        <v>140</v>
      </c>
      <c r="M99" s="3" t="s">
        <v>141</v>
      </c>
      <c r="N99" s="3" t="s">
        <v>125</v>
      </c>
      <c r="O99" s="3" t="s">
        <v>1574</v>
      </c>
      <c r="P99" s="3" t="s">
        <v>283</v>
      </c>
      <c r="Q99" s="3" t="str">
        <f>_xlfn.XLOOKUP(EHR[[#This Row],[Primary_ICD11_Code]],'03_ICD11_Reference'!A:A,'03_ICD11_Reference'!D:D,,0)</f>
        <v>Multi-system</v>
      </c>
      <c r="R99" s="3" t="s">
        <v>284</v>
      </c>
      <c r="S99" s="3" t="s">
        <v>69</v>
      </c>
      <c r="T99" s="3" t="s">
        <v>481</v>
      </c>
      <c r="U99" s="3">
        <v>3</v>
      </c>
      <c r="V99" s="3" t="str">
        <f>_xlfn.XLOOKUP(EHR[[#This Row],[Encounter_ID]],'02_Lab_Results'!B:B,'02_Lab_Results'!D:D,,0)</f>
        <v>6768-6</v>
      </c>
      <c r="W99" s="3" t="str">
        <f>_xlfn.XLOOKUP(EHR[[#This Row],[LOINC Code]],'04_LOINC_Reference'!A:A,'04_LOINC_Reference'!F:F,,0)</f>
        <v>Biochemistry</v>
      </c>
      <c r="X99" s="3" t="str">
        <f>_xlfn.XLOOKUP(EHR[[#This Row],[LOINC Code]],'02_Lab_Results'!D:D,'02_Lab_Results'!E:E,,0)</f>
        <v>ALP</v>
      </c>
      <c r="Y99" s="3" t="str">
        <f>_xlfn.XLOOKUP(EHR[[#This Row],[LOINC Code]],'02_Lab_Results'!D:D,'02_Lab_Results'!J:J,,0)</f>
        <v>High</v>
      </c>
      <c r="Z99" s="3" t="str" cm="1">
        <f t="array" ref="Z99">_xlfn.XLOOKUP(1,(B99=B$2:B$500)*(V$2:V$500="4548-4"),Y$2:Y$500,"Not Tested")</f>
        <v>Not Tested</v>
      </c>
      <c r="AA99" s="3">
        <v>145</v>
      </c>
      <c r="AB99" s="3">
        <v>115</v>
      </c>
      <c r="AC99" s="3" t="str">
        <f>IF(AND(EHR[[#This Row],[BP_Systolic_mmHg]]&lt;140,EHR[[#This Row],[BP_Diastolic_mmHg]]&lt;90),"Controlled",IF(OR(EHR[[#This Row],[BP_Systolic_mmHg]]="Not Recorded",EHR[[#This Row],[BP_Diastolic_mmHg]]="Not Recorded"),"No Reading","Uncontrolled"))</f>
        <v>Uncontrolled</v>
      </c>
      <c r="AD99" s="3" t="str">
        <f>_xlfn.CONCAT(EHR[[#This Row],[BP_Systolic_mmHg]],"/",EHR[[#This Row],[BP_Diastolic_mmHg]])</f>
        <v>145/115</v>
      </c>
      <c r="AE99" s="3">
        <v>86</v>
      </c>
      <c r="AF99" s="3">
        <v>18</v>
      </c>
      <c r="AG99" s="3">
        <v>39.1</v>
      </c>
      <c r="AH99" s="3">
        <v>30.6</v>
      </c>
      <c r="AI99" s="3" t="str">
        <f>IF(EHR[[#This Row],[BMI_kg_m2]]&gt;=30,"Obese","Non-Obese")</f>
        <v>Obese</v>
      </c>
      <c r="AJ99" s="3">
        <v>94</v>
      </c>
      <c r="AK99" s="3" t="s">
        <v>50</v>
      </c>
      <c r="AL99" s="3" t="s">
        <v>51</v>
      </c>
      <c r="AM99" s="3" t="s">
        <v>52</v>
      </c>
      <c r="AN99" s="3" t="s">
        <v>53</v>
      </c>
      <c r="AO99" s="3" t="s">
        <v>54</v>
      </c>
    </row>
    <row r="100" spans="1:41" x14ac:dyDescent="0.2">
      <c r="A100" s="6" t="s">
        <v>471</v>
      </c>
      <c r="B100" s="2" t="s">
        <v>482</v>
      </c>
      <c r="C100" s="13">
        <v>45231</v>
      </c>
      <c r="D100" s="2" t="s">
        <v>95</v>
      </c>
      <c r="E100" s="2" t="s">
        <v>96</v>
      </c>
      <c r="F100" s="2" t="s">
        <v>109</v>
      </c>
      <c r="G100" s="2" t="s">
        <v>115</v>
      </c>
      <c r="H100" s="13">
        <v>25487</v>
      </c>
      <c r="I100" s="2">
        <v>56</v>
      </c>
      <c r="J100" s="2" t="str" cm="1">
        <f t="array" ref="J10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00" s="2" t="s">
        <v>1573</v>
      </c>
      <c r="L100" s="2" t="s">
        <v>42</v>
      </c>
      <c r="M100" s="2" t="s">
        <v>141</v>
      </c>
      <c r="N100" s="2" t="s">
        <v>125</v>
      </c>
      <c r="O100" s="2" t="s">
        <v>1574</v>
      </c>
      <c r="P100" s="2" t="s">
        <v>283</v>
      </c>
      <c r="Q100" s="2" t="str">
        <f>_xlfn.XLOOKUP(EHR[[#This Row],[Primary_ICD11_Code]],'03_ICD11_Reference'!A:A,'03_ICD11_Reference'!D:D,,0)</f>
        <v>Multi-system</v>
      </c>
      <c r="R100" s="2" t="s">
        <v>284</v>
      </c>
      <c r="S100" s="2" t="s">
        <v>69</v>
      </c>
      <c r="T100" s="2" t="s">
        <v>484</v>
      </c>
      <c r="U100" s="2">
        <v>3</v>
      </c>
      <c r="V100" s="2" t="str">
        <f>_xlfn.XLOOKUP(EHR[[#This Row],[Encounter_ID]],'02_Lab_Results'!B:B,'02_Lab_Results'!D:D,,0)</f>
        <v>2345-7</v>
      </c>
      <c r="W100" s="2" t="str">
        <f>_xlfn.XLOOKUP(EHR[[#This Row],[LOINC Code]],'04_LOINC_Reference'!A:A,'04_LOINC_Reference'!F:F,,0)</f>
        <v>Biochemistry</v>
      </c>
      <c r="X100" s="2" t="str">
        <f>_xlfn.XLOOKUP(EHR[[#This Row],[LOINC Code]],'02_Lab_Results'!D:D,'02_Lab_Results'!E:E,,0)</f>
        <v>Serum glucose (fasting)</v>
      </c>
      <c r="Y100" s="2" t="str">
        <f>_xlfn.XLOOKUP(EHR[[#This Row],[LOINC Code]],'02_Lab_Results'!D:D,'02_Lab_Results'!J:J,,0)</f>
        <v>Normal</v>
      </c>
      <c r="Z100" s="2" t="str" cm="1">
        <f t="array" ref="Z100">_xlfn.XLOOKUP(1,(B100=B$2:B$500)*(V$2:V$500="4548-4"),Y$2:Y$500,"Not Tested")</f>
        <v>Not Tested</v>
      </c>
      <c r="AA100" s="2">
        <v>164</v>
      </c>
      <c r="AB100" s="2">
        <v>97</v>
      </c>
      <c r="AC100" s="2" t="str">
        <f>IF(AND(EHR[[#This Row],[BP_Systolic_mmHg]]&lt;140,EHR[[#This Row],[BP_Diastolic_mmHg]]&lt;90),"Controlled",IF(OR(EHR[[#This Row],[BP_Systolic_mmHg]]="Not Recorded",EHR[[#This Row],[BP_Diastolic_mmHg]]="Not Recorded"),"No Reading","Uncontrolled"))</f>
        <v>Uncontrolled</v>
      </c>
      <c r="AD100" s="2" t="str">
        <f>_xlfn.CONCAT(EHR[[#This Row],[BP_Systolic_mmHg]],"/",EHR[[#This Row],[BP_Diastolic_mmHg]])</f>
        <v>164/97</v>
      </c>
      <c r="AE100" s="2">
        <v>102</v>
      </c>
      <c r="AF100" s="2">
        <v>20</v>
      </c>
      <c r="AG100" s="2">
        <v>37.5</v>
      </c>
      <c r="AH100" s="2">
        <v>33.5</v>
      </c>
      <c r="AI100" s="2" t="str">
        <f>IF(EHR[[#This Row],[BMI_kg_m2]]&gt;=30,"Obese","Non-Obese")</f>
        <v>Obese</v>
      </c>
      <c r="AJ100" s="2">
        <v>99</v>
      </c>
      <c r="AK100" s="2" t="s">
        <v>50</v>
      </c>
      <c r="AL100" s="2" t="s">
        <v>51</v>
      </c>
      <c r="AM100" s="2" t="s">
        <v>52</v>
      </c>
      <c r="AN100" s="2" t="s">
        <v>53</v>
      </c>
      <c r="AO100" s="2" t="s">
        <v>54</v>
      </c>
    </row>
    <row r="101" spans="1:41" x14ac:dyDescent="0.2">
      <c r="A101" s="7" t="s">
        <v>471</v>
      </c>
      <c r="B101" s="3" t="s">
        <v>485</v>
      </c>
      <c r="C101" s="14">
        <v>44970</v>
      </c>
      <c r="D101" s="3" t="s">
        <v>60</v>
      </c>
      <c r="E101" s="3" t="s">
        <v>89</v>
      </c>
      <c r="F101" s="3" t="s">
        <v>97</v>
      </c>
      <c r="G101" s="3" t="s">
        <v>138</v>
      </c>
      <c r="H101" s="14">
        <v>25487</v>
      </c>
      <c r="I101" s="3">
        <v>56</v>
      </c>
      <c r="J101" s="3" t="str" cm="1">
        <f t="array" ref="J10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01" s="3" t="s">
        <v>1573</v>
      </c>
      <c r="L101" s="3" t="s">
        <v>140</v>
      </c>
      <c r="M101" s="3" t="s">
        <v>141</v>
      </c>
      <c r="N101" s="3" t="s">
        <v>125</v>
      </c>
      <c r="O101" s="3" t="s">
        <v>1574</v>
      </c>
      <c r="P101" s="3" t="s">
        <v>283</v>
      </c>
      <c r="Q101" s="3" t="str">
        <f>_xlfn.XLOOKUP(EHR[[#This Row],[Primary_ICD11_Code]],'03_ICD11_Reference'!A:A,'03_ICD11_Reference'!D:D,,0)</f>
        <v>Multi-system</v>
      </c>
      <c r="R101" s="3" t="s">
        <v>284</v>
      </c>
      <c r="S101" s="3" t="s">
        <v>69</v>
      </c>
      <c r="T101" s="3" t="s">
        <v>487</v>
      </c>
      <c r="U101" s="3">
        <v>3</v>
      </c>
      <c r="V101" s="3" t="str">
        <f>_xlfn.XLOOKUP(EHR[[#This Row],[Encounter_ID]],'02_Lab_Results'!B:B,'02_Lab_Results'!D:D,,0)</f>
        <v>4548-4</v>
      </c>
      <c r="W101" s="3" t="str">
        <f>_xlfn.XLOOKUP(EHR[[#This Row],[LOINC Code]],'04_LOINC_Reference'!A:A,'04_LOINC_Reference'!F:F,,0)</f>
        <v>Biochemistry</v>
      </c>
      <c r="X101" s="3" t="str">
        <f>_xlfn.XLOOKUP(EHR[[#This Row],[LOINC Code]],'02_Lab_Results'!D:D,'02_Lab_Results'!E:E,,0)</f>
        <v>HbA1c</v>
      </c>
      <c r="Y101" s="3" t="str">
        <f>_xlfn.XLOOKUP(EHR[[#This Row],[LOINC Code]],'02_Lab_Results'!D:D,'02_Lab_Results'!J:J,,0)</f>
        <v>High</v>
      </c>
      <c r="Z101" s="3" t="str" cm="1">
        <f t="array" ref="Z101">_xlfn.XLOOKUP(1,(B101=B$2:B$500)*(V$2:V$500="4548-4"),Y$2:Y$500,"Not Tested")</f>
        <v>High</v>
      </c>
      <c r="AA101" s="3">
        <v>121</v>
      </c>
      <c r="AB101" s="3">
        <v>98</v>
      </c>
      <c r="AC101" s="3" t="str">
        <f>IF(AND(EHR[[#This Row],[BP_Systolic_mmHg]]&lt;140,EHR[[#This Row],[BP_Diastolic_mmHg]]&lt;90),"Controlled",IF(OR(EHR[[#This Row],[BP_Systolic_mmHg]]="Not Recorded",EHR[[#This Row],[BP_Diastolic_mmHg]]="Not Recorded"),"No Reading","Uncontrolled"))</f>
        <v>Uncontrolled</v>
      </c>
      <c r="AD101" s="3" t="str">
        <f>_xlfn.CONCAT(EHR[[#This Row],[BP_Systolic_mmHg]],"/",EHR[[#This Row],[BP_Diastolic_mmHg]])</f>
        <v>121/98</v>
      </c>
      <c r="AE101" s="3">
        <v>76</v>
      </c>
      <c r="AF101" s="3">
        <v>19</v>
      </c>
      <c r="AG101" s="3">
        <v>36.799999999999997</v>
      </c>
      <c r="AH101" s="3">
        <v>31.2</v>
      </c>
      <c r="AI101" s="3" t="str">
        <f>IF(EHR[[#This Row],[BMI_kg_m2]]&gt;=30,"Obese","Non-Obese")</f>
        <v>Obese</v>
      </c>
      <c r="AJ101" s="3">
        <v>90</v>
      </c>
      <c r="AK101" s="3" t="s">
        <v>50</v>
      </c>
      <c r="AL101" s="3" t="s">
        <v>51</v>
      </c>
      <c r="AM101" s="3" t="s">
        <v>52</v>
      </c>
      <c r="AN101" s="3" t="s">
        <v>53</v>
      </c>
      <c r="AO101" s="3" t="s">
        <v>54</v>
      </c>
    </row>
    <row r="102" spans="1:41" x14ac:dyDescent="0.2">
      <c r="A102" s="6" t="s">
        <v>488</v>
      </c>
      <c r="B102" s="2" t="s">
        <v>489</v>
      </c>
      <c r="C102" s="13">
        <v>45029</v>
      </c>
      <c r="D102" s="2" t="s">
        <v>36</v>
      </c>
      <c r="E102" s="2" t="s">
        <v>37</v>
      </c>
      <c r="F102" s="2" t="s">
        <v>122</v>
      </c>
      <c r="G102" s="2" t="s">
        <v>138</v>
      </c>
      <c r="H102" s="13">
        <v>14722</v>
      </c>
      <c r="I102" s="2">
        <v>85</v>
      </c>
      <c r="J102" s="2" t="str" cm="1">
        <f t="array" ref="J10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02" s="2" t="s">
        <v>1572</v>
      </c>
      <c r="L102" s="2" t="s">
        <v>90</v>
      </c>
      <c r="M102" s="2" t="s">
        <v>45</v>
      </c>
      <c r="N102" s="2" t="s">
        <v>1574</v>
      </c>
      <c r="O102" s="2" t="s">
        <v>81</v>
      </c>
      <c r="P102" s="2" t="s">
        <v>46</v>
      </c>
      <c r="Q102" s="2" t="str">
        <f>_xlfn.XLOOKUP(EHR[[#This Row],[Primary_ICD11_Code]],'03_ICD11_Reference'!A:A,'03_ICD11_Reference'!D:D,,0)</f>
        <v>Haematological</v>
      </c>
      <c r="R102" s="2" t="s">
        <v>47</v>
      </c>
      <c r="S102" s="2" t="s">
        <v>48</v>
      </c>
      <c r="T102" s="2" t="s">
        <v>492</v>
      </c>
      <c r="U102" s="2">
        <v>4</v>
      </c>
      <c r="V102" s="2" t="str">
        <f>_xlfn.XLOOKUP(EHR[[#This Row],[Encounter_ID]],'02_Lab_Results'!B:B,'02_Lab_Results'!D:D,,0)</f>
        <v>2777-1</v>
      </c>
      <c r="W102" s="2" t="str">
        <f>_xlfn.XLOOKUP(EHR[[#This Row],[LOINC Code]],'04_LOINC_Reference'!A:A,'04_LOINC_Reference'!F:F,,0)</f>
        <v>Biochemistry</v>
      </c>
      <c r="X102" s="2" t="str">
        <f>_xlfn.XLOOKUP(EHR[[#This Row],[LOINC Code]],'02_Lab_Results'!D:D,'02_Lab_Results'!E:E,,0)</f>
        <v>Serum phosphate</v>
      </c>
      <c r="Y102" s="2" t="str">
        <f>_xlfn.XLOOKUP(EHR[[#This Row],[LOINC Code]],'02_Lab_Results'!D:D,'02_Lab_Results'!J:J,,0)</f>
        <v>Normal</v>
      </c>
      <c r="Z102" s="2" t="str" cm="1">
        <f t="array" ref="Z102">_xlfn.XLOOKUP(1,(B102=B$2:B$500)*(V$2:V$500="4548-4"),Y$2:Y$500,"Not Tested")</f>
        <v>Not Tested</v>
      </c>
      <c r="AA102" s="2">
        <v>156</v>
      </c>
      <c r="AB102" s="2">
        <v>63</v>
      </c>
      <c r="AC102" s="2" t="str">
        <f>IF(AND(EHR[[#This Row],[BP_Systolic_mmHg]]&lt;140,EHR[[#This Row],[BP_Diastolic_mmHg]]&lt;90),"Controlled",IF(OR(EHR[[#This Row],[BP_Systolic_mmHg]]="Not Recorded",EHR[[#This Row],[BP_Diastolic_mmHg]]="Not Recorded"),"No Reading","Uncontrolled"))</f>
        <v>Uncontrolled</v>
      </c>
      <c r="AD102" s="2" t="str">
        <f>_xlfn.CONCAT(EHR[[#This Row],[BP_Systolic_mmHg]],"/",EHR[[#This Row],[BP_Diastolic_mmHg]])</f>
        <v>156/63</v>
      </c>
      <c r="AE102" s="2">
        <v>122</v>
      </c>
      <c r="AF102" s="2">
        <v>28</v>
      </c>
      <c r="AG102" s="2">
        <v>36.5</v>
      </c>
      <c r="AH102" s="2">
        <v>36.1</v>
      </c>
      <c r="AI102" s="2" t="str">
        <f>IF(EHR[[#This Row],[BMI_kg_m2]]&gt;=30,"Obese","Non-Obese")</f>
        <v>Obese</v>
      </c>
      <c r="AJ102" s="2">
        <v>98</v>
      </c>
      <c r="AK102" s="2" t="s">
        <v>50</v>
      </c>
      <c r="AL102" s="2" t="s">
        <v>51</v>
      </c>
      <c r="AM102" s="2" t="s">
        <v>52</v>
      </c>
      <c r="AN102" s="2" t="s">
        <v>53</v>
      </c>
      <c r="AO102" s="2" t="s">
        <v>54</v>
      </c>
    </row>
    <row r="103" spans="1:41" x14ac:dyDescent="0.2">
      <c r="A103" s="7" t="s">
        <v>493</v>
      </c>
      <c r="B103" s="3" t="s">
        <v>494</v>
      </c>
      <c r="C103" s="14">
        <v>45223</v>
      </c>
      <c r="D103" s="3" t="s">
        <v>103</v>
      </c>
      <c r="E103" s="3" t="s">
        <v>37</v>
      </c>
      <c r="F103" s="3" t="s">
        <v>109</v>
      </c>
      <c r="G103" s="3" t="s">
        <v>115</v>
      </c>
      <c r="H103" s="14">
        <v>31255</v>
      </c>
      <c r="I103" s="3">
        <v>40</v>
      </c>
      <c r="J103" s="3" t="str" cm="1">
        <f t="array" ref="J10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03" s="3" t="s">
        <v>1572</v>
      </c>
      <c r="L103" s="3" t="s">
        <v>116</v>
      </c>
      <c r="M103" s="3" t="s">
        <v>141</v>
      </c>
      <c r="N103" s="3" t="s">
        <v>1574</v>
      </c>
      <c r="O103" s="3" t="s">
        <v>182</v>
      </c>
      <c r="P103" s="3" t="s">
        <v>497</v>
      </c>
      <c r="Q103" s="3" t="str">
        <f>_xlfn.XLOOKUP(EHR[[#This Row],[Primary_ICD11_Code]],'03_ICD11_Reference'!A:A,'03_ICD11_Reference'!D:D,,0)</f>
        <v>Endocrine</v>
      </c>
      <c r="R103" s="3" t="s">
        <v>498</v>
      </c>
      <c r="S103" s="3" t="s">
        <v>69</v>
      </c>
      <c r="T103" s="3" t="s">
        <v>499</v>
      </c>
      <c r="U103" s="3">
        <v>4</v>
      </c>
      <c r="V103" s="3" t="str">
        <f>_xlfn.XLOOKUP(EHR[[#This Row],[Encounter_ID]],'02_Lab_Results'!B:B,'02_Lab_Results'!D:D,,0)</f>
        <v>789-8</v>
      </c>
      <c r="W103" s="3" t="str">
        <f>_xlfn.XLOOKUP(EHR[[#This Row],[LOINC Code]],'04_LOINC_Reference'!A:A,'04_LOINC_Reference'!F:F,,0)</f>
        <v>Biochemistry</v>
      </c>
      <c r="X103" s="3" t="str">
        <f>_xlfn.XLOOKUP(EHR[[#This Row],[LOINC Code]],'02_Lab_Results'!D:D,'02_Lab_Results'!E:E,,0)</f>
        <v>RBC count</v>
      </c>
      <c r="Y103" s="3" t="str">
        <f>_xlfn.XLOOKUP(EHR[[#This Row],[LOINC Code]],'02_Lab_Results'!D:D,'02_Lab_Results'!J:J,,0)</f>
        <v>High</v>
      </c>
      <c r="Z103" s="3" t="str" cm="1">
        <f t="array" ref="Z103">_xlfn.XLOOKUP(1,(B103=B$2:B$500)*(V$2:V$500="4548-4"),Y$2:Y$500,"Not Tested")</f>
        <v>Not Tested</v>
      </c>
      <c r="AA103" s="3">
        <v>174</v>
      </c>
      <c r="AB103" s="3">
        <v>56</v>
      </c>
      <c r="AC103" s="3" t="str">
        <f>IF(AND(EHR[[#This Row],[BP_Systolic_mmHg]]&lt;140,EHR[[#This Row],[BP_Diastolic_mmHg]]&lt;90),"Controlled",IF(OR(EHR[[#This Row],[BP_Systolic_mmHg]]="Not Recorded",EHR[[#This Row],[BP_Diastolic_mmHg]]="Not Recorded"),"No Reading","Uncontrolled"))</f>
        <v>Uncontrolled</v>
      </c>
      <c r="AD103" s="3" t="str">
        <f>_xlfn.CONCAT(EHR[[#This Row],[BP_Systolic_mmHg]],"/",EHR[[#This Row],[BP_Diastolic_mmHg]])</f>
        <v>174/56</v>
      </c>
      <c r="AE103" s="3">
        <v>93</v>
      </c>
      <c r="AF103" s="3">
        <v>14</v>
      </c>
      <c r="AG103" s="3">
        <v>39.1</v>
      </c>
      <c r="AH103" s="3">
        <v>25.6</v>
      </c>
      <c r="AI103" s="3" t="str">
        <f>IF(EHR[[#This Row],[BMI_kg_m2]]&gt;=30,"Obese","Non-Obese")</f>
        <v>Non-Obese</v>
      </c>
      <c r="AJ103" s="3">
        <v>100</v>
      </c>
      <c r="AK103" s="3" t="s">
        <v>50</v>
      </c>
      <c r="AL103" s="3" t="s">
        <v>51</v>
      </c>
      <c r="AM103" s="3" t="s">
        <v>52</v>
      </c>
      <c r="AN103" s="3" t="s">
        <v>53</v>
      </c>
      <c r="AO103" s="3" t="s">
        <v>54</v>
      </c>
    </row>
    <row r="104" spans="1:41" x14ac:dyDescent="0.2">
      <c r="A104" s="6" t="s">
        <v>500</v>
      </c>
      <c r="B104" s="2" t="s">
        <v>501</v>
      </c>
      <c r="C104" s="13">
        <v>45581</v>
      </c>
      <c r="D104" s="2" t="s">
        <v>95</v>
      </c>
      <c r="E104" s="2" t="s">
        <v>61</v>
      </c>
      <c r="F104" s="2" t="s">
        <v>219</v>
      </c>
      <c r="G104" s="2" t="s">
        <v>104</v>
      </c>
      <c r="H104" s="13">
        <v>27734</v>
      </c>
      <c r="I104" s="2">
        <v>50</v>
      </c>
      <c r="J104" s="2" t="str" cm="1">
        <f t="array" ref="J10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04" s="2" t="s">
        <v>1573</v>
      </c>
      <c r="L104" s="2" t="s">
        <v>42</v>
      </c>
      <c r="M104" s="2" t="s">
        <v>79</v>
      </c>
      <c r="N104" s="2" t="s">
        <v>125</v>
      </c>
      <c r="O104" s="2" t="s">
        <v>182</v>
      </c>
      <c r="P104" s="2" t="s">
        <v>504</v>
      </c>
      <c r="Q104" s="2" t="str">
        <f>_xlfn.XLOOKUP(EHR[[#This Row],[Primary_ICD11_Code]],'03_ICD11_Reference'!A:A,'03_ICD11_Reference'!D:D,,0)</f>
        <v>Cardiovascular</v>
      </c>
      <c r="R104" s="2" t="s">
        <v>505</v>
      </c>
      <c r="S104" s="2" t="s">
        <v>69</v>
      </c>
      <c r="T104" s="2" t="s">
        <v>506</v>
      </c>
      <c r="U104" s="2">
        <v>3</v>
      </c>
      <c r="V104" s="2" t="str">
        <f>_xlfn.XLOOKUP(EHR[[#This Row],[Encounter_ID]],'02_Lab_Results'!B:B,'02_Lab_Results'!D:D,,0)</f>
        <v>2160-0</v>
      </c>
      <c r="W104" s="2" t="str">
        <f>_xlfn.XLOOKUP(EHR[[#This Row],[LOINC Code]],'04_LOINC_Reference'!A:A,'04_LOINC_Reference'!F:F,,0)</f>
        <v>Biochemistry</v>
      </c>
      <c r="X104" s="2" t="str">
        <f>_xlfn.XLOOKUP(EHR[[#This Row],[LOINC Code]],'02_Lab_Results'!D:D,'02_Lab_Results'!E:E,,0)</f>
        <v>Serum creatinine</v>
      </c>
      <c r="Y104" s="2" t="str">
        <f>_xlfn.XLOOKUP(EHR[[#This Row],[LOINC Code]],'02_Lab_Results'!D:D,'02_Lab_Results'!J:J,,0)</f>
        <v>Normal</v>
      </c>
      <c r="Z104" s="2" t="str" cm="1">
        <f t="array" ref="Z104">_xlfn.XLOOKUP(1,(B104=B$2:B$500)*(V$2:V$500="4548-4"),Y$2:Y$500,"Not Tested")</f>
        <v>Not Tested</v>
      </c>
      <c r="AA104" s="2">
        <v>176</v>
      </c>
      <c r="AB104" s="2">
        <v>105</v>
      </c>
      <c r="AC104" s="2" t="str">
        <f>IF(AND(EHR[[#This Row],[BP_Systolic_mmHg]]&lt;140,EHR[[#This Row],[BP_Diastolic_mmHg]]&lt;90),"Controlled",IF(OR(EHR[[#This Row],[BP_Systolic_mmHg]]="Not Recorded",EHR[[#This Row],[BP_Diastolic_mmHg]]="Not Recorded"),"No Reading","Uncontrolled"))</f>
        <v>Uncontrolled</v>
      </c>
      <c r="AD104" s="2" t="str">
        <f>_xlfn.CONCAT(EHR[[#This Row],[BP_Systolic_mmHg]],"/",EHR[[#This Row],[BP_Diastolic_mmHg]])</f>
        <v>176/105</v>
      </c>
      <c r="AE104" s="2">
        <v>89</v>
      </c>
      <c r="AF104" s="2">
        <v>13</v>
      </c>
      <c r="AG104" s="2">
        <v>38.1</v>
      </c>
      <c r="AH104" s="2">
        <v>22.8</v>
      </c>
      <c r="AI104" s="2" t="str">
        <f>IF(EHR[[#This Row],[BMI_kg_m2]]&gt;=30,"Obese","Non-Obese")</f>
        <v>Non-Obese</v>
      </c>
      <c r="AJ104" s="2">
        <v>89</v>
      </c>
      <c r="AK104" s="2" t="s">
        <v>50</v>
      </c>
      <c r="AL104" s="2" t="s">
        <v>51</v>
      </c>
      <c r="AM104" s="2" t="s">
        <v>52</v>
      </c>
      <c r="AN104" s="2" t="s">
        <v>53</v>
      </c>
      <c r="AO104" s="2" t="s">
        <v>54</v>
      </c>
    </row>
    <row r="105" spans="1:41" x14ac:dyDescent="0.2">
      <c r="A105" s="7" t="s">
        <v>500</v>
      </c>
      <c r="B105" s="3" t="s">
        <v>507</v>
      </c>
      <c r="C105" s="14">
        <v>45236</v>
      </c>
      <c r="D105" s="3" t="s">
        <v>36</v>
      </c>
      <c r="E105" s="3" t="s">
        <v>37</v>
      </c>
      <c r="F105" s="3" t="s">
        <v>62</v>
      </c>
      <c r="G105" s="3" t="s">
        <v>76</v>
      </c>
      <c r="H105" s="14">
        <v>27734</v>
      </c>
      <c r="I105" s="3">
        <v>50</v>
      </c>
      <c r="J105" s="3" t="str" cm="1">
        <f t="array" ref="J10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05" s="3" t="s">
        <v>1573</v>
      </c>
      <c r="L105" s="3" t="s">
        <v>90</v>
      </c>
      <c r="M105" s="3" t="s">
        <v>79</v>
      </c>
      <c r="N105" s="3" t="s">
        <v>125</v>
      </c>
      <c r="O105" s="3" t="s">
        <v>182</v>
      </c>
      <c r="P105" s="3" t="s">
        <v>504</v>
      </c>
      <c r="Q105" s="3" t="str">
        <f>_xlfn.XLOOKUP(EHR[[#This Row],[Primary_ICD11_Code]],'03_ICD11_Reference'!A:A,'03_ICD11_Reference'!D:D,,0)</f>
        <v>Cardiovascular</v>
      </c>
      <c r="R105" s="3" t="s">
        <v>505</v>
      </c>
      <c r="S105" s="3" t="s">
        <v>69</v>
      </c>
      <c r="T105" s="3" t="s">
        <v>509</v>
      </c>
      <c r="U105" s="3">
        <v>2</v>
      </c>
      <c r="V105" s="3" t="str">
        <f>_xlfn.XLOOKUP(EHR[[#This Row],[Encounter_ID]],'02_Lab_Results'!B:B,'02_Lab_Results'!D:D,,0)</f>
        <v>2093-3</v>
      </c>
      <c r="W105" s="3" t="str">
        <f>_xlfn.XLOOKUP(EHR[[#This Row],[LOINC Code]],'04_LOINC_Reference'!A:A,'04_LOINC_Reference'!F:F,,0)</f>
        <v>Biochemistry</v>
      </c>
      <c r="X105" s="3" t="str">
        <f>_xlfn.XLOOKUP(EHR[[#This Row],[LOINC Code]],'02_Lab_Results'!D:D,'02_Lab_Results'!E:E,,0)</f>
        <v>Total cholesterol</v>
      </c>
      <c r="Y105" s="3" t="str">
        <f>_xlfn.XLOOKUP(EHR[[#This Row],[LOINC Code]],'02_Lab_Results'!D:D,'02_Lab_Results'!J:J,,0)</f>
        <v>Normal</v>
      </c>
      <c r="Z105" s="3" t="str" cm="1">
        <f t="array" ref="Z105">_xlfn.XLOOKUP(1,(B105=B$2:B$500)*(V$2:V$500="4548-4"),Y$2:Y$500,"Not Tested")</f>
        <v>Not Tested</v>
      </c>
      <c r="AA105" s="3">
        <v>147</v>
      </c>
      <c r="AB105" s="3">
        <v>89</v>
      </c>
      <c r="AC105" s="3" t="str">
        <f>IF(AND(EHR[[#This Row],[BP_Systolic_mmHg]]&lt;140,EHR[[#This Row],[BP_Diastolic_mmHg]]&lt;90),"Controlled",IF(OR(EHR[[#This Row],[BP_Systolic_mmHg]]="Not Recorded",EHR[[#This Row],[BP_Diastolic_mmHg]]="Not Recorded"),"No Reading","Uncontrolled"))</f>
        <v>Uncontrolled</v>
      </c>
      <c r="AD105" s="3" t="str">
        <f>_xlfn.CONCAT(EHR[[#This Row],[BP_Systolic_mmHg]],"/",EHR[[#This Row],[BP_Diastolic_mmHg]])</f>
        <v>147/89</v>
      </c>
      <c r="AE105" s="3">
        <v>70</v>
      </c>
      <c r="AF105" s="3">
        <v>18</v>
      </c>
      <c r="AG105" s="3">
        <v>36.799999999999997</v>
      </c>
      <c r="AH105" s="3">
        <v>36.5</v>
      </c>
      <c r="AI105" s="3" t="str">
        <f>IF(EHR[[#This Row],[BMI_kg_m2]]&gt;=30,"Obese","Non-Obese")</f>
        <v>Obese</v>
      </c>
      <c r="AJ105" s="3">
        <v>93</v>
      </c>
      <c r="AK105" s="3" t="s">
        <v>50</v>
      </c>
      <c r="AL105" s="3" t="s">
        <v>51</v>
      </c>
      <c r="AM105" s="3" t="s">
        <v>52</v>
      </c>
      <c r="AN105" s="3" t="s">
        <v>53</v>
      </c>
      <c r="AO105" s="3" t="s">
        <v>54</v>
      </c>
    </row>
    <row r="106" spans="1:41" x14ac:dyDescent="0.2">
      <c r="A106" s="6" t="s">
        <v>500</v>
      </c>
      <c r="B106" s="2" t="s">
        <v>510</v>
      </c>
      <c r="C106" s="13">
        <v>45153</v>
      </c>
      <c r="D106" s="2" t="s">
        <v>88</v>
      </c>
      <c r="E106" s="2" t="s">
        <v>96</v>
      </c>
      <c r="F106" s="2" t="s">
        <v>148</v>
      </c>
      <c r="G106" s="2" t="s">
        <v>76</v>
      </c>
      <c r="H106" s="13">
        <v>27734</v>
      </c>
      <c r="I106" s="2">
        <v>50</v>
      </c>
      <c r="J106" s="2" t="str" cm="1">
        <f t="array" ref="J10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06" s="2" t="s">
        <v>1573</v>
      </c>
      <c r="L106" s="2" t="s">
        <v>110</v>
      </c>
      <c r="M106" s="2" t="s">
        <v>79</v>
      </c>
      <c r="N106" s="2" t="s">
        <v>125</v>
      </c>
      <c r="O106" s="2" t="s">
        <v>182</v>
      </c>
      <c r="P106" s="2" t="s">
        <v>504</v>
      </c>
      <c r="Q106" s="2" t="str">
        <f>_xlfn.XLOOKUP(EHR[[#This Row],[Primary_ICD11_Code]],'03_ICD11_Reference'!A:A,'03_ICD11_Reference'!D:D,,0)</f>
        <v>Cardiovascular</v>
      </c>
      <c r="R106" s="2" t="s">
        <v>505</v>
      </c>
      <c r="S106" s="2" t="s">
        <v>69</v>
      </c>
      <c r="T106" s="2" t="s">
        <v>512</v>
      </c>
      <c r="U106" s="2">
        <v>4</v>
      </c>
      <c r="V106" s="2" t="str">
        <f>_xlfn.XLOOKUP(EHR[[#This Row],[Encounter_ID]],'02_Lab_Results'!B:B,'02_Lab_Results'!D:D,,0)</f>
        <v>718-7</v>
      </c>
      <c r="W106" s="2" t="str">
        <f>_xlfn.XLOOKUP(EHR[[#This Row],[LOINC Code]],'04_LOINC_Reference'!A:A,'04_LOINC_Reference'!F:F,,0)</f>
        <v>Biochemistry</v>
      </c>
      <c r="X106" s="2" t="str">
        <f>_xlfn.XLOOKUP(EHR[[#This Row],[LOINC Code]],'02_Lab_Results'!D:D,'02_Lab_Results'!E:E,,0)</f>
        <v>Haemoglobin</v>
      </c>
      <c r="Y106" s="2" t="str">
        <f>_xlfn.XLOOKUP(EHR[[#This Row],[LOINC Code]],'02_Lab_Results'!D:D,'02_Lab_Results'!J:J,,0)</f>
        <v>Normal</v>
      </c>
      <c r="Z106" s="2" t="str" cm="1">
        <f t="array" ref="Z106">_xlfn.XLOOKUP(1,(B106=B$2:B$500)*(V$2:V$500="4548-4"),Y$2:Y$500,"Not Tested")</f>
        <v>Not Tested</v>
      </c>
      <c r="AA106" s="2">
        <v>115</v>
      </c>
      <c r="AB106" s="2">
        <v>63</v>
      </c>
      <c r="AC106" s="2" t="str">
        <f>IF(AND(EHR[[#This Row],[BP_Systolic_mmHg]]&lt;140,EHR[[#This Row],[BP_Diastolic_mmHg]]&lt;90),"Controlled",IF(OR(EHR[[#This Row],[BP_Systolic_mmHg]]="Not Recorded",EHR[[#This Row],[BP_Diastolic_mmHg]]="Not Recorded"),"No Reading","Uncontrolled"))</f>
        <v>Controlled</v>
      </c>
      <c r="AD106" s="2" t="str">
        <f>_xlfn.CONCAT(EHR[[#This Row],[BP_Systolic_mmHg]],"/",EHR[[#This Row],[BP_Diastolic_mmHg]])</f>
        <v>115/63</v>
      </c>
      <c r="AE106" s="2">
        <v>61</v>
      </c>
      <c r="AF106" s="2">
        <v>24</v>
      </c>
      <c r="AG106" s="2">
        <v>37.9</v>
      </c>
      <c r="AH106" s="2">
        <v>29.4</v>
      </c>
      <c r="AI106" s="2" t="str">
        <f>IF(EHR[[#This Row],[BMI_kg_m2]]&gt;=30,"Obese","Non-Obese")</f>
        <v>Non-Obese</v>
      </c>
      <c r="AJ106" s="2">
        <v>94</v>
      </c>
      <c r="AK106" s="2" t="s">
        <v>50</v>
      </c>
      <c r="AL106" s="2" t="s">
        <v>51</v>
      </c>
      <c r="AM106" s="2" t="s">
        <v>52</v>
      </c>
      <c r="AN106" s="2" t="s">
        <v>53</v>
      </c>
      <c r="AO106" s="2" t="s">
        <v>54</v>
      </c>
    </row>
    <row r="107" spans="1:41" x14ac:dyDescent="0.2">
      <c r="A107" s="7" t="s">
        <v>500</v>
      </c>
      <c r="B107" s="3" t="s">
        <v>513</v>
      </c>
      <c r="C107" s="14">
        <v>45504</v>
      </c>
      <c r="D107" s="3" t="s">
        <v>88</v>
      </c>
      <c r="E107" s="3" t="s">
        <v>96</v>
      </c>
      <c r="F107" s="3" t="s">
        <v>75</v>
      </c>
      <c r="G107" s="3" t="s">
        <v>98</v>
      </c>
      <c r="H107" s="14">
        <v>27734</v>
      </c>
      <c r="I107" s="3">
        <v>50</v>
      </c>
      <c r="J107" s="3" t="str" cm="1">
        <f t="array" ref="J10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07" s="3" t="s">
        <v>1573</v>
      </c>
      <c r="L107" s="3" t="s">
        <v>140</v>
      </c>
      <c r="M107" s="3" t="s">
        <v>79</v>
      </c>
      <c r="N107" s="3" t="s">
        <v>125</v>
      </c>
      <c r="O107" s="3" t="s">
        <v>182</v>
      </c>
      <c r="P107" s="3" t="s">
        <v>504</v>
      </c>
      <c r="Q107" s="3" t="str">
        <f>_xlfn.XLOOKUP(EHR[[#This Row],[Primary_ICD11_Code]],'03_ICD11_Reference'!A:A,'03_ICD11_Reference'!D:D,,0)</f>
        <v>Cardiovascular</v>
      </c>
      <c r="R107" s="3" t="s">
        <v>505</v>
      </c>
      <c r="S107" s="3" t="s">
        <v>69</v>
      </c>
      <c r="T107" s="3" t="s">
        <v>515</v>
      </c>
      <c r="U107" s="3">
        <v>4</v>
      </c>
      <c r="V107" s="3" t="str">
        <f>_xlfn.XLOOKUP(EHR[[#This Row],[Encounter_ID]],'02_Lab_Results'!B:B,'02_Lab_Results'!D:D,,0)</f>
        <v>2951-2</v>
      </c>
      <c r="W107" s="3" t="str">
        <f>_xlfn.XLOOKUP(EHR[[#This Row],[LOINC Code]],'04_LOINC_Reference'!A:A,'04_LOINC_Reference'!F:F,,0)</f>
        <v>Biochemistry</v>
      </c>
      <c r="X107" s="3" t="str">
        <f>_xlfn.XLOOKUP(EHR[[#This Row],[LOINC Code]],'02_Lab_Results'!D:D,'02_Lab_Results'!E:E,,0)</f>
        <v>Serum sodium</v>
      </c>
      <c r="Y107" s="3" t="str">
        <f>_xlfn.XLOOKUP(EHR[[#This Row],[LOINC Code]],'02_Lab_Results'!D:D,'02_Lab_Results'!J:J,,0)</f>
        <v>Low</v>
      </c>
      <c r="Z107" s="3" t="str" cm="1">
        <f t="array" ref="Z107">_xlfn.XLOOKUP(1,(B107=B$2:B$500)*(V$2:V$500="4548-4"),Y$2:Y$500,"Not Tested")</f>
        <v>Not Tested</v>
      </c>
      <c r="AA107" s="3">
        <v>105</v>
      </c>
      <c r="AB107" s="3">
        <v>105</v>
      </c>
      <c r="AC107" s="3" t="str">
        <f>IF(AND(EHR[[#This Row],[BP_Systolic_mmHg]]&lt;140,EHR[[#This Row],[BP_Diastolic_mmHg]]&lt;90),"Controlled",IF(OR(EHR[[#This Row],[BP_Systolic_mmHg]]="Not Recorded",EHR[[#This Row],[BP_Diastolic_mmHg]]="Not Recorded"),"No Reading","Uncontrolled"))</f>
        <v>Uncontrolled</v>
      </c>
      <c r="AD107" s="3" t="str">
        <f>_xlfn.CONCAT(EHR[[#This Row],[BP_Systolic_mmHg]],"/",EHR[[#This Row],[BP_Diastolic_mmHg]])</f>
        <v>105/105</v>
      </c>
      <c r="AE107" s="3">
        <v>118</v>
      </c>
      <c r="AF107" s="3">
        <v>15</v>
      </c>
      <c r="AG107" s="3">
        <v>37.700000000000003</v>
      </c>
      <c r="AH107" s="3">
        <v>22.2</v>
      </c>
      <c r="AI107" s="3" t="str">
        <f>IF(EHR[[#This Row],[BMI_kg_m2]]&gt;=30,"Obese","Non-Obese")</f>
        <v>Non-Obese</v>
      </c>
      <c r="AJ107" s="3">
        <v>98</v>
      </c>
      <c r="AK107" s="3" t="s">
        <v>50</v>
      </c>
      <c r="AL107" s="3" t="s">
        <v>51</v>
      </c>
      <c r="AM107" s="3" t="s">
        <v>52</v>
      </c>
      <c r="AN107" s="3" t="s">
        <v>53</v>
      </c>
      <c r="AO107" s="3" t="s">
        <v>54</v>
      </c>
    </row>
    <row r="108" spans="1:41" x14ac:dyDescent="0.2">
      <c r="A108" s="6" t="s">
        <v>500</v>
      </c>
      <c r="B108" s="2" t="s">
        <v>516</v>
      </c>
      <c r="C108" s="13">
        <v>45452</v>
      </c>
      <c r="D108" s="2" t="s">
        <v>88</v>
      </c>
      <c r="E108" s="2" t="s">
        <v>37</v>
      </c>
      <c r="F108" s="2" t="s">
        <v>75</v>
      </c>
      <c r="G108" s="2" t="s">
        <v>39</v>
      </c>
      <c r="H108" s="13">
        <v>27734</v>
      </c>
      <c r="I108" s="2">
        <v>50</v>
      </c>
      <c r="J108" s="2" t="str" cm="1">
        <f t="array" ref="J10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08" s="2" t="s">
        <v>1573</v>
      </c>
      <c r="L108" s="2" t="s">
        <v>42</v>
      </c>
      <c r="M108" s="2" t="s">
        <v>79</v>
      </c>
      <c r="N108" s="2" t="s">
        <v>125</v>
      </c>
      <c r="O108" s="2" t="s">
        <v>182</v>
      </c>
      <c r="P108" s="2" t="s">
        <v>504</v>
      </c>
      <c r="Q108" s="2" t="str">
        <f>_xlfn.XLOOKUP(EHR[[#This Row],[Primary_ICD11_Code]],'03_ICD11_Reference'!A:A,'03_ICD11_Reference'!D:D,,0)</f>
        <v>Cardiovascular</v>
      </c>
      <c r="R108" s="2" t="s">
        <v>505</v>
      </c>
      <c r="S108" s="2" t="s">
        <v>69</v>
      </c>
      <c r="T108" s="2" t="s">
        <v>518</v>
      </c>
      <c r="U108" s="2">
        <v>1</v>
      </c>
      <c r="V108" s="2" t="str">
        <f>_xlfn.XLOOKUP(EHR[[#This Row],[Encounter_ID]],'02_Lab_Results'!B:B,'02_Lab_Results'!D:D,,0)</f>
        <v>2085-9</v>
      </c>
      <c r="W108" s="2" t="str">
        <f>_xlfn.XLOOKUP(EHR[[#This Row],[LOINC Code]],'04_LOINC_Reference'!A:A,'04_LOINC_Reference'!F:F,,0)</f>
        <v>Biochemistry</v>
      </c>
      <c r="X108" s="2" t="str">
        <f>_xlfn.XLOOKUP(EHR[[#This Row],[LOINC Code]],'02_Lab_Results'!D:D,'02_Lab_Results'!E:E,,0)</f>
        <v>HDL cholesterol</v>
      </c>
      <c r="Y108" s="2" t="str">
        <f>_xlfn.XLOOKUP(EHR[[#This Row],[LOINC Code]],'02_Lab_Results'!D:D,'02_Lab_Results'!J:J,,0)</f>
        <v>Normal</v>
      </c>
      <c r="Z108" s="2" t="str" cm="1">
        <f t="array" ref="Z108">_xlfn.XLOOKUP(1,(B108=B$2:B$500)*(V$2:V$500="4548-4"),Y$2:Y$500,"Not Tested")</f>
        <v>Not Tested</v>
      </c>
      <c r="AA108" s="2">
        <v>132</v>
      </c>
      <c r="AB108" s="2">
        <v>89</v>
      </c>
      <c r="AC108" s="2" t="str">
        <f>IF(AND(EHR[[#This Row],[BP_Systolic_mmHg]]&lt;140,EHR[[#This Row],[BP_Diastolic_mmHg]]&lt;90),"Controlled",IF(OR(EHR[[#This Row],[BP_Systolic_mmHg]]="Not Recorded",EHR[[#This Row],[BP_Diastolic_mmHg]]="Not Recorded"),"No Reading","Uncontrolled"))</f>
        <v>Controlled</v>
      </c>
      <c r="AD108" s="2" t="str">
        <f>_xlfn.CONCAT(EHR[[#This Row],[BP_Systolic_mmHg]],"/",EHR[[#This Row],[BP_Diastolic_mmHg]])</f>
        <v>132/89</v>
      </c>
      <c r="AE108" s="2">
        <v>92</v>
      </c>
      <c r="AF108" s="2">
        <v>23</v>
      </c>
      <c r="AG108" s="2">
        <v>37</v>
      </c>
      <c r="AH108" s="2">
        <v>18.100000000000001</v>
      </c>
      <c r="AI108" s="2" t="str">
        <f>IF(EHR[[#This Row],[BMI_kg_m2]]&gt;=30,"Obese","Non-Obese")</f>
        <v>Non-Obese</v>
      </c>
      <c r="AJ108" s="2">
        <v>90</v>
      </c>
      <c r="AK108" s="2" t="s">
        <v>50</v>
      </c>
      <c r="AL108" s="2" t="s">
        <v>51</v>
      </c>
      <c r="AM108" s="2" t="s">
        <v>52</v>
      </c>
      <c r="AN108" s="2" t="s">
        <v>53</v>
      </c>
      <c r="AO108" s="2" t="s">
        <v>54</v>
      </c>
    </row>
    <row r="109" spans="1:41" x14ac:dyDescent="0.2">
      <c r="A109" s="7" t="s">
        <v>500</v>
      </c>
      <c r="B109" s="3" t="s">
        <v>519</v>
      </c>
      <c r="C109" s="14">
        <v>45644</v>
      </c>
      <c r="D109" s="3" t="s">
        <v>95</v>
      </c>
      <c r="E109" s="3" t="s">
        <v>96</v>
      </c>
      <c r="F109" s="3" t="s">
        <v>132</v>
      </c>
      <c r="G109" s="3" t="s">
        <v>39</v>
      </c>
      <c r="H109" s="14">
        <v>27734</v>
      </c>
      <c r="I109" s="3">
        <v>50</v>
      </c>
      <c r="J109" s="3" t="str" cm="1">
        <f t="array" ref="J10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09" s="3" t="s">
        <v>1573</v>
      </c>
      <c r="L109" s="3" t="s">
        <v>110</v>
      </c>
      <c r="M109" s="3" t="s">
        <v>79</v>
      </c>
      <c r="N109" s="3" t="s">
        <v>125</v>
      </c>
      <c r="O109" s="3" t="s">
        <v>182</v>
      </c>
      <c r="P109" s="3" t="s">
        <v>504</v>
      </c>
      <c r="Q109" s="3" t="str">
        <f>_xlfn.XLOOKUP(EHR[[#This Row],[Primary_ICD11_Code]],'03_ICD11_Reference'!A:A,'03_ICD11_Reference'!D:D,,0)</f>
        <v>Cardiovascular</v>
      </c>
      <c r="R109" s="3" t="s">
        <v>505</v>
      </c>
      <c r="S109" s="3" t="s">
        <v>69</v>
      </c>
      <c r="T109" s="3" t="s">
        <v>521</v>
      </c>
      <c r="U109" s="3">
        <v>2</v>
      </c>
      <c r="V109" s="3" t="str">
        <f>_xlfn.XLOOKUP(EHR[[#This Row],[Encounter_ID]],'02_Lab_Results'!B:B,'02_Lab_Results'!D:D,,0)</f>
        <v>4548-4</v>
      </c>
      <c r="W109" s="3" t="str">
        <f>_xlfn.XLOOKUP(EHR[[#This Row],[LOINC Code]],'04_LOINC_Reference'!A:A,'04_LOINC_Reference'!F:F,,0)</f>
        <v>Biochemistry</v>
      </c>
      <c r="X109" s="3" t="str">
        <f>_xlfn.XLOOKUP(EHR[[#This Row],[LOINC Code]],'02_Lab_Results'!D:D,'02_Lab_Results'!E:E,,0)</f>
        <v>HbA1c</v>
      </c>
      <c r="Y109" s="3" t="str">
        <f>_xlfn.XLOOKUP(EHR[[#This Row],[LOINC Code]],'02_Lab_Results'!D:D,'02_Lab_Results'!J:J,,0)</f>
        <v>High</v>
      </c>
      <c r="Z109" s="3" t="str" cm="1">
        <f t="array" ref="Z109">_xlfn.XLOOKUP(1,(B109=B$2:B$500)*(V$2:V$500="4548-4"),Y$2:Y$500,"Not Tested")</f>
        <v>High</v>
      </c>
      <c r="AA109" s="3">
        <v>101</v>
      </c>
      <c r="AB109" s="3">
        <v>115</v>
      </c>
      <c r="AC109" s="3" t="str">
        <f>IF(AND(EHR[[#This Row],[BP_Systolic_mmHg]]&lt;140,EHR[[#This Row],[BP_Diastolic_mmHg]]&lt;90),"Controlled",IF(OR(EHR[[#This Row],[BP_Systolic_mmHg]]="Not Recorded",EHR[[#This Row],[BP_Diastolic_mmHg]]="Not Recorded"),"No Reading","Uncontrolled"))</f>
        <v>Uncontrolled</v>
      </c>
      <c r="AD109" s="3" t="str">
        <f>_xlfn.CONCAT(EHR[[#This Row],[BP_Systolic_mmHg]],"/",EHR[[#This Row],[BP_Diastolic_mmHg]])</f>
        <v>101/115</v>
      </c>
      <c r="AE109" s="3">
        <v>120</v>
      </c>
      <c r="AF109" s="3">
        <v>13</v>
      </c>
      <c r="AG109" s="3">
        <v>39</v>
      </c>
      <c r="AH109" s="3">
        <v>18.399999999999999</v>
      </c>
      <c r="AI109" s="3" t="str">
        <f>IF(EHR[[#This Row],[BMI_kg_m2]]&gt;=30,"Obese","Non-Obese")</f>
        <v>Non-Obese</v>
      </c>
      <c r="AJ109" s="3">
        <v>92</v>
      </c>
      <c r="AK109" s="3" t="s">
        <v>50</v>
      </c>
      <c r="AL109" s="3" t="s">
        <v>51</v>
      </c>
      <c r="AM109" s="3" t="s">
        <v>52</v>
      </c>
      <c r="AN109" s="3" t="s">
        <v>53</v>
      </c>
      <c r="AO109" s="3" t="s">
        <v>54</v>
      </c>
    </row>
    <row r="110" spans="1:41" x14ac:dyDescent="0.2">
      <c r="A110" s="6" t="s">
        <v>522</v>
      </c>
      <c r="B110" s="2" t="s">
        <v>523</v>
      </c>
      <c r="C110" s="13">
        <v>45232</v>
      </c>
      <c r="D110" s="2" t="s">
        <v>95</v>
      </c>
      <c r="E110" s="2" t="s">
        <v>89</v>
      </c>
      <c r="F110" s="2" t="s">
        <v>75</v>
      </c>
      <c r="G110" s="2" t="s">
        <v>138</v>
      </c>
      <c r="H110" s="13">
        <v>23048</v>
      </c>
      <c r="I110" s="2">
        <v>62</v>
      </c>
      <c r="J110" s="2" t="str" cm="1">
        <f t="array" ref="J11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10" s="2" t="s">
        <v>1572</v>
      </c>
      <c r="L110" s="2" t="s">
        <v>140</v>
      </c>
      <c r="M110" s="2" t="s">
        <v>43</v>
      </c>
      <c r="N110" s="2" t="s">
        <v>80</v>
      </c>
      <c r="O110" s="2" t="s">
        <v>45</v>
      </c>
      <c r="P110" s="2" t="s">
        <v>150</v>
      </c>
      <c r="Q110" s="2" t="str">
        <f>_xlfn.XLOOKUP(EHR[[#This Row],[Primary_ICD11_Code]],'03_ICD11_Reference'!A:A,'03_ICD11_Reference'!D:D,,0)</f>
        <v>Gastroenterology</v>
      </c>
      <c r="R110" s="2" t="s">
        <v>151</v>
      </c>
      <c r="S110" s="2" t="s">
        <v>69</v>
      </c>
      <c r="T110" s="2" t="s">
        <v>526</v>
      </c>
      <c r="U110" s="2">
        <v>2</v>
      </c>
      <c r="V110" s="2" t="str">
        <f>_xlfn.XLOOKUP(EHR[[#This Row],[Encounter_ID]],'02_Lab_Results'!B:B,'02_Lab_Results'!D:D,,0)</f>
        <v>2085-9</v>
      </c>
      <c r="W110" s="2" t="str">
        <f>_xlfn.XLOOKUP(EHR[[#This Row],[LOINC Code]],'04_LOINC_Reference'!A:A,'04_LOINC_Reference'!F:F,,0)</f>
        <v>Biochemistry</v>
      </c>
      <c r="X110" s="2" t="str">
        <f>_xlfn.XLOOKUP(EHR[[#This Row],[LOINC Code]],'02_Lab_Results'!D:D,'02_Lab_Results'!E:E,,0)</f>
        <v>HDL cholesterol</v>
      </c>
      <c r="Y110" s="2" t="str">
        <f>_xlfn.XLOOKUP(EHR[[#This Row],[LOINC Code]],'02_Lab_Results'!D:D,'02_Lab_Results'!J:J,,0)</f>
        <v>Normal</v>
      </c>
      <c r="Z110" s="2" t="str" cm="1">
        <f t="array" ref="Z110">_xlfn.XLOOKUP(1,(B110=B$2:B$500)*(V$2:V$500="4548-4"),Y$2:Y$500,"Not Tested")</f>
        <v>Not Tested</v>
      </c>
      <c r="AA110" s="2">
        <v>137</v>
      </c>
      <c r="AB110" s="2">
        <v>98</v>
      </c>
      <c r="AC110" s="2" t="str">
        <f>IF(AND(EHR[[#This Row],[BP_Systolic_mmHg]]&lt;140,EHR[[#This Row],[BP_Diastolic_mmHg]]&lt;90),"Controlled",IF(OR(EHR[[#This Row],[BP_Systolic_mmHg]]="Not Recorded",EHR[[#This Row],[BP_Diastolic_mmHg]]="Not Recorded"),"No Reading","Uncontrolled"))</f>
        <v>Uncontrolled</v>
      </c>
      <c r="AD110" s="2" t="str">
        <f>_xlfn.CONCAT(EHR[[#This Row],[BP_Systolic_mmHg]],"/",EHR[[#This Row],[BP_Diastolic_mmHg]])</f>
        <v>137/98</v>
      </c>
      <c r="AE110" s="2">
        <v>82</v>
      </c>
      <c r="AF110" s="2">
        <v>18</v>
      </c>
      <c r="AG110" s="2">
        <v>36.700000000000003</v>
      </c>
      <c r="AH110" s="2">
        <v>30.6</v>
      </c>
      <c r="AI110" s="2" t="str">
        <f>IF(EHR[[#This Row],[BMI_kg_m2]]&gt;=30,"Obese","Non-Obese")</f>
        <v>Obese</v>
      </c>
      <c r="AJ110" s="2">
        <v>89</v>
      </c>
      <c r="AK110" s="2" t="s">
        <v>50</v>
      </c>
      <c r="AL110" s="2" t="s">
        <v>51</v>
      </c>
      <c r="AM110" s="2" t="s">
        <v>52</v>
      </c>
      <c r="AN110" s="2" t="s">
        <v>53</v>
      </c>
      <c r="AO110" s="2" t="s">
        <v>54</v>
      </c>
    </row>
    <row r="111" spans="1:41" x14ac:dyDescent="0.2">
      <c r="A111" s="7" t="s">
        <v>522</v>
      </c>
      <c r="B111" s="3" t="s">
        <v>527</v>
      </c>
      <c r="C111" s="14">
        <v>44995</v>
      </c>
      <c r="D111" s="3" t="s">
        <v>60</v>
      </c>
      <c r="E111" s="3" t="s">
        <v>61</v>
      </c>
      <c r="F111" s="3" t="s">
        <v>148</v>
      </c>
      <c r="G111" s="3" t="s">
        <v>104</v>
      </c>
      <c r="H111" s="14">
        <v>23048</v>
      </c>
      <c r="I111" s="3">
        <v>62</v>
      </c>
      <c r="J111" s="3" t="str" cm="1">
        <f t="array" ref="J11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11" s="3" t="s">
        <v>1572</v>
      </c>
      <c r="L111" s="3" t="s">
        <v>140</v>
      </c>
      <c r="M111" s="3" t="s">
        <v>43</v>
      </c>
      <c r="N111" s="3" t="s">
        <v>80</v>
      </c>
      <c r="O111" s="3" t="s">
        <v>45</v>
      </c>
      <c r="P111" s="3" t="s">
        <v>150</v>
      </c>
      <c r="Q111" s="3" t="str">
        <f>_xlfn.XLOOKUP(EHR[[#This Row],[Primary_ICD11_Code]],'03_ICD11_Reference'!A:A,'03_ICD11_Reference'!D:D,,0)</f>
        <v>Gastroenterology</v>
      </c>
      <c r="R111" s="3" t="s">
        <v>151</v>
      </c>
      <c r="S111" s="3" t="s">
        <v>69</v>
      </c>
      <c r="T111" s="3" t="s">
        <v>528</v>
      </c>
      <c r="U111" s="3">
        <v>2</v>
      </c>
      <c r="V111" s="3" t="str">
        <f>_xlfn.XLOOKUP(EHR[[#This Row],[Encounter_ID]],'02_Lab_Results'!B:B,'02_Lab_Results'!D:D,,0)</f>
        <v>6690-2</v>
      </c>
      <c r="W111" s="3" t="str">
        <f>_xlfn.XLOOKUP(EHR[[#This Row],[LOINC Code]],'04_LOINC_Reference'!A:A,'04_LOINC_Reference'!F:F,,0)</f>
        <v>Biochemistry</v>
      </c>
      <c r="X111" s="3" t="str">
        <f>_xlfn.XLOOKUP(EHR[[#This Row],[LOINC Code]],'02_Lab_Results'!D:D,'02_Lab_Results'!E:E,,0)</f>
        <v>WBC count</v>
      </c>
      <c r="Y111" s="3" t="str">
        <f>_xlfn.XLOOKUP(EHR[[#This Row],[LOINC Code]],'02_Lab_Results'!D:D,'02_Lab_Results'!J:J,,0)</f>
        <v>Low</v>
      </c>
      <c r="Z111" s="3" t="str" cm="1">
        <f t="array" ref="Z111">_xlfn.XLOOKUP(1,(B111=B$2:B$500)*(V$2:V$500="4548-4"),Y$2:Y$500,"Not Tested")</f>
        <v>Not Tested</v>
      </c>
      <c r="AA111" s="3">
        <v>104</v>
      </c>
      <c r="AB111" s="3">
        <v>57</v>
      </c>
      <c r="AC111" s="3" t="str">
        <f>IF(AND(EHR[[#This Row],[BP_Systolic_mmHg]]&lt;140,EHR[[#This Row],[BP_Diastolic_mmHg]]&lt;90),"Controlled",IF(OR(EHR[[#This Row],[BP_Systolic_mmHg]]="Not Recorded",EHR[[#This Row],[BP_Diastolic_mmHg]]="Not Recorded"),"No Reading","Uncontrolled"))</f>
        <v>Controlled</v>
      </c>
      <c r="AD111" s="3" t="str">
        <f>_xlfn.CONCAT(EHR[[#This Row],[BP_Systolic_mmHg]],"/",EHR[[#This Row],[BP_Diastolic_mmHg]])</f>
        <v>104/57</v>
      </c>
      <c r="AE111" s="3">
        <v>95</v>
      </c>
      <c r="AF111" s="3">
        <v>23</v>
      </c>
      <c r="AG111" s="3">
        <v>36.200000000000003</v>
      </c>
      <c r="AH111" s="3">
        <v>38.6</v>
      </c>
      <c r="AI111" s="3" t="str">
        <f>IF(EHR[[#This Row],[BMI_kg_m2]]&gt;=30,"Obese","Non-Obese")</f>
        <v>Obese</v>
      </c>
      <c r="AJ111" s="3">
        <v>92</v>
      </c>
      <c r="AK111" s="3" t="s">
        <v>50</v>
      </c>
      <c r="AL111" s="3" t="s">
        <v>51</v>
      </c>
      <c r="AM111" s="3" t="s">
        <v>52</v>
      </c>
      <c r="AN111" s="3" t="s">
        <v>53</v>
      </c>
      <c r="AO111" s="3" t="s">
        <v>54</v>
      </c>
    </row>
    <row r="112" spans="1:41" x14ac:dyDescent="0.2">
      <c r="A112" s="6" t="s">
        <v>522</v>
      </c>
      <c r="B112" s="2" t="s">
        <v>529</v>
      </c>
      <c r="C112" s="13">
        <v>45676</v>
      </c>
      <c r="D112" s="2" t="s">
        <v>36</v>
      </c>
      <c r="E112" s="2" t="s">
        <v>37</v>
      </c>
      <c r="F112" s="2" t="s">
        <v>148</v>
      </c>
      <c r="G112" s="2" t="s">
        <v>115</v>
      </c>
      <c r="H112" s="13">
        <v>23048</v>
      </c>
      <c r="I112" s="2">
        <v>62</v>
      </c>
      <c r="J112" s="2" t="str" cm="1">
        <f t="array" ref="J11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12" s="2" t="s">
        <v>1572</v>
      </c>
      <c r="L112" s="2" t="s">
        <v>116</v>
      </c>
      <c r="M112" s="2" t="s">
        <v>43</v>
      </c>
      <c r="N112" s="2" t="s">
        <v>80</v>
      </c>
      <c r="O112" s="2" t="s">
        <v>45</v>
      </c>
      <c r="P112" s="2" t="s">
        <v>150</v>
      </c>
      <c r="Q112" s="2" t="str">
        <f>_xlfn.XLOOKUP(EHR[[#This Row],[Primary_ICD11_Code]],'03_ICD11_Reference'!A:A,'03_ICD11_Reference'!D:D,,0)</f>
        <v>Gastroenterology</v>
      </c>
      <c r="R112" s="2" t="s">
        <v>151</v>
      </c>
      <c r="S112" s="2" t="s">
        <v>69</v>
      </c>
      <c r="T112" s="2" t="s">
        <v>531</v>
      </c>
      <c r="U112" s="2">
        <v>2</v>
      </c>
      <c r="V112" s="2" t="str">
        <f>_xlfn.XLOOKUP(EHR[[#This Row],[Encounter_ID]],'02_Lab_Results'!B:B,'02_Lab_Results'!D:D,,0)</f>
        <v>2085-9</v>
      </c>
      <c r="W112" s="2" t="str">
        <f>_xlfn.XLOOKUP(EHR[[#This Row],[LOINC Code]],'04_LOINC_Reference'!A:A,'04_LOINC_Reference'!F:F,,0)</f>
        <v>Biochemistry</v>
      </c>
      <c r="X112" s="2" t="str">
        <f>_xlfn.XLOOKUP(EHR[[#This Row],[LOINC Code]],'02_Lab_Results'!D:D,'02_Lab_Results'!E:E,,0)</f>
        <v>HDL cholesterol</v>
      </c>
      <c r="Y112" s="2" t="str">
        <f>_xlfn.XLOOKUP(EHR[[#This Row],[LOINC Code]],'02_Lab_Results'!D:D,'02_Lab_Results'!J:J,,0)</f>
        <v>Normal</v>
      </c>
      <c r="Z112" s="2" t="str" cm="1">
        <f t="array" ref="Z112">_xlfn.XLOOKUP(1,(B112=B$2:B$500)*(V$2:V$500="4548-4"),Y$2:Y$500,"Not Tested")</f>
        <v>Not Tested</v>
      </c>
      <c r="AA112" s="2">
        <v>147</v>
      </c>
      <c r="AB112" s="2">
        <v>90</v>
      </c>
      <c r="AC112" s="2" t="str">
        <f>IF(AND(EHR[[#This Row],[BP_Systolic_mmHg]]&lt;140,EHR[[#This Row],[BP_Diastolic_mmHg]]&lt;90),"Controlled",IF(OR(EHR[[#This Row],[BP_Systolic_mmHg]]="Not Recorded",EHR[[#This Row],[BP_Diastolic_mmHg]]="Not Recorded"),"No Reading","Uncontrolled"))</f>
        <v>Uncontrolled</v>
      </c>
      <c r="AD112" s="2" t="str">
        <f>_xlfn.CONCAT(EHR[[#This Row],[BP_Systolic_mmHg]],"/",EHR[[#This Row],[BP_Diastolic_mmHg]])</f>
        <v>147/90</v>
      </c>
      <c r="AE112" s="2">
        <v>108</v>
      </c>
      <c r="AF112" s="2">
        <v>25</v>
      </c>
      <c r="AG112" s="2">
        <v>36.799999999999997</v>
      </c>
      <c r="AH112" s="2">
        <v>42.5</v>
      </c>
      <c r="AI112" s="2" t="str">
        <f>IF(EHR[[#This Row],[BMI_kg_m2]]&gt;=30,"Obese","Non-Obese")</f>
        <v>Obese</v>
      </c>
      <c r="AJ112" s="2">
        <v>100</v>
      </c>
      <c r="AK112" s="2" t="s">
        <v>50</v>
      </c>
      <c r="AL112" s="2" t="s">
        <v>51</v>
      </c>
      <c r="AM112" s="2" t="s">
        <v>52</v>
      </c>
      <c r="AN112" s="2" t="s">
        <v>53</v>
      </c>
      <c r="AO112" s="2" t="s">
        <v>54</v>
      </c>
    </row>
    <row r="113" spans="1:41" x14ac:dyDescent="0.2">
      <c r="A113" s="7" t="s">
        <v>522</v>
      </c>
      <c r="B113" s="3" t="s">
        <v>532</v>
      </c>
      <c r="C113" s="14">
        <v>45622</v>
      </c>
      <c r="D113" s="3" t="s">
        <v>103</v>
      </c>
      <c r="E113" s="3" t="s">
        <v>89</v>
      </c>
      <c r="F113" s="3" t="s">
        <v>219</v>
      </c>
      <c r="G113" s="3" t="s">
        <v>138</v>
      </c>
      <c r="H113" s="14">
        <v>23048</v>
      </c>
      <c r="I113" s="3">
        <v>62</v>
      </c>
      <c r="J113" s="3" t="str" cm="1">
        <f t="array" ref="J11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13" s="3" t="s">
        <v>1572</v>
      </c>
      <c r="L113" s="3" t="s">
        <v>66</v>
      </c>
      <c r="M113" s="3" t="s">
        <v>43</v>
      </c>
      <c r="N113" s="3" t="s">
        <v>80</v>
      </c>
      <c r="O113" s="3" t="s">
        <v>45</v>
      </c>
      <c r="P113" s="3" t="s">
        <v>150</v>
      </c>
      <c r="Q113" s="3" t="str">
        <f>_xlfn.XLOOKUP(EHR[[#This Row],[Primary_ICD11_Code]],'03_ICD11_Reference'!A:A,'03_ICD11_Reference'!D:D,,0)</f>
        <v>Gastroenterology</v>
      </c>
      <c r="R113" s="3" t="s">
        <v>151</v>
      </c>
      <c r="S113" s="3" t="s">
        <v>69</v>
      </c>
      <c r="T113" s="3" t="s">
        <v>534</v>
      </c>
      <c r="U113" s="3">
        <v>4</v>
      </c>
      <c r="V113" s="3" t="str">
        <f>_xlfn.XLOOKUP(EHR[[#This Row],[Encounter_ID]],'02_Lab_Results'!B:B,'02_Lab_Results'!D:D,,0)</f>
        <v>17861-6</v>
      </c>
      <c r="W113" s="3" t="str">
        <f>_xlfn.XLOOKUP(EHR[[#This Row],[LOINC Code]],'04_LOINC_Reference'!A:A,'04_LOINC_Reference'!F:F,,0)</f>
        <v>Biochemistry</v>
      </c>
      <c r="X113" s="3" t="str">
        <f>_xlfn.XLOOKUP(EHR[[#This Row],[LOINC Code]],'02_Lab_Results'!D:D,'02_Lab_Results'!E:E,,0)</f>
        <v>Serum calcium</v>
      </c>
      <c r="Y113" s="3" t="str">
        <f>_xlfn.XLOOKUP(EHR[[#This Row],[LOINC Code]],'02_Lab_Results'!D:D,'02_Lab_Results'!J:J,,0)</f>
        <v>High</v>
      </c>
      <c r="Z113" s="3" t="str" cm="1">
        <f t="array" ref="Z113">_xlfn.XLOOKUP(1,(B113=B$2:B$500)*(V$2:V$500="4548-4"),Y$2:Y$500,"Not Tested")</f>
        <v>Not Tested</v>
      </c>
      <c r="AA113" s="3">
        <v>133</v>
      </c>
      <c r="AB113" s="3">
        <v>85</v>
      </c>
      <c r="AC113" s="3" t="str">
        <f>IF(AND(EHR[[#This Row],[BP_Systolic_mmHg]]&lt;140,EHR[[#This Row],[BP_Diastolic_mmHg]]&lt;90),"Controlled",IF(OR(EHR[[#This Row],[BP_Systolic_mmHg]]="Not Recorded",EHR[[#This Row],[BP_Diastolic_mmHg]]="Not Recorded"),"No Reading","Uncontrolled"))</f>
        <v>Controlled</v>
      </c>
      <c r="AD113" s="3" t="str">
        <f>_xlfn.CONCAT(EHR[[#This Row],[BP_Systolic_mmHg]],"/",EHR[[#This Row],[BP_Diastolic_mmHg]])</f>
        <v>133/85</v>
      </c>
      <c r="AE113" s="3">
        <v>123</v>
      </c>
      <c r="AF113" s="3">
        <v>27</v>
      </c>
      <c r="AG113" s="3">
        <v>38.1</v>
      </c>
      <c r="AH113" s="3">
        <v>39.9</v>
      </c>
      <c r="AI113" s="3" t="str">
        <f>IF(EHR[[#This Row],[BMI_kg_m2]]&gt;=30,"Obese","Non-Obese")</f>
        <v>Obese</v>
      </c>
      <c r="AJ113" s="3">
        <v>91</v>
      </c>
      <c r="AK113" s="3" t="s">
        <v>50</v>
      </c>
      <c r="AL113" s="3" t="s">
        <v>51</v>
      </c>
      <c r="AM113" s="3" t="s">
        <v>52</v>
      </c>
      <c r="AN113" s="3" t="s">
        <v>53</v>
      </c>
      <c r="AO113" s="3" t="s">
        <v>54</v>
      </c>
    </row>
    <row r="114" spans="1:41" x14ac:dyDescent="0.2">
      <c r="A114" s="6" t="s">
        <v>522</v>
      </c>
      <c r="B114" s="2" t="s">
        <v>535</v>
      </c>
      <c r="C114" s="13">
        <v>45157</v>
      </c>
      <c r="D114" s="2" t="s">
        <v>36</v>
      </c>
      <c r="E114" s="2" t="s">
        <v>61</v>
      </c>
      <c r="F114" s="2" t="s">
        <v>109</v>
      </c>
      <c r="G114" s="2" t="s">
        <v>63</v>
      </c>
      <c r="H114" s="13">
        <v>23048</v>
      </c>
      <c r="I114" s="2">
        <v>62</v>
      </c>
      <c r="J114" s="2" t="str" cm="1">
        <f t="array" ref="J11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14" s="2" t="s">
        <v>1572</v>
      </c>
      <c r="L114" s="2" t="s">
        <v>78</v>
      </c>
      <c r="M114" s="2" t="s">
        <v>43</v>
      </c>
      <c r="N114" s="2" t="s">
        <v>80</v>
      </c>
      <c r="O114" s="2" t="s">
        <v>45</v>
      </c>
      <c r="P114" s="2" t="s">
        <v>150</v>
      </c>
      <c r="Q114" s="2" t="str">
        <f>_xlfn.XLOOKUP(EHR[[#This Row],[Primary_ICD11_Code]],'03_ICD11_Reference'!A:A,'03_ICD11_Reference'!D:D,,0)</f>
        <v>Gastroenterology</v>
      </c>
      <c r="R114" s="2" t="s">
        <v>151</v>
      </c>
      <c r="S114" s="2" t="s">
        <v>69</v>
      </c>
      <c r="T114" s="2" t="s">
        <v>256</v>
      </c>
      <c r="U114" s="2">
        <v>2</v>
      </c>
      <c r="V114" s="2" t="str">
        <f>_xlfn.XLOOKUP(EHR[[#This Row],[Encounter_ID]],'02_Lab_Results'!B:B,'02_Lab_Results'!D:D,,0)</f>
        <v>2345-7</v>
      </c>
      <c r="W114" s="2" t="str">
        <f>_xlfn.XLOOKUP(EHR[[#This Row],[LOINC Code]],'04_LOINC_Reference'!A:A,'04_LOINC_Reference'!F:F,,0)</f>
        <v>Biochemistry</v>
      </c>
      <c r="X114" s="2" t="str">
        <f>_xlfn.XLOOKUP(EHR[[#This Row],[LOINC Code]],'02_Lab_Results'!D:D,'02_Lab_Results'!E:E,,0)</f>
        <v>Serum glucose (fasting)</v>
      </c>
      <c r="Y114" s="2" t="str">
        <f>_xlfn.XLOOKUP(EHR[[#This Row],[LOINC Code]],'02_Lab_Results'!D:D,'02_Lab_Results'!J:J,,0)</f>
        <v>Normal</v>
      </c>
      <c r="Z114" s="2" t="str" cm="1">
        <f t="array" ref="Z114">_xlfn.XLOOKUP(1,(B114=B$2:B$500)*(V$2:V$500="4548-4"),Y$2:Y$500,"Not Tested")</f>
        <v>Not Tested</v>
      </c>
      <c r="AA114" s="2">
        <v>122</v>
      </c>
      <c r="AB114" s="2">
        <v>97</v>
      </c>
      <c r="AC114" s="2" t="str">
        <f>IF(AND(EHR[[#This Row],[BP_Systolic_mmHg]]&lt;140,EHR[[#This Row],[BP_Diastolic_mmHg]]&lt;90),"Controlled",IF(OR(EHR[[#This Row],[BP_Systolic_mmHg]]="Not Recorded",EHR[[#This Row],[BP_Diastolic_mmHg]]="Not Recorded"),"No Reading","Uncontrolled"))</f>
        <v>Uncontrolled</v>
      </c>
      <c r="AD114" s="2" t="str">
        <f>_xlfn.CONCAT(EHR[[#This Row],[BP_Systolic_mmHg]],"/",EHR[[#This Row],[BP_Diastolic_mmHg]])</f>
        <v>122/97</v>
      </c>
      <c r="AE114" s="2">
        <v>110</v>
      </c>
      <c r="AF114" s="2">
        <v>27</v>
      </c>
      <c r="AG114" s="2">
        <v>37.799999999999997</v>
      </c>
      <c r="AH114" s="2">
        <v>45.1</v>
      </c>
      <c r="AI114" s="2" t="str">
        <f>IF(EHR[[#This Row],[BMI_kg_m2]]&gt;=30,"Obese","Non-Obese")</f>
        <v>Obese</v>
      </c>
      <c r="AJ114" s="2">
        <v>94</v>
      </c>
      <c r="AK114" s="2" t="s">
        <v>50</v>
      </c>
      <c r="AL114" s="2" t="s">
        <v>51</v>
      </c>
      <c r="AM114" s="2" t="s">
        <v>52</v>
      </c>
      <c r="AN114" s="2" t="s">
        <v>53</v>
      </c>
      <c r="AO114" s="2" t="s">
        <v>54</v>
      </c>
    </row>
    <row r="115" spans="1:41" x14ac:dyDescent="0.2">
      <c r="A115" s="7" t="s">
        <v>536</v>
      </c>
      <c r="B115" s="3" t="s">
        <v>537</v>
      </c>
      <c r="C115" s="14">
        <v>45119</v>
      </c>
      <c r="D115" s="3" t="s">
        <v>103</v>
      </c>
      <c r="E115" s="3" t="s">
        <v>37</v>
      </c>
      <c r="F115" s="3" t="s">
        <v>219</v>
      </c>
      <c r="G115" s="3" t="s">
        <v>138</v>
      </c>
      <c r="H115" s="14">
        <v>35332</v>
      </c>
      <c r="I115" s="3">
        <v>29</v>
      </c>
      <c r="J115" s="3" t="str" cm="1">
        <f t="array" ref="J11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15" s="3" t="s">
        <v>1573</v>
      </c>
      <c r="L115" s="3" t="s">
        <v>116</v>
      </c>
      <c r="M115" s="3" t="s">
        <v>79</v>
      </c>
      <c r="N115" s="3" t="s">
        <v>1574</v>
      </c>
      <c r="O115" s="3" t="s">
        <v>45</v>
      </c>
      <c r="P115" s="3" t="s">
        <v>211</v>
      </c>
      <c r="Q115" s="3" t="str">
        <f>_xlfn.XLOOKUP(EHR[[#This Row],[Primary_ICD11_Code]],'03_ICD11_Reference'!A:A,'03_ICD11_Reference'!D:D,,0)</f>
        <v>Neurological</v>
      </c>
      <c r="R115" s="3" t="s">
        <v>212</v>
      </c>
      <c r="S115" s="3" t="s">
        <v>48</v>
      </c>
      <c r="T115" s="3" t="s">
        <v>518</v>
      </c>
      <c r="U115" s="3">
        <v>1</v>
      </c>
      <c r="V115" s="3" t="str">
        <f>_xlfn.XLOOKUP(EHR[[#This Row],[Encounter_ID]],'02_Lab_Results'!B:B,'02_Lab_Results'!D:D,,0)</f>
        <v>14627-4</v>
      </c>
      <c r="W115" s="3" t="str">
        <f>_xlfn.XLOOKUP(EHR[[#This Row],[LOINC Code]],'04_LOINC_Reference'!A:A,'04_LOINC_Reference'!F:F,,0)</f>
        <v>Biochemistry</v>
      </c>
      <c r="X115" s="3" t="str">
        <f>_xlfn.XLOOKUP(EHR[[#This Row],[LOINC Code]],'02_Lab_Results'!D:D,'02_Lab_Results'!E:E,,0)</f>
        <v>eGFR (CKD-EPI)</v>
      </c>
      <c r="Y115" s="3" t="str">
        <f>_xlfn.XLOOKUP(EHR[[#This Row],[LOINC Code]],'02_Lab_Results'!D:D,'02_Lab_Results'!J:J,,0)</f>
        <v>High</v>
      </c>
      <c r="Z115" s="3" t="str" cm="1">
        <f t="array" ref="Z115">_xlfn.XLOOKUP(1,(B115=B$2:B$500)*(V$2:V$500="4548-4"),Y$2:Y$500,"Not Tested")</f>
        <v>Not Tested</v>
      </c>
      <c r="AA115" s="3">
        <v>167</v>
      </c>
      <c r="AB115" s="3">
        <v>90</v>
      </c>
      <c r="AC115" s="3" t="str">
        <f>IF(AND(EHR[[#This Row],[BP_Systolic_mmHg]]&lt;140,EHR[[#This Row],[BP_Diastolic_mmHg]]&lt;90),"Controlled",IF(OR(EHR[[#This Row],[BP_Systolic_mmHg]]="Not Recorded",EHR[[#This Row],[BP_Diastolic_mmHg]]="Not Recorded"),"No Reading","Uncontrolled"))</f>
        <v>Uncontrolled</v>
      </c>
      <c r="AD115" s="3" t="str">
        <f>_xlfn.CONCAT(EHR[[#This Row],[BP_Systolic_mmHg]],"/",EHR[[#This Row],[BP_Diastolic_mmHg]])</f>
        <v>167/90</v>
      </c>
      <c r="AE115" s="3">
        <v>100</v>
      </c>
      <c r="AF115" s="3">
        <v>15</v>
      </c>
      <c r="AG115" s="3">
        <v>36.700000000000003</v>
      </c>
      <c r="AH115" s="3">
        <v>43.4</v>
      </c>
      <c r="AI115" s="3" t="str">
        <f>IF(EHR[[#This Row],[BMI_kg_m2]]&gt;=30,"Obese","Non-Obese")</f>
        <v>Obese</v>
      </c>
      <c r="AJ115" s="3">
        <v>91</v>
      </c>
      <c r="AK115" s="3" t="s">
        <v>50</v>
      </c>
      <c r="AL115" s="3" t="s">
        <v>51</v>
      </c>
      <c r="AM115" s="3" t="s">
        <v>52</v>
      </c>
      <c r="AN115" s="3" t="s">
        <v>53</v>
      </c>
      <c r="AO115" s="3" t="s">
        <v>54</v>
      </c>
    </row>
    <row r="116" spans="1:41" x14ac:dyDescent="0.2">
      <c r="A116" s="6" t="s">
        <v>540</v>
      </c>
      <c r="B116" s="2" t="s">
        <v>541</v>
      </c>
      <c r="C116" s="13">
        <v>45295</v>
      </c>
      <c r="D116" s="2" t="s">
        <v>88</v>
      </c>
      <c r="E116" s="2" t="s">
        <v>61</v>
      </c>
      <c r="F116" s="2" t="s">
        <v>38</v>
      </c>
      <c r="G116" s="2" t="s">
        <v>123</v>
      </c>
      <c r="H116" s="13">
        <v>20928</v>
      </c>
      <c r="I116" s="2">
        <v>68</v>
      </c>
      <c r="J116" s="2" t="str" cm="1">
        <f t="array" ref="J11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16" s="2" t="s">
        <v>1572</v>
      </c>
      <c r="L116" s="2" t="s">
        <v>42</v>
      </c>
      <c r="M116" s="2" t="s">
        <v>141</v>
      </c>
      <c r="N116" s="2" t="s">
        <v>1574</v>
      </c>
      <c r="O116" s="2" t="s">
        <v>81</v>
      </c>
      <c r="P116" s="2" t="s">
        <v>67</v>
      </c>
      <c r="Q116" s="2" t="str">
        <f>_xlfn.XLOOKUP(EHR[[#This Row],[Primary_ICD11_Code]],'03_ICD11_Reference'!A:A,'03_ICD11_Reference'!D:D,,0)</f>
        <v>Endocrine</v>
      </c>
      <c r="R116" s="2" t="s">
        <v>68</v>
      </c>
      <c r="S116" s="2" t="s">
        <v>69</v>
      </c>
      <c r="T116" s="2" t="s">
        <v>544</v>
      </c>
      <c r="U116" s="2">
        <v>3</v>
      </c>
      <c r="V116" s="2" t="str">
        <f>_xlfn.XLOOKUP(EHR[[#This Row],[Encounter_ID]],'02_Lab_Results'!B:B,'02_Lab_Results'!D:D,,0)</f>
        <v>789-8</v>
      </c>
      <c r="W116" s="2" t="str">
        <f>_xlfn.XLOOKUP(EHR[[#This Row],[LOINC Code]],'04_LOINC_Reference'!A:A,'04_LOINC_Reference'!F:F,,0)</f>
        <v>Biochemistry</v>
      </c>
      <c r="X116" s="2" t="str">
        <f>_xlfn.XLOOKUP(EHR[[#This Row],[LOINC Code]],'02_Lab_Results'!D:D,'02_Lab_Results'!E:E,,0)</f>
        <v>RBC count</v>
      </c>
      <c r="Y116" s="2" t="str">
        <f>_xlfn.XLOOKUP(EHR[[#This Row],[LOINC Code]],'02_Lab_Results'!D:D,'02_Lab_Results'!J:J,,0)</f>
        <v>High</v>
      </c>
      <c r="Z116" s="2" t="str" cm="1">
        <f t="array" ref="Z116">_xlfn.XLOOKUP(1,(B116=B$2:B$500)*(V$2:V$500="4548-4"),Y$2:Y$500,"Not Tested")</f>
        <v>Not Tested</v>
      </c>
      <c r="AA116" s="2">
        <v>141</v>
      </c>
      <c r="AB116" s="2">
        <v>85</v>
      </c>
      <c r="AC116" s="2" t="str">
        <f>IF(AND(EHR[[#This Row],[BP_Systolic_mmHg]]&lt;140,EHR[[#This Row],[BP_Diastolic_mmHg]]&lt;90),"Controlled",IF(OR(EHR[[#This Row],[BP_Systolic_mmHg]]="Not Recorded",EHR[[#This Row],[BP_Diastolic_mmHg]]="Not Recorded"),"No Reading","Uncontrolled"))</f>
        <v>Uncontrolled</v>
      </c>
      <c r="AD116" s="2" t="str">
        <f>_xlfn.CONCAT(EHR[[#This Row],[BP_Systolic_mmHg]],"/",EHR[[#This Row],[BP_Diastolic_mmHg]])</f>
        <v>141/85</v>
      </c>
      <c r="AE116" s="2">
        <v>57</v>
      </c>
      <c r="AF116" s="2">
        <v>28</v>
      </c>
      <c r="AG116" s="2">
        <v>37.5</v>
      </c>
      <c r="AH116" s="2">
        <v>41.4</v>
      </c>
      <c r="AI116" s="2" t="str">
        <f>IF(EHR[[#This Row],[BMI_kg_m2]]&gt;=30,"Obese","Non-Obese")</f>
        <v>Obese</v>
      </c>
      <c r="AJ116" s="2">
        <v>99</v>
      </c>
      <c r="AK116" s="2" t="s">
        <v>50</v>
      </c>
      <c r="AL116" s="2" t="s">
        <v>51</v>
      </c>
      <c r="AM116" s="2" t="s">
        <v>52</v>
      </c>
      <c r="AN116" s="2" t="s">
        <v>53</v>
      </c>
      <c r="AO116" s="2" t="s">
        <v>54</v>
      </c>
    </row>
    <row r="117" spans="1:41" x14ac:dyDescent="0.2">
      <c r="A117" s="7" t="s">
        <v>540</v>
      </c>
      <c r="B117" s="3" t="s">
        <v>545</v>
      </c>
      <c r="C117" s="14">
        <v>45493</v>
      </c>
      <c r="D117" s="3" t="s">
        <v>95</v>
      </c>
      <c r="E117" s="3" t="s">
        <v>96</v>
      </c>
      <c r="F117" s="3" t="s">
        <v>38</v>
      </c>
      <c r="G117" s="3" t="s">
        <v>76</v>
      </c>
      <c r="H117" s="14">
        <v>20928</v>
      </c>
      <c r="I117" s="3">
        <v>68</v>
      </c>
      <c r="J117" s="3" t="str" cm="1">
        <f t="array" ref="J11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17" s="3" t="s">
        <v>1572</v>
      </c>
      <c r="L117" s="3" t="s">
        <v>140</v>
      </c>
      <c r="M117" s="3" t="s">
        <v>141</v>
      </c>
      <c r="N117" s="3" t="s">
        <v>1574</v>
      </c>
      <c r="O117" s="3" t="s">
        <v>81</v>
      </c>
      <c r="P117" s="3" t="s">
        <v>67</v>
      </c>
      <c r="Q117" s="3" t="str">
        <f>_xlfn.XLOOKUP(EHR[[#This Row],[Primary_ICD11_Code]],'03_ICD11_Reference'!A:A,'03_ICD11_Reference'!D:D,,0)</f>
        <v>Endocrine</v>
      </c>
      <c r="R117" s="3" t="s">
        <v>68</v>
      </c>
      <c r="S117" s="3" t="s">
        <v>69</v>
      </c>
      <c r="T117" s="3" t="s">
        <v>546</v>
      </c>
      <c r="U117" s="3">
        <v>4</v>
      </c>
      <c r="V117" s="3" t="str">
        <f>_xlfn.XLOOKUP(EHR[[#This Row],[Encounter_ID]],'02_Lab_Results'!B:B,'02_Lab_Results'!D:D,,0)</f>
        <v>6768-6</v>
      </c>
      <c r="W117" s="3" t="str">
        <f>_xlfn.XLOOKUP(EHR[[#This Row],[LOINC Code]],'04_LOINC_Reference'!A:A,'04_LOINC_Reference'!F:F,,0)</f>
        <v>Biochemistry</v>
      </c>
      <c r="X117" s="3" t="str">
        <f>_xlfn.XLOOKUP(EHR[[#This Row],[LOINC Code]],'02_Lab_Results'!D:D,'02_Lab_Results'!E:E,,0)</f>
        <v>ALP</v>
      </c>
      <c r="Y117" s="3" t="str">
        <f>_xlfn.XLOOKUP(EHR[[#This Row],[LOINC Code]],'02_Lab_Results'!D:D,'02_Lab_Results'!J:J,,0)</f>
        <v>High</v>
      </c>
      <c r="Z117" s="3" t="str" cm="1">
        <f t="array" ref="Z117">_xlfn.XLOOKUP(1,(B117=B$2:B$500)*(V$2:V$500="4548-4"),Y$2:Y$500,"Not Tested")</f>
        <v>Not Tested</v>
      </c>
      <c r="AA117" s="3">
        <v>179</v>
      </c>
      <c r="AB117" s="3">
        <v>90</v>
      </c>
      <c r="AC117" s="3" t="str">
        <f>IF(AND(EHR[[#This Row],[BP_Systolic_mmHg]]&lt;140,EHR[[#This Row],[BP_Diastolic_mmHg]]&lt;90),"Controlled",IF(OR(EHR[[#This Row],[BP_Systolic_mmHg]]="Not Recorded",EHR[[#This Row],[BP_Diastolic_mmHg]]="Not Recorded"),"No Reading","Uncontrolled"))</f>
        <v>Uncontrolled</v>
      </c>
      <c r="AD117" s="3" t="str">
        <f>_xlfn.CONCAT(EHR[[#This Row],[BP_Systolic_mmHg]],"/",EHR[[#This Row],[BP_Diastolic_mmHg]])</f>
        <v>179/90</v>
      </c>
      <c r="AE117" s="3">
        <v>81</v>
      </c>
      <c r="AF117" s="3">
        <v>14</v>
      </c>
      <c r="AG117" s="3">
        <v>37.1</v>
      </c>
      <c r="AH117" s="3">
        <v>28.3</v>
      </c>
      <c r="AI117" s="3" t="str">
        <f>IF(EHR[[#This Row],[BMI_kg_m2]]&gt;=30,"Obese","Non-Obese")</f>
        <v>Non-Obese</v>
      </c>
      <c r="AJ117" s="3">
        <v>98</v>
      </c>
      <c r="AK117" s="3" t="s">
        <v>50</v>
      </c>
      <c r="AL117" s="3" t="s">
        <v>51</v>
      </c>
      <c r="AM117" s="3" t="s">
        <v>52</v>
      </c>
      <c r="AN117" s="3" t="s">
        <v>53</v>
      </c>
      <c r="AO117" s="3" t="s">
        <v>54</v>
      </c>
    </row>
    <row r="118" spans="1:41" x14ac:dyDescent="0.2">
      <c r="A118" s="6" t="s">
        <v>540</v>
      </c>
      <c r="B118" s="2" t="s">
        <v>547</v>
      </c>
      <c r="C118" s="13">
        <v>45070</v>
      </c>
      <c r="D118" s="2" t="s">
        <v>60</v>
      </c>
      <c r="E118" s="2" t="s">
        <v>96</v>
      </c>
      <c r="F118" s="2" t="s">
        <v>38</v>
      </c>
      <c r="G118" s="2" t="s">
        <v>138</v>
      </c>
      <c r="H118" s="13">
        <v>20928</v>
      </c>
      <c r="I118" s="2">
        <v>68</v>
      </c>
      <c r="J118" s="2" t="str" cm="1">
        <f t="array" ref="J11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18" s="2" t="s">
        <v>1572</v>
      </c>
      <c r="L118" s="2" t="s">
        <v>110</v>
      </c>
      <c r="M118" s="2" t="s">
        <v>141</v>
      </c>
      <c r="N118" s="2" t="s">
        <v>1574</v>
      </c>
      <c r="O118" s="2" t="s">
        <v>81</v>
      </c>
      <c r="P118" s="2" t="s">
        <v>67</v>
      </c>
      <c r="Q118" s="2" t="str">
        <f>_xlfn.XLOOKUP(EHR[[#This Row],[Primary_ICD11_Code]],'03_ICD11_Reference'!A:A,'03_ICD11_Reference'!D:D,,0)</f>
        <v>Endocrine</v>
      </c>
      <c r="R118" s="2" t="s">
        <v>68</v>
      </c>
      <c r="S118" s="2" t="s">
        <v>69</v>
      </c>
      <c r="T118" s="2" t="s">
        <v>144</v>
      </c>
      <c r="U118" s="2">
        <v>1</v>
      </c>
      <c r="V118" s="2" t="str">
        <f>_xlfn.XLOOKUP(EHR[[#This Row],[Encounter_ID]],'02_Lab_Results'!B:B,'02_Lab_Results'!D:D,,0)</f>
        <v>2345-7</v>
      </c>
      <c r="W118" s="2" t="str">
        <f>_xlfn.XLOOKUP(EHR[[#This Row],[LOINC Code]],'04_LOINC_Reference'!A:A,'04_LOINC_Reference'!F:F,,0)</f>
        <v>Biochemistry</v>
      </c>
      <c r="X118" s="2" t="str">
        <f>_xlfn.XLOOKUP(EHR[[#This Row],[LOINC Code]],'02_Lab_Results'!D:D,'02_Lab_Results'!E:E,,0)</f>
        <v>Serum glucose (fasting)</v>
      </c>
      <c r="Y118" s="2" t="str">
        <f>_xlfn.XLOOKUP(EHR[[#This Row],[LOINC Code]],'02_Lab_Results'!D:D,'02_Lab_Results'!J:J,,0)</f>
        <v>Normal</v>
      </c>
      <c r="Z118" s="2" t="str" cm="1">
        <f t="array" ref="Z118">_xlfn.XLOOKUP(1,(B118=B$2:B$500)*(V$2:V$500="4548-4"),Y$2:Y$500,"Not Tested")</f>
        <v>Not Tested</v>
      </c>
      <c r="AA118" s="2">
        <v>160</v>
      </c>
      <c r="AB118" s="2">
        <v>84</v>
      </c>
      <c r="AC118" s="2" t="str">
        <f>IF(AND(EHR[[#This Row],[BP_Systolic_mmHg]]&lt;140,EHR[[#This Row],[BP_Diastolic_mmHg]]&lt;90),"Controlled",IF(OR(EHR[[#This Row],[BP_Systolic_mmHg]]="Not Recorded",EHR[[#This Row],[BP_Diastolic_mmHg]]="Not Recorded"),"No Reading","Uncontrolled"))</f>
        <v>Uncontrolled</v>
      </c>
      <c r="AD118" s="2" t="str">
        <f>_xlfn.CONCAT(EHR[[#This Row],[BP_Systolic_mmHg]],"/",EHR[[#This Row],[BP_Diastolic_mmHg]])</f>
        <v>160/84</v>
      </c>
      <c r="AE118" s="2">
        <v>119</v>
      </c>
      <c r="AF118" s="2">
        <v>21</v>
      </c>
      <c r="AG118" s="2">
        <v>38.1</v>
      </c>
      <c r="AH118" s="2">
        <v>19.2</v>
      </c>
      <c r="AI118" s="2" t="str">
        <f>IF(EHR[[#This Row],[BMI_kg_m2]]&gt;=30,"Obese","Non-Obese")</f>
        <v>Non-Obese</v>
      </c>
      <c r="AJ118" s="2">
        <v>87</v>
      </c>
      <c r="AK118" s="2" t="s">
        <v>50</v>
      </c>
      <c r="AL118" s="2" t="s">
        <v>51</v>
      </c>
      <c r="AM118" s="2" t="s">
        <v>52</v>
      </c>
      <c r="AN118" s="2" t="s">
        <v>53</v>
      </c>
      <c r="AO118" s="2" t="s">
        <v>54</v>
      </c>
    </row>
    <row r="119" spans="1:41" x14ac:dyDescent="0.2">
      <c r="A119" s="7" t="s">
        <v>549</v>
      </c>
      <c r="B119" s="3" t="s">
        <v>550</v>
      </c>
      <c r="C119" s="15">
        <v>45471</v>
      </c>
      <c r="D119" s="3" t="s">
        <v>103</v>
      </c>
      <c r="E119" s="3" t="s">
        <v>61</v>
      </c>
      <c r="F119" s="3" t="s">
        <v>189</v>
      </c>
      <c r="G119" s="3" t="s">
        <v>104</v>
      </c>
      <c r="H119" s="14">
        <v>38824</v>
      </c>
      <c r="I119" s="18">
        <f>(EHR[[#This Row],[Encounter_Date]]-EHR[[#This Row],[Patient_DOB]])/365</f>
        <v>18.210958904109589</v>
      </c>
      <c r="J119" s="18" t="str" cm="1">
        <f t="array" ref="J11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19" s="3" t="s">
        <v>1572</v>
      </c>
      <c r="L119" s="3" t="s">
        <v>66</v>
      </c>
      <c r="M119" s="3" t="s">
        <v>45</v>
      </c>
      <c r="N119" s="3" t="s">
        <v>1574</v>
      </c>
      <c r="O119" s="3" t="s">
        <v>1574</v>
      </c>
      <c r="P119" s="3" t="s">
        <v>82</v>
      </c>
      <c r="Q119" s="3" t="str">
        <f>_xlfn.XLOOKUP(EHR[[#This Row],[Primary_ICD11_Code]],'03_ICD11_Reference'!A:A,'03_ICD11_Reference'!D:D,,0)</f>
        <v>Renal</v>
      </c>
      <c r="R119" s="3" t="s">
        <v>83</v>
      </c>
      <c r="S119" s="3" t="s">
        <v>69</v>
      </c>
      <c r="T119" s="3" t="s">
        <v>553</v>
      </c>
      <c r="U119" s="3">
        <v>4</v>
      </c>
      <c r="V119" s="3" t="str">
        <f>_xlfn.XLOOKUP(EHR[[#This Row],[Encounter_ID]],'02_Lab_Results'!B:B,'02_Lab_Results'!D:D,,0)</f>
        <v>2823-3</v>
      </c>
      <c r="W119" s="3" t="str">
        <f>_xlfn.XLOOKUP(EHR[[#This Row],[LOINC Code]],'04_LOINC_Reference'!A:A,'04_LOINC_Reference'!F:F,,0)</f>
        <v>Biochemistry</v>
      </c>
      <c r="X119" s="3" t="str">
        <f>_xlfn.XLOOKUP(EHR[[#This Row],[LOINC Code]],'02_Lab_Results'!D:D,'02_Lab_Results'!E:E,,0)</f>
        <v>Serum potassium</v>
      </c>
      <c r="Y119" s="3" t="str">
        <f>_xlfn.XLOOKUP(EHR[[#This Row],[LOINC Code]],'02_Lab_Results'!D:D,'02_Lab_Results'!J:J,,0)</f>
        <v>Normal</v>
      </c>
      <c r="Z119" s="3" t="str" cm="1">
        <f t="array" ref="Z119">_xlfn.XLOOKUP(1,(B119=B$2:B$500)*(V$2:V$500="4548-4"),Y$2:Y$500,"Not Tested")</f>
        <v>Not Tested</v>
      </c>
      <c r="AA119" s="4" t="s">
        <v>1570</v>
      </c>
      <c r="AB119" s="4">
        <v>56</v>
      </c>
      <c r="AC119" s="4" t="str">
        <f>IF(AND(EHR[[#This Row],[BP_Systolic_mmHg]]&lt;140,EHR[[#This Row],[BP_Diastolic_mmHg]]&lt;90),"Controlled",IF(OR(EHR[[#This Row],[BP_Systolic_mmHg]]="Not Recorded",EHR[[#This Row],[BP_Diastolic_mmHg]]="Not Recorded"),"No Reading","Uncontrolled"))</f>
        <v>No Reading</v>
      </c>
      <c r="AD119" s="4" t="str">
        <f>_xlfn.CONCAT(EHR[[#This Row],[BP_Systolic_mmHg]],"/",EHR[[#This Row],[BP_Diastolic_mmHg]])</f>
        <v>Not Recorded/56</v>
      </c>
      <c r="AE119" s="3">
        <v>90</v>
      </c>
      <c r="AF119" s="3">
        <v>16</v>
      </c>
      <c r="AG119" s="3">
        <v>39.1</v>
      </c>
      <c r="AH119" s="4">
        <v>18</v>
      </c>
      <c r="AI119" s="4" t="str">
        <f>IF(EHR[[#This Row],[BMI_kg_m2]]&gt;=30,"Obese","Non-Obese")</f>
        <v>Non-Obese</v>
      </c>
      <c r="AJ119" s="3">
        <v>98</v>
      </c>
      <c r="AK119" s="3" t="s">
        <v>50</v>
      </c>
      <c r="AL119" s="3" t="s">
        <v>51</v>
      </c>
      <c r="AM119" s="3" t="s">
        <v>52</v>
      </c>
      <c r="AN119" s="3" t="s">
        <v>53</v>
      </c>
      <c r="AO119" s="3" t="s">
        <v>54</v>
      </c>
    </row>
    <row r="120" spans="1:41" x14ac:dyDescent="0.2">
      <c r="A120" s="6" t="s">
        <v>549</v>
      </c>
      <c r="B120" s="2" t="s">
        <v>554</v>
      </c>
      <c r="C120" s="15">
        <v>45176</v>
      </c>
      <c r="D120" s="2" t="s">
        <v>95</v>
      </c>
      <c r="E120" s="2" t="s">
        <v>96</v>
      </c>
      <c r="F120" s="2" t="s">
        <v>148</v>
      </c>
      <c r="G120" s="2" t="s">
        <v>98</v>
      </c>
      <c r="H120" s="13">
        <v>38824</v>
      </c>
      <c r="I120" s="18">
        <f>(EHR[[#This Row],[Encounter_Date]]-EHR[[#This Row],[Patient_DOB]])/365</f>
        <v>17.402739726027399</v>
      </c>
      <c r="J120" s="18" t="str" cm="1">
        <f t="array" ref="J12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Adolescent</v>
      </c>
      <c r="K120" s="2" t="s">
        <v>1572</v>
      </c>
      <c r="L120" s="2" t="s">
        <v>110</v>
      </c>
      <c r="M120" s="2" t="s">
        <v>45</v>
      </c>
      <c r="N120" s="2" t="s">
        <v>1574</v>
      </c>
      <c r="O120" s="2" t="s">
        <v>1574</v>
      </c>
      <c r="P120" s="2" t="s">
        <v>82</v>
      </c>
      <c r="Q120" s="2" t="str">
        <f>_xlfn.XLOOKUP(EHR[[#This Row],[Primary_ICD11_Code]],'03_ICD11_Reference'!A:A,'03_ICD11_Reference'!D:D,,0)</f>
        <v>Renal</v>
      </c>
      <c r="R120" s="2" t="s">
        <v>83</v>
      </c>
      <c r="S120" s="2" t="s">
        <v>69</v>
      </c>
      <c r="T120" s="2" t="s">
        <v>556</v>
      </c>
      <c r="U120" s="2">
        <v>1</v>
      </c>
      <c r="V120" s="2" t="str">
        <f>_xlfn.XLOOKUP(EHR[[#This Row],[Encounter_ID]],'02_Lab_Results'!B:B,'02_Lab_Results'!D:D,,0)</f>
        <v>2777-1</v>
      </c>
      <c r="W120" s="2" t="str">
        <f>_xlfn.XLOOKUP(EHR[[#This Row],[LOINC Code]],'04_LOINC_Reference'!A:A,'04_LOINC_Reference'!F:F,,0)</f>
        <v>Biochemistry</v>
      </c>
      <c r="X120" s="2" t="str">
        <f>_xlfn.XLOOKUP(EHR[[#This Row],[LOINC Code]],'02_Lab_Results'!D:D,'02_Lab_Results'!E:E,,0)</f>
        <v>Serum phosphate</v>
      </c>
      <c r="Y120" s="2" t="str">
        <f>_xlfn.XLOOKUP(EHR[[#This Row],[LOINC Code]],'02_Lab_Results'!D:D,'02_Lab_Results'!J:J,,0)</f>
        <v>Normal</v>
      </c>
      <c r="Z120" s="2" t="str" cm="1">
        <f t="array" ref="Z120">_xlfn.XLOOKUP(1,(B120=B$2:B$500)*(V$2:V$500="4548-4"),Y$2:Y$500,"Not Tested")</f>
        <v>Not Tested</v>
      </c>
      <c r="AA120" s="4">
        <v>184</v>
      </c>
      <c r="AB120" s="4">
        <v>69</v>
      </c>
      <c r="AC120" s="4" t="str">
        <f>IF(AND(EHR[[#This Row],[BP_Systolic_mmHg]]&lt;140,EHR[[#This Row],[BP_Diastolic_mmHg]]&lt;90),"Controlled",IF(OR(EHR[[#This Row],[BP_Systolic_mmHg]]="Not Recorded",EHR[[#This Row],[BP_Diastolic_mmHg]]="Not Recorded"),"No Reading","Uncontrolled"))</f>
        <v>Uncontrolled</v>
      </c>
      <c r="AD120" s="4" t="str">
        <f>_xlfn.CONCAT(EHR[[#This Row],[BP_Systolic_mmHg]],"/",EHR[[#This Row],[BP_Diastolic_mmHg]])</f>
        <v>184/69</v>
      </c>
      <c r="AE120" s="2">
        <v>101</v>
      </c>
      <c r="AF120" s="2">
        <v>26</v>
      </c>
      <c r="AG120" s="2">
        <v>38.1</v>
      </c>
      <c r="AH120" s="4">
        <v>42</v>
      </c>
      <c r="AI120" s="4" t="str">
        <f>IF(EHR[[#This Row],[BMI_kg_m2]]&gt;=30,"Obese","Non-Obese")</f>
        <v>Obese</v>
      </c>
      <c r="AJ120" s="2">
        <v>97</v>
      </c>
      <c r="AK120" s="2" t="s">
        <v>50</v>
      </c>
      <c r="AL120" s="2" t="s">
        <v>51</v>
      </c>
      <c r="AM120" s="2" t="s">
        <v>52</v>
      </c>
      <c r="AN120" s="2" t="s">
        <v>53</v>
      </c>
      <c r="AO120" s="2" t="s">
        <v>54</v>
      </c>
    </row>
    <row r="121" spans="1:41" x14ac:dyDescent="0.2">
      <c r="A121" s="7" t="s">
        <v>549</v>
      </c>
      <c r="B121" s="3" t="s">
        <v>557</v>
      </c>
      <c r="C121" s="14">
        <v>45266</v>
      </c>
      <c r="D121" s="3" t="s">
        <v>88</v>
      </c>
      <c r="E121" s="3" t="s">
        <v>89</v>
      </c>
      <c r="F121" s="3" t="s">
        <v>75</v>
      </c>
      <c r="G121" s="3" t="s">
        <v>115</v>
      </c>
      <c r="H121" s="14">
        <v>38824</v>
      </c>
      <c r="I121" s="3">
        <v>19</v>
      </c>
      <c r="J121" s="3" t="str" cm="1">
        <f t="array" ref="J12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1" s="3" t="s">
        <v>1572</v>
      </c>
      <c r="L121" s="3" t="s">
        <v>66</v>
      </c>
      <c r="M121" s="3" t="s">
        <v>45</v>
      </c>
      <c r="N121" s="3" t="s">
        <v>1574</v>
      </c>
      <c r="O121" s="3" t="s">
        <v>1574</v>
      </c>
      <c r="P121" s="3" t="s">
        <v>82</v>
      </c>
      <c r="Q121" s="3" t="str">
        <f>_xlfn.XLOOKUP(EHR[[#This Row],[Primary_ICD11_Code]],'03_ICD11_Reference'!A:A,'03_ICD11_Reference'!D:D,,0)</f>
        <v>Renal</v>
      </c>
      <c r="R121" s="3" t="s">
        <v>83</v>
      </c>
      <c r="S121" s="3" t="s">
        <v>69</v>
      </c>
      <c r="T121" s="3" t="s">
        <v>559</v>
      </c>
      <c r="U121" s="3">
        <v>4</v>
      </c>
      <c r="V121" s="3" t="str">
        <f>_xlfn.XLOOKUP(EHR[[#This Row],[Encounter_ID]],'02_Lab_Results'!B:B,'02_Lab_Results'!D:D,,0)</f>
        <v>13457-7</v>
      </c>
      <c r="W121" s="3" t="str">
        <f>_xlfn.XLOOKUP(EHR[[#This Row],[LOINC Code]],'04_LOINC_Reference'!A:A,'04_LOINC_Reference'!F:F,,0)</f>
        <v>Biochemistry</v>
      </c>
      <c r="X121" s="3" t="str">
        <f>_xlfn.XLOOKUP(EHR[[#This Row],[LOINC Code]],'02_Lab_Results'!D:D,'02_Lab_Results'!E:E,,0)</f>
        <v>LDL cholesterol</v>
      </c>
      <c r="Y121" s="3" t="str">
        <f>_xlfn.XLOOKUP(EHR[[#This Row],[LOINC Code]],'02_Lab_Results'!D:D,'02_Lab_Results'!J:J,,0)</f>
        <v>High</v>
      </c>
      <c r="Z121" s="3" t="str" cm="1">
        <f t="array" ref="Z121">_xlfn.XLOOKUP(1,(B121=B$2:B$500)*(V$2:V$500="4548-4"),Y$2:Y$500,"Not Tested")</f>
        <v>Not Tested</v>
      </c>
      <c r="AA121" s="3" t="s">
        <v>1570</v>
      </c>
      <c r="AB121" s="3">
        <v>106</v>
      </c>
      <c r="AC121" s="3" t="str">
        <f>IF(AND(EHR[[#This Row],[BP_Systolic_mmHg]]&lt;140,EHR[[#This Row],[BP_Diastolic_mmHg]]&lt;90),"Controlled",IF(OR(EHR[[#This Row],[BP_Systolic_mmHg]]="Not Recorded",EHR[[#This Row],[BP_Diastolic_mmHg]]="Not Recorded"),"No Reading","Uncontrolled"))</f>
        <v>No Reading</v>
      </c>
      <c r="AD121" s="3" t="str">
        <f>_xlfn.CONCAT(EHR[[#This Row],[BP_Systolic_mmHg]],"/",EHR[[#This Row],[BP_Diastolic_mmHg]])</f>
        <v>Not Recorded/106</v>
      </c>
      <c r="AE121" s="3">
        <v>57</v>
      </c>
      <c r="AF121" s="3">
        <v>20</v>
      </c>
      <c r="AG121" s="3">
        <v>36.1</v>
      </c>
      <c r="AH121" s="3">
        <v>23.5</v>
      </c>
      <c r="AI121" s="3" t="str">
        <f>IF(EHR[[#This Row],[BMI_kg_m2]]&gt;=30,"Obese","Non-Obese")</f>
        <v>Non-Obese</v>
      </c>
      <c r="AJ121" s="3">
        <v>98</v>
      </c>
      <c r="AK121" s="3" t="s">
        <v>50</v>
      </c>
      <c r="AL121" s="3" t="s">
        <v>51</v>
      </c>
      <c r="AM121" s="3" t="s">
        <v>52</v>
      </c>
      <c r="AN121" s="3" t="s">
        <v>53</v>
      </c>
      <c r="AO121" s="3" t="s">
        <v>54</v>
      </c>
    </row>
    <row r="122" spans="1:41" x14ac:dyDescent="0.2">
      <c r="A122" s="6" t="s">
        <v>560</v>
      </c>
      <c r="B122" s="2" t="s">
        <v>561</v>
      </c>
      <c r="C122" s="13">
        <v>45070</v>
      </c>
      <c r="D122" s="2" t="s">
        <v>88</v>
      </c>
      <c r="E122" s="2" t="s">
        <v>89</v>
      </c>
      <c r="F122" s="2" t="s">
        <v>97</v>
      </c>
      <c r="G122" s="2" t="s">
        <v>39</v>
      </c>
      <c r="H122" s="13">
        <v>35921</v>
      </c>
      <c r="I122" s="2">
        <v>27</v>
      </c>
      <c r="J122" s="2" t="str" cm="1">
        <f t="array" ref="J12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2" s="2" t="s">
        <v>1573</v>
      </c>
      <c r="L122" s="2" t="s">
        <v>66</v>
      </c>
      <c r="M122" s="2" t="s">
        <v>141</v>
      </c>
      <c r="N122" s="2" t="s">
        <v>125</v>
      </c>
      <c r="O122" s="2" t="s">
        <v>1574</v>
      </c>
      <c r="P122" s="2" t="s">
        <v>46</v>
      </c>
      <c r="Q122" s="2" t="str">
        <f>_xlfn.XLOOKUP(EHR[[#This Row],[Primary_ICD11_Code]],'03_ICD11_Reference'!A:A,'03_ICD11_Reference'!D:D,,0)</f>
        <v>Haematological</v>
      </c>
      <c r="R122" s="2" t="s">
        <v>47</v>
      </c>
      <c r="S122" s="2" t="s">
        <v>48</v>
      </c>
      <c r="T122" s="2" t="s">
        <v>460</v>
      </c>
      <c r="U122" s="2">
        <v>1</v>
      </c>
      <c r="V122" s="2" t="str">
        <f>_xlfn.XLOOKUP(EHR[[#This Row],[Encounter_ID]],'02_Lab_Results'!B:B,'02_Lab_Results'!D:D,,0)</f>
        <v>2093-3</v>
      </c>
      <c r="W122" s="2" t="str">
        <f>_xlfn.XLOOKUP(EHR[[#This Row],[LOINC Code]],'04_LOINC_Reference'!A:A,'04_LOINC_Reference'!F:F,,0)</f>
        <v>Biochemistry</v>
      </c>
      <c r="X122" s="2" t="str">
        <f>_xlfn.XLOOKUP(EHR[[#This Row],[LOINC Code]],'02_Lab_Results'!D:D,'02_Lab_Results'!E:E,,0)</f>
        <v>Total cholesterol</v>
      </c>
      <c r="Y122" s="2" t="str">
        <f>_xlfn.XLOOKUP(EHR[[#This Row],[LOINC Code]],'02_Lab_Results'!D:D,'02_Lab_Results'!J:J,,0)</f>
        <v>Normal</v>
      </c>
      <c r="Z122" s="2" t="str" cm="1">
        <f t="array" ref="Z122">_xlfn.XLOOKUP(1,(B122=B$2:B$500)*(V$2:V$500="4548-4"),Y$2:Y$500,"Not Tested")</f>
        <v>Not Tested</v>
      </c>
      <c r="AA122" s="2">
        <v>166</v>
      </c>
      <c r="AB122" s="2">
        <v>96</v>
      </c>
      <c r="AC122" s="2" t="str">
        <f>IF(AND(EHR[[#This Row],[BP_Systolic_mmHg]]&lt;140,EHR[[#This Row],[BP_Diastolic_mmHg]]&lt;90),"Controlled",IF(OR(EHR[[#This Row],[BP_Systolic_mmHg]]="Not Recorded",EHR[[#This Row],[BP_Diastolic_mmHg]]="Not Recorded"),"No Reading","Uncontrolled"))</f>
        <v>Uncontrolled</v>
      </c>
      <c r="AD122" s="2" t="str">
        <f>_xlfn.CONCAT(EHR[[#This Row],[BP_Systolic_mmHg]],"/",EHR[[#This Row],[BP_Diastolic_mmHg]])</f>
        <v>166/96</v>
      </c>
      <c r="AE122" s="2">
        <v>56</v>
      </c>
      <c r="AF122" s="2">
        <v>24</v>
      </c>
      <c r="AG122" s="2">
        <v>37.1</v>
      </c>
      <c r="AH122" s="2">
        <v>20.3</v>
      </c>
      <c r="AI122" s="2" t="str">
        <f>IF(EHR[[#This Row],[BMI_kg_m2]]&gt;=30,"Obese","Non-Obese")</f>
        <v>Non-Obese</v>
      </c>
      <c r="AJ122" s="2">
        <v>90</v>
      </c>
      <c r="AK122" s="2" t="s">
        <v>50</v>
      </c>
      <c r="AL122" s="2" t="s">
        <v>51</v>
      </c>
      <c r="AM122" s="2" t="s">
        <v>52</v>
      </c>
      <c r="AN122" s="2" t="s">
        <v>53</v>
      </c>
      <c r="AO122" s="2" t="s">
        <v>54</v>
      </c>
    </row>
    <row r="123" spans="1:41" x14ac:dyDescent="0.2">
      <c r="A123" s="7" t="s">
        <v>560</v>
      </c>
      <c r="B123" s="3" t="s">
        <v>563</v>
      </c>
      <c r="C123" s="14">
        <v>45261</v>
      </c>
      <c r="D123" s="3" t="s">
        <v>60</v>
      </c>
      <c r="E123" s="3" t="s">
        <v>167</v>
      </c>
      <c r="F123" s="3" t="s">
        <v>38</v>
      </c>
      <c r="G123" s="3" t="s">
        <v>39</v>
      </c>
      <c r="H123" s="14">
        <v>35921</v>
      </c>
      <c r="I123" s="3">
        <v>27</v>
      </c>
      <c r="J123" s="3" t="str" cm="1">
        <f t="array" ref="J12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3" s="3" t="s">
        <v>1573</v>
      </c>
      <c r="L123" s="3" t="s">
        <v>116</v>
      </c>
      <c r="M123" s="3" t="s">
        <v>141</v>
      </c>
      <c r="N123" s="3" t="s">
        <v>125</v>
      </c>
      <c r="O123" s="3" t="s">
        <v>1574</v>
      </c>
      <c r="P123" s="3" t="s">
        <v>46</v>
      </c>
      <c r="Q123" s="3" t="str">
        <f>_xlfn.XLOOKUP(EHR[[#This Row],[Primary_ICD11_Code]],'03_ICD11_Reference'!A:A,'03_ICD11_Reference'!D:D,,0)</f>
        <v>Haematological</v>
      </c>
      <c r="R123" s="3" t="s">
        <v>47</v>
      </c>
      <c r="S123" s="3" t="s">
        <v>48</v>
      </c>
      <c r="T123" s="3" t="s">
        <v>565</v>
      </c>
      <c r="U123" s="3">
        <v>4</v>
      </c>
      <c r="V123" s="3" t="str">
        <f>_xlfn.XLOOKUP(EHR[[#This Row],[Encounter_ID]],'02_Lab_Results'!B:B,'02_Lab_Results'!D:D,,0)</f>
        <v>2085-9</v>
      </c>
      <c r="W123" s="3" t="str">
        <f>_xlfn.XLOOKUP(EHR[[#This Row],[LOINC Code]],'04_LOINC_Reference'!A:A,'04_LOINC_Reference'!F:F,,0)</f>
        <v>Biochemistry</v>
      </c>
      <c r="X123" s="3" t="str">
        <f>_xlfn.XLOOKUP(EHR[[#This Row],[LOINC Code]],'02_Lab_Results'!D:D,'02_Lab_Results'!E:E,,0)</f>
        <v>HDL cholesterol</v>
      </c>
      <c r="Y123" s="3" t="str">
        <f>_xlfn.XLOOKUP(EHR[[#This Row],[LOINC Code]],'02_Lab_Results'!D:D,'02_Lab_Results'!J:J,,0)</f>
        <v>Normal</v>
      </c>
      <c r="Z123" s="3" t="str" cm="1">
        <f t="array" ref="Z123">_xlfn.XLOOKUP(1,(B123=B$2:B$500)*(V$2:V$500="4548-4"),Y$2:Y$500,"Not Tested")</f>
        <v>Not Tested</v>
      </c>
      <c r="AA123" s="3">
        <v>98</v>
      </c>
      <c r="AB123" s="3">
        <v>71</v>
      </c>
      <c r="AC123" s="3" t="str">
        <f>IF(AND(EHR[[#This Row],[BP_Systolic_mmHg]]&lt;140,EHR[[#This Row],[BP_Diastolic_mmHg]]&lt;90),"Controlled",IF(OR(EHR[[#This Row],[BP_Systolic_mmHg]]="Not Recorded",EHR[[#This Row],[BP_Diastolic_mmHg]]="Not Recorded"),"No Reading","Uncontrolled"))</f>
        <v>Controlled</v>
      </c>
      <c r="AD123" s="3" t="str">
        <f>_xlfn.CONCAT(EHR[[#This Row],[BP_Systolic_mmHg]],"/",EHR[[#This Row],[BP_Diastolic_mmHg]])</f>
        <v>98/71</v>
      </c>
      <c r="AE123" s="3">
        <v>124</v>
      </c>
      <c r="AF123" s="3">
        <v>20</v>
      </c>
      <c r="AG123" s="3">
        <v>37.1</v>
      </c>
      <c r="AH123" s="3">
        <v>44.3</v>
      </c>
      <c r="AI123" s="3" t="str">
        <f>IF(EHR[[#This Row],[BMI_kg_m2]]&gt;=30,"Obese","Non-Obese")</f>
        <v>Obese</v>
      </c>
      <c r="AJ123" s="3">
        <v>93</v>
      </c>
      <c r="AK123" s="3" t="s">
        <v>50</v>
      </c>
      <c r="AL123" s="3" t="s">
        <v>51</v>
      </c>
      <c r="AM123" s="3" t="s">
        <v>52</v>
      </c>
      <c r="AN123" s="3" t="s">
        <v>53</v>
      </c>
      <c r="AO123" s="3" t="s">
        <v>54</v>
      </c>
    </row>
    <row r="124" spans="1:41" x14ac:dyDescent="0.2">
      <c r="A124" s="6" t="s">
        <v>560</v>
      </c>
      <c r="B124" s="2" t="s">
        <v>566</v>
      </c>
      <c r="C124" s="13">
        <v>45729</v>
      </c>
      <c r="D124" s="2" t="s">
        <v>103</v>
      </c>
      <c r="E124" s="2" t="s">
        <v>96</v>
      </c>
      <c r="F124" s="2" t="s">
        <v>219</v>
      </c>
      <c r="G124" s="2" t="s">
        <v>39</v>
      </c>
      <c r="H124" s="13">
        <v>35921</v>
      </c>
      <c r="I124" s="2">
        <v>27</v>
      </c>
      <c r="J124" s="2" t="str" cm="1">
        <f t="array" ref="J12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4" s="2" t="s">
        <v>1573</v>
      </c>
      <c r="L124" s="2" t="s">
        <v>110</v>
      </c>
      <c r="M124" s="2" t="s">
        <v>141</v>
      </c>
      <c r="N124" s="2" t="s">
        <v>125</v>
      </c>
      <c r="O124" s="2" t="s">
        <v>1574</v>
      </c>
      <c r="P124" s="2" t="s">
        <v>46</v>
      </c>
      <c r="Q124" s="2" t="str">
        <f>_xlfn.XLOOKUP(EHR[[#This Row],[Primary_ICD11_Code]],'03_ICD11_Reference'!A:A,'03_ICD11_Reference'!D:D,,0)</f>
        <v>Haematological</v>
      </c>
      <c r="R124" s="2" t="s">
        <v>47</v>
      </c>
      <c r="S124" s="2" t="s">
        <v>48</v>
      </c>
      <c r="T124" s="2" t="s">
        <v>567</v>
      </c>
      <c r="U124" s="2">
        <v>3</v>
      </c>
      <c r="V124" s="2" t="str">
        <f>_xlfn.XLOOKUP(EHR[[#This Row],[Encounter_ID]],'02_Lab_Results'!B:B,'02_Lab_Results'!D:D,,0)</f>
        <v>2823-3</v>
      </c>
      <c r="W124" s="2" t="str">
        <f>_xlfn.XLOOKUP(EHR[[#This Row],[LOINC Code]],'04_LOINC_Reference'!A:A,'04_LOINC_Reference'!F:F,,0)</f>
        <v>Biochemistry</v>
      </c>
      <c r="X124" s="2" t="str">
        <f>_xlfn.XLOOKUP(EHR[[#This Row],[LOINC Code]],'02_Lab_Results'!D:D,'02_Lab_Results'!E:E,,0)</f>
        <v>Serum potassium</v>
      </c>
      <c r="Y124" s="2" t="str">
        <f>_xlfn.XLOOKUP(EHR[[#This Row],[LOINC Code]],'02_Lab_Results'!D:D,'02_Lab_Results'!J:J,,0)</f>
        <v>Normal</v>
      </c>
      <c r="Z124" s="2" t="str" cm="1">
        <f t="array" ref="Z124">_xlfn.XLOOKUP(1,(B124=B$2:B$500)*(V$2:V$500="4548-4"),Y$2:Y$500,"Not Tested")</f>
        <v>Not Tested</v>
      </c>
      <c r="AA124" s="2">
        <v>152</v>
      </c>
      <c r="AB124" s="2">
        <v>99</v>
      </c>
      <c r="AC124" s="2" t="str">
        <f>IF(AND(EHR[[#This Row],[BP_Systolic_mmHg]]&lt;140,EHR[[#This Row],[BP_Diastolic_mmHg]]&lt;90),"Controlled",IF(OR(EHR[[#This Row],[BP_Systolic_mmHg]]="Not Recorded",EHR[[#This Row],[BP_Diastolic_mmHg]]="Not Recorded"),"No Reading","Uncontrolled"))</f>
        <v>Uncontrolled</v>
      </c>
      <c r="AD124" s="2" t="str">
        <f>_xlfn.CONCAT(EHR[[#This Row],[BP_Systolic_mmHg]],"/",EHR[[#This Row],[BP_Diastolic_mmHg]])</f>
        <v>152/99</v>
      </c>
      <c r="AE124" s="2">
        <v>74</v>
      </c>
      <c r="AF124" s="2">
        <v>14</v>
      </c>
      <c r="AG124" s="2">
        <v>36</v>
      </c>
      <c r="AH124" s="2">
        <v>26.3</v>
      </c>
      <c r="AI124" s="2" t="str">
        <f>IF(EHR[[#This Row],[BMI_kg_m2]]&gt;=30,"Obese","Non-Obese")</f>
        <v>Non-Obese</v>
      </c>
      <c r="AJ124" s="2">
        <v>92</v>
      </c>
      <c r="AK124" s="2" t="s">
        <v>50</v>
      </c>
      <c r="AL124" s="2" t="s">
        <v>51</v>
      </c>
      <c r="AM124" s="2" t="s">
        <v>52</v>
      </c>
      <c r="AN124" s="2" t="s">
        <v>53</v>
      </c>
      <c r="AO124" s="2" t="s">
        <v>54</v>
      </c>
    </row>
    <row r="125" spans="1:41" x14ac:dyDescent="0.2">
      <c r="A125" s="7" t="s">
        <v>568</v>
      </c>
      <c r="B125" s="3" t="s">
        <v>569</v>
      </c>
      <c r="C125" s="14">
        <v>45324</v>
      </c>
      <c r="D125" s="3" t="s">
        <v>36</v>
      </c>
      <c r="E125" s="3" t="s">
        <v>167</v>
      </c>
      <c r="F125" s="3" t="s">
        <v>219</v>
      </c>
      <c r="G125" s="3" t="s">
        <v>115</v>
      </c>
      <c r="H125" s="14">
        <v>35234</v>
      </c>
      <c r="I125" s="3">
        <v>29</v>
      </c>
      <c r="J125" s="3" t="str" cm="1">
        <f t="array" ref="J12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5" s="3" t="s">
        <v>1572</v>
      </c>
      <c r="L125" s="3" t="s">
        <v>110</v>
      </c>
      <c r="M125" s="3" t="s">
        <v>79</v>
      </c>
      <c r="N125" s="3" t="s">
        <v>1574</v>
      </c>
      <c r="O125" s="3" t="s">
        <v>45</v>
      </c>
      <c r="P125" s="3" t="s">
        <v>195</v>
      </c>
      <c r="Q125" s="3" t="str">
        <f>_xlfn.XLOOKUP(EHR[[#This Row],[Primary_ICD11_Code]],'03_ICD11_Reference'!A:A,'03_ICD11_Reference'!D:D,,0)</f>
        <v>Respiratory</v>
      </c>
      <c r="R125" s="3" t="s">
        <v>196</v>
      </c>
      <c r="S125" s="3" t="s">
        <v>69</v>
      </c>
      <c r="T125" s="3" t="s">
        <v>572</v>
      </c>
      <c r="U125" s="3">
        <v>2</v>
      </c>
      <c r="V125" s="3" t="str">
        <f>_xlfn.XLOOKUP(EHR[[#This Row],[Encounter_ID]],'02_Lab_Results'!B:B,'02_Lab_Results'!D:D,,0)</f>
        <v>789-8</v>
      </c>
      <c r="W125" s="3" t="str">
        <f>_xlfn.XLOOKUP(EHR[[#This Row],[LOINC Code]],'04_LOINC_Reference'!A:A,'04_LOINC_Reference'!F:F,,0)</f>
        <v>Biochemistry</v>
      </c>
      <c r="X125" s="3" t="str">
        <f>_xlfn.XLOOKUP(EHR[[#This Row],[LOINC Code]],'02_Lab_Results'!D:D,'02_Lab_Results'!E:E,,0)</f>
        <v>RBC count</v>
      </c>
      <c r="Y125" s="3" t="str">
        <f>_xlfn.XLOOKUP(EHR[[#This Row],[LOINC Code]],'02_Lab_Results'!D:D,'02_Lab_Results'!J:J,,0)</f>
        <v>High</v>
      </c>
      <c r="Z125" s="3" t="str" cm="1">
        <f t="array" ref="Z125">_xlfn.XLOOKUP(1,(B125=B$2:B$500)*(V$2:V$500="4548-4"),Y$2:Y$500,"Not Tested")</f>
        <v>Not Tested</v>
      </c>
      <c r="AA125" s="3">
        <v>165</v>
      </c>
      <c r="AB125" s="3">
        <v>98</v>
      </c>
      <c r="AC125" s="3" t="str">
        <f>IF(AND(EHR[[#This Row],[BP_Systolic_mmHg]]&lt;140,EHR[[#This Row],[BP_Diastolic_mmHg]]&lt;90),"Controlled",IF(OR(EHR[[#This Row],[BP_Systolic_mmHg]]="Not Recorded",EHR[[#This Row],[BP_Diastolic_mmHg]]="Not Recorded"),"No Reading","Uncontrolled"))</f>
        <v>Uncontrolled</v>
      </c>
      <c r="AD125" s="3" t="str">
        <f>_xlfn.CONCAT(EHR[[#This Row],[BP_Systolic_mmHg]],"/",EHR[[#This Row],[BP_Diastolic_mmHg]])</f>
        <v>165/98</v>
      </c>
      <c r="AE125" s="3">
        <v>92</v>
      </c>
      <c r="AF125" s="3">
        <v>28</v>
      </c>
      <c r="AG125" s="3">
        <v>36.799999999999997</v>
      </c>
      <c r="AH125" s="3">
        <v>32.4</v>
      </c>
      <c r="AI125" s="3" t="str">
        <f>IF(EHR[[#This Row],[BMI_kg_m2]]&gt;=30,"Obese","Non-Obese")</f>
        <v>Obese</v>
      </c>
      <c r="AJ125" s="3">
        <v>96</v>
      </c>
      <c r="AK125" s="3" t="s">
        <v>50</v>
      </c>
      <c r="AL125" s="3" t="s">
        <v>51</v>
      </c>
      <c r="AM125" s="3" t="s">
        <v>52</v>
      </c>
      <c r="AN125" s="3" t="s">
        <v>53</v>
      </c>
      <c r="AO125" s="3" t="s">
        <v>54</v>
      </c>
    </row>
    <row r="126" spans="1:41" x14ac:dyDescent="0.2">
      <c r="A126" s="6" t="s">
        <v>568</v>
      </c>
      <c r="B126" s="2" t="s">
        <v>573</v>
      </c>
      <c r="C126" s="13">
        <v>45098</v>
      </c>
      <c r="D126" s="2" t="s">
        <v>103</v>
      </c>
      <c r="E126" s="2" t="s">
        <v>167</v>
      </c>
      <c r="F126" s="2" t="s">
        <v>75</v>
      </c>
      <c r="G126" s="2" t="s">
        <v>39</v>
      </c>
      <c r="H126" s="13">
        <v>35234</v>
      </c>
      <c r="I126" s="2">
        <v>29</v>
      </c>
      <c r="J126" s="2" t="str" cm="1">
        <f t="array" ref="J12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6" s="2" t="s">
        <v>1572</v>
      </c>
      <c r="L126" s="2" t="s">
        <v>42</v>
      </c>
      <c r="M126" s="2" t="s">
        <v>79</v>
      </c>
      <c r="N126" s="2" t="s">
        <v>1574</v>
      </c>
      <c r="O126" s="2" t="s">
        <v>45</v>
      </c>
      <c r="P126" s="2" t="s">
        <v>195</v>
      </c>
      <c r="Q126" s="2" t="str">
        <f>_xlfn.XLOOKUP(EHR[[#This Row],[Primary_ICD11_Code]],'03_ICD11_Reference'!A:A,'03_ICD11_Reference'!D:D,,0)</f>
        <v>Respiratory</v>
      </c>
      <c r="R126" s="2" t="s">
        <v>196</v>
      </c>
      <c r="S126" s="2" t="s">
        <v>69</v>
      </c>
      <c r="T126" s="2" t="s">
        <v>575</v>
      </c>
      <c r="U126" s="2">
        <v>2</v>
      </c>
      <c r="V126" s="2" t="str">
        <f>_xlfn.XLOOKUP(EHR[[#This Row],[Encounter_ID]],'02_Lab_Results'!B:B,'02_Lab_Results'!D:D,,0)</f>
        <v>14627-4</v>
      </c>
      <c r="W126" s="2" t="str">
        <f>_xlfn.XLOOKUP(EHR[[#This Row],[LOINC Code]],'04_LOINC_Reference'!A:A,'04_LOINC_Reference'!F:F,,0)</f>
        <v>Biochemistry</v>
      </c>
      <c r="X126" s="2" t="str">
        <f>_xlfn.XLOOKUP(EHR[[#This Row],[LOINC Code]],'02_Lab_Results'!D:D,'02_Lab_Results'!E:E,,0)</f>
        <v>eGFR (CKD-EPI)</v>
      </c>
      <c r="Y126" s="2" t="str">
        <f>_xlfn.XLOOKUP(EHR[[#This Row],[LOINC Code]],'02_Lab_Results'!D:D,'02_Lab_Results'!J:J,,0)</f>
        <v>High</v>
      </c>
      <c r="Z126" s="2" t="str" cm="1">
        <f t="array" ref="Z126">_xlfn.XLOOKUP(1,(B126=B$2:B$500)*(V$2:V$500="4548-4"),Y$2:Y$500,"Not Tested")</f>
        <v>Not Tested</v>
      </c>
      <c r="AA126" s="2">
        <v>134</v>
      </c>
      <c r="AB126" s="2">
        <v>80</v>
      </c>
      <c r="AC126" s="2" t="str">
        <f>IF(AND(EHR[[#This Row],[BP_Systolic_mmHg]]&lt;140,EHR[[#This Row],[BP_Diastolic_mmHg]]&lt;90),"Controlled",IF(OR(EHR[[#This Row],[BP_Systolic_mmHg]]="Not Recorded",EHR[[#This Row],[BP_Diastolic_mmHg]]="Not Recorded"),"No Reading","Uncontrolled"))</f>
        <v>Controlled</v>
      </c>
      <c r="AD126" s="2" t="str">
        <f>_xlfn.CONCAT(EHR[[#This Row],[BP_Systolic_mmHg]],"/",EHR[[#This Row],[BP_Diastolic_mmHg]])</f>
        <v>134/80</v>
      </c>
      <c r="AE126" s="2">
        <v>86</v>
      </c>
      <c r="AF126" s="2">
        <v>13</v>
      </c>
      <c r="AG126" s="2">
        <v>36.799999999999997</v>
      </c>
      <c r="AH126" s="2">
        <v>24.5</v>
      </c>
      <c r="AI126" s="2" t="str">
        <f>IF(EHR[[#This Row],[BMI_kg_m2]]&gt;=30,"Obese","Non-Obese")</f>
        <v>Non-Obese</v>
      </c>
      <c r="AJ126" s="2">
        <v>95</v>
      </c>
      <c r="AK126" s="2" t="s">
        <v>50</v>
      </c>
      <c r="AL126" s="2" t="s">
        <v>51</v>
      </c>
      <c r="AM126" s="2" t="s">
        <v>52</v>
      </c>
      <c r="AN126" s="2" t="s">
        <v>53</v>
      </c>
      <c r="AO126" s="2" t="s">
        <v>54</v>
      </c>
    </row>
    <row r="127" spans="1:41" x14ac:dyDescent="0.2">
      <c r="A127" s="7" t="s">
        <v>568</v>
      </c>
      <c r="B127" s="3" t="s">
        <v>576</v>
      </c>
      <c r="C127" s="14">
        <v>45562</v>
      </c>
      <c r="D127" s="3" t="s">
        <v>36</v>
      </c>
      <c r="E127" s="3" t="s">
        <v>61</v>
      </c>
      <c r="F127" s="3" t="s">
        <v>132</v>
      </c>
      <c r="G127" s="3" t="s">
        <v>76</v>
      </c>
      <c r="H127" s="14">
        <v>35234</v>
      </c>
      <c r="I127" s="3">
        <v>29</v>
      </c>
      <c r="J127" s="3" t="str" cm="1">
        <f t="array" ref="J12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7" s="3" t="s">
        <v>1572</v>
      </c>
      <c r="L127" s="3" t="s">
        <v>42</v>
      </c>
      <c r="M127" s="3" t="s">
        <v>79</v>
      </c>
      <c r="N127" s="3" t="s">
        <v>1574</v>
      </c>
      <c r="O127" s="3" t="s">
        <v>45</v>
      </c>
      <c r="P127" s="3" t="s">
        <v>195</v>
      </c>
      <c r="Q127" s="3" t="str">
        <f>_xlfn.XLOOKUP(EHR[[#This Row],[Primary_ICD11_Code]],'03_ICD11_Reference'!A:A,'03_ICD11_Reference'!D:D,,0)</f>
        <v>Respiratory</v>
      </c>
      <c r="R127" s="3" t="s">
        <v>196</v>
      </c>
      <c r="S127" s="3" t="s">
        <v>69</v>
      </c>
      <c r="T127" s="3" t="s">
        <v>578</v>
      </c>
      <c r="U127" s="3">
        <v>3</v>
      </c>
      <c r="V127" s="3" t="str">
        <f>_xlfn.XLOOKUP(EHR[[#This Row],[Encounter_ID]],'02_Lab_Results'!B:B,'02_Lab_Results'!D:D,,0)</f>
        <v>17861-6</v>
      </c>
      <c r="W127" s="3" t="str">
        <f>_xlfn.XLOOKUP(EHR[[#This Row],[LOINC Code]],'04_LOINC_Reference'!A:A,'04_LOINC_Reference'!F:F,,0)</f>
        <v>Biochemistry</v>
      </c>
      <c r="X127" s="3" t="str">
        <f>_xlfn.XLOOKUP(EHR[[#This Row],[LOINC Code]],'02_Lab_Results'!D:D,'02_Lab_Results'!E:E,,0)</f>
        <v>Serum calcium</v>
      </c>
      <c r="Y127" s="3" t="str">
        <f>_xlfn.XLOOKUP(EHR[[#This Row],[LOINC Code]],'02_Lab_Results'!D:D,'02_Lab_Results'!J:J,,0)</f>
        <v>High</v>
      </c>
      <c r="Z127" s="3" t="str" cm="1">
        <f t="array" ref="Z127">_xlfn.XLOOKUP(1,(B127=B$2:B$500)*(V$2:V$500="4548-4"),Y$2:Y$500,"Not Tested")</f>
        <v>Not Tested</v>
      </c>
      <c r="AA127" s="3">
        <v>129</v>
      </c>
      <c r="AB127" s="3">
        <v>107</v>
      </c>
      <c r="AC127" s="3" t="str">
        <f>IF(AND(EHR[[#This Row],[BP_Systolic_mmHg]]&lt;140,EHR[[#This Row],[BP_Diastolic_mmHg]]&lt;90),"Controlled",IF(OR(EHR[[#This Row],[BP_Systolic_mmHg]]="Not Recorded",EHR[[#This Row],[BP_Diastolic_mmHg]]="Not Recorded"),"No Reading","Uncontrolled"))</f>
        <v>Uncontrolled</v>
      </c>
      <c r="AD127" s="3" t="str">
        <f>_xlfn.CONCAT(EHR[[#This Row],[BP_Systolic_mmHg]],"/",EHR[[#This Row],[BP_Diastolic_mmHg]])</f>
        <v>129/107</v>
      </c>
      <c r="AE127" s="3">
        <v>83</v>
      </c>
      <c r="AF127" s="3">
        <v>19</v>
      </c>
      <c r="AG127" s="3">
        <v>38.6</v>
      </c>
      <c r="AH127" s="3">
        <v>36.1</v>
      </c>
      <c r="AI127" s="3" t="str">
        <f>IF(EHR[[#This Row],[BMI_kg_m2]]&gt;=30,"Obese","Non-Obese")</f>
        <v>Obese</v>
      </c>
      <c r="AJ127" s="3">
        <v>95</v>
      </c>
      <c r="AK127" s="3" t="s">
        <v>50</v>
      </c>
      <c r="AL127" s="3" t="s">
        <v>51</v>
      </c>
      <c r="AM127" s="3" t="s">
        <v>52</v>
      </c>
      <c r="AN127" s="3" t="s">
        <v>53</v>
      </c>
      <c r="AO127" s="3" t="s">
        <v>54</v>
      </c>
    </row>
    <row r="128" spans="1:41" x14ac:dyDescent="0.2">
      <c r="A128" s="6" t="s">
        <v>568</v>
      </c>
      <c r="B128" s="2" t="s">
        <v>579</v>
      </c>
      <c r="C128" s="13">
        <v>45679</v>
      </c>
      <c r="D128" s="2" t="s">
        <v>103</v>
      </c>
      <c r="E128" s="2" t="s">
        <v>89</v>
      </c>
      <c r="F128" s="2" t="s">
        <v>148</v>
      </c>
      <c r="G128" s="2" t="s">
        <v>115</v>
      </c>
      <c r="H128" s="13">
        <v>35234</v>
      </c>
      <c r="I128" s="2">
        <v>29</v>
      </c>
      <c r="J128" s="2" t="str" cm="1">
        <f t="array" ref="J12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8" s="2" t="s">
        <v>1572</v>
      </c>
      <c r="L128" s="2" t="s">
        <v>116</v>
      </c>
      <c r="M128" s="2" t="s">
        <v>79</v>
      </c>
      <c r="N128" s="2" t="s">
        <v>1574</v>
      </c>
      <c r="O128" s="2" t="s">
        <v>45</v>
      </c>
      <c r="P128" s="2" t="s">
        <v>195</v>
      </c>
      <c r="Q128" s="2" t="str">
        <f>_xlfn.XLOOKUP(EHR[[#This Row],[Primary_ICD11_Code]],'03_ICD11_Reference'!A:A,'03_ICD11_Reference'!D:D,,0)</f>
        <v>Respiratory</v>
      </c>
      <c r="R128" s="2" t="s">
        <v>196</v>
      </c>
      <c r="S128" s="2" t="s">
        <v>69</v>
      </c>
      <c r="T128" s="2" t="s">
        <v>393</v>
      </c>
      <c r="U128" s="2">
        <v>1</v>
      </c>
      <c r="V128" s="2" t="str">
        <f>_xlfn.XLOOKUP(EHR[[#This Row],[Encounter_ID]],'02_Lab_Results'!B:B,'02_Lab_Results'!D:D,,0)</f>
        <v>6768-6</v>
      </c>
      <c r="W128" s="2" t="str">
        <f>_xlfn.XLOOKUP(EHR[[#This Row],[LOINC Code]],'04_LOINC_Reference'!A:A,'04_LOINC_Reference'!F:F,,0)</f>
        <v>Biochemistry</v>
      </c>
      <c r="X128" s="2" t="str">
        <f>_xlfn.XLOOKUP(EHR[[#This Row],[LOINC Code]],'02_Lab_Results'!D:D,'02_Lab_Results'!E:E,,0)</f>
        <v>ALP</v>
      </c>
      <c r="Y128" s="2" t="str">
        <f>_xlfn.XLOOKUP(EHR[[#This Row],[LOINC Code]],'02_Lab_Results'!D:D,'02_Lab_Results'!J:J,,0)</f>
        <v>High</v>
      </c>
      <c r="Z128" s="2" t="str" cm="1">
        <f t="array" ref="Z128">_xlfn.XLOOKUP(1,(B128=B$2:B$500)*(V$2:V$500="4548-4"),Y$2:Y$500,"Not Tested")</f>
        <v>Not Tested</v>
      </c>
      <c r="AA128" s="2">
        <v>158</v>
      </c>
      <c r="AB128" s="2">
        <v>84</v>
      </c>
      <c r="AC128" s="2" t="str">
        <f>IF(AND(EHR[[#This Row],[BP_Systolic_mmHg]]&lt;140,EHR[[#This Row],[BP_Diastolic_mmHg]]&lt;90),"Controlled",IF(OR(EHR[[#This Row],[BP_Systolic_mmHg]]="Not Recorded",EHR[[#This Row],[BP_Diastolic_mmHg]]="Not Recorded"),"No Reading","Uncontrolled"))</f>
        <v>Uncontrolled</v>
      </c>
      <c r="AD128" s="2" t="str">
        <f>_xlfn.CONCAT(EHR[[#This Row],[BP_Systolic_mmHg]],"/",EHR[[#This Row],[BP_Diastolic_mmHg]])</f>
        <v>158/84</v>
      </c>
      <c r="AE128" s="2">
        <v>93</v>
      </c>
      <c r="AF128" s="2">
        <v>16</v>
      </c>
      <c r="AG128" s="2">
        <v>37.200000000000003</v>
      </c>
      <c r="AH128" s="2">
        <v>40.799999999999997</v>
      </c>
      <c r="AI128" s="2" t="str">
        <f>IF(EHR[[#This Row],[BMI_kg_m2]]&gt;=30,"Obese","Non-Obese")</f>
        <v>Obese</v>
      </c>
      <c r="AJ128" s="2">
        <v>92</v>
      </c>
      <c r="AK128" s="2" t="s">
        <v>50</v>
      </c>
      <c r="AL128" s="2" t="s">
        <v>51</v>
      </c>
      <c r="AM128" s="2" t="s">
        <v>52</v>
      </c>
      <c r="AN128" s="2" t="s">
        <v>53</v>
      </c>
      <c r="AO128" s="2" t="s">
        <v>54</v>
      </c>
    </row>
    <row r="129" spans="1:41" x14ac:dyDescent="0.2">
      <c r="A129" s="7" t="s">
        <v>568</v>
      </c>
      <c r="B129" s="3" t="s">
        <v>581</v>
      </c>
      <c r="C129" s="14">
        <v>45713</v>
      </c>
      <c r="D129" s="3" t="s">
        <v>36</v>
      </c>
      <c r="E129" s="3" t="s">
        <v>61</v>
      </c>
      <c r="F129" s="3" t="s">
        <v>132</v>
      </c>
      <c r="G129" s="3" t="s">
        <v>39</v>
      </c>
      <c r="H129" s="14">
        <v>35234</v>
      </c>
      <c r="I129" s="3">
        <v>29</v>
      </c>
      <c r="J129" s="3" t="str" cm="1">
        <f t="array" ref="J12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29" s="3" t="s">
        <v>1572</v>
      </c>
      <c r="L129" s="3" t="s">
        <v>110</v>
      </c>
      <c r="M129" s="3" t="s">
        <v>79</v>
      </c>
      <c r="N129" s="3" t="s">
        <v>1574</v>
      </c>
      <c r="O129" s="3" t="s">
        <v>45</v>
      </c>
      <c r="P129" s="3" t="s">
        <v>195</v>
      </c>
      <c r="Q129" s="3" t="str">
        <f>_xlfn.XLOOKUP(EHR[[#This Row],[Primary_ICD11_Code]],'03_ICD11_Reference'!A:A,'03_ICD11_Reference'!D:D,,0)</f>
        <v>Respiratory</v>
      </c>
      <c r="R129" s="3" t="s">
        <v>196</v>
      </c>
      <c r="S129" s="3" t="s">
        <v>69</v>
      </c>
      <c r="T129" s="3" t="s">
        <v>583</v>
      </c>
      <c r="U129" s="3">
        <v>4</v>
      </c>
      <c r="V129" s="3" t="str">
        <f>_xlfn.XLOOKUP(EHR[[#This Row],[Encounter_ID]],'02_Lab_Results'!B:B,'02_Lab_Results'!D:D,,0)</f>
        <v>17861-6</v>
      </c>
      <c r="W129" s="3" t="str">
        <f>_xlfn.XLOOKUP(EHR[[#This Row],[LOINC Code]],'04_LOINC_Reference'!A:A,'04_LOINC_Reference'!F:F,,0)</f>
        <v>Biochemistry</v>
      </c>
      <c r="X129" s="3" t="str">
        <f>_xlfn.XLOOKUP(EHR[[#This Row],[LOINC Code]],'02_Lab_Results'!D:D,'02_Lab_Results'!E:E,,0)</f>
        <v>Serum calcium</v>
      </c>
      <c r="Y129" s="3" t="str">
        <f>_xlfn.XLOOKUP(EHR[[#This Row],[LOINC Code]],'02_Lab_Results'!D:D,'02_Lab_Results'!J:J,,0)</f>
        <v>High</v>
      </c>
      <c r="Z129" s="3" t="str" cm="1">
        <f t="array" ref="Z129">_xlfn.XLOOKUP(1,(B129=B$2:B$500)*(V$2:V$500="4548-4"),Y$2:Y$500,"Not Tested")</f>
        <v>Not Tested</v>
      </c>
      <c r="AA129" s="3">
        <v>145</v>
      </c>
      <c r="AB129" s="3">
        <v>112</v>
      </c>
      <c r="AC129" s="3" t="str">
        <f>IF(AND(EHR[[#This Row],[BP_Systolic_mmHg]]&lt;140,EHR[[#This Row],[BP_Diastolic_mmHg]]&lt;90),"Controlled",IF(OR(EHR[[#This Row],[BP_Systolic_mmHg]]="Not Recorded",EHR[[#This Row],[BP_Diastolic_mmHg]]="Not Recorded"),"No Reading","Uncontrolled"))</f>
        <v>Uncontrolled</v>
      </c>
      <c r="AD129" s="3" t="str">
        <f>_xlfn.CONCAT(EHR[[#This Row],[BP_Systolic_mmHg]],"/",EHR[[#This Row],[BP_Diastolic_mmHg]])</f>
        <v>145/112</v>
      </c>
      <c r="AE129" s="3">
        <v>85</v>
      </c>
      <c r="AF129" s="3">
        <v>23</v>
      </c>
      <c r="AG129" s="3">
        <v>37.4</v>
      </c>
      <c r="AH129" s="3">
        <v>25.8</v>
      </c>
      <c r="AI129" s="3" t="str">
        <f>IF(EHR[[#This Row],[BMI_kg_m2]]&gt;=30,"Obese","Non-Obese")</f>
        <v>Non-Obese</v>
      </c>
      <c r="AJ129" s="3">
        <v>96</v>
      </c>
      <c r="AK129" s="3" t="s">
        <v>50</v>
      </c>
      <c r="AL129" s="3" t="s">
        <v>51</v>
      </c>
      <c r="AM129" s="3" t="s">
        <v>52</v>
      </c>
      <c r="AN129" s="3" t="s">
        <v>53</v>
      </c>
      <c r="AO129" s="3" t="s">
        <v>54</v>
      </c>
    </row>
    <row r="130" spans="1:41" x14ac:dyDescent="0.2">
      <c r="A130" s="6" t="s">
        <v>584</v>
      </c>
      <c r="B130" s="2" t="s">
        <v>585</v>
      </c>
      <c r="C130" s="13">
        <v>45476</v>
      </c>
      <c r="D130" s="2" t="s">
        <v>60</v>
      </c>
      <c r="E130" s="2" t="s">
        <v>167</v>
      </c>
      <c r="F130" s="2" t="s">
        <v>189</v>
      </c>
      <c r="G130" s="2" t="s">
        <v>138</v>
      </c>
      <c r="H130" s="13">
        <v>17088</v>
      </c>
      <c r="I130" s="2">
        <v>79</v>
      </c>
      <c r="J130" s="2" t="str" cm="1">
        <f t="array" ref="J13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0" s="2" t="s">
        <v>1573</v>
      </c>
      <c r="L130" s="2" t="s">
        <v>78</v>
      </c>
      <c r="M130" s="2" t="s">
        <v>141</v>
      </c>
      <c r="N130" s="2" t="s">
        <v>44</v>
      </c>
      <c r="O130" s="2" t="s">
        <v>81</v>
      </c>
      <c r="P130" s="2" t="s">
        <v>283</v>
      </c>
      <c r="Q130" s="2" t="str">
        <f>_xlfn.XLOOKUP(EHR[[#This Row],[Primary_ICD11_Code]],'03_ICD11_Reference'!A:A,'03_ICD11_Reference'!D:D,,0)</f>
        <v>Multi-system</v>
      </c>
      <c r="R130" s="2" t="s">
        <v>284</v>
      </c>
      <c r="S130" s="2" t="s">
        <v>69</v>
      </c>
      <c r="T130" s="2" t="s">
        <v>588</v>
      </c>
      <c r="U130" s="2">
        <v>4</v>
      </c>
      <c r="V130" s="2" t="str">
        <f>_xlfn.XLOOKUP(EHR[[#This Row],[Encounter_ID]],'02_Lab_Results'!B:B,'02_Lab_Results'!D:D,,0)</f>
        <v>2951-2</v>
      </c>
      <c r="W130" s="2" t="str">
        <f>_xlfn.XLOOKUP(EHR[[#This Row],[LOINC Code]],'04_LOINC_Reference'!A:A,'04_LOINC_Reference'!F:F,,0)</f>
        <v>Biochemistry</v>
      </c>
      <c r="X130" s="2" t="str">
        <f>_xlfn.XLOOKUP(EHR[[#This Row],[LOINC Code]],'02_Lab_Results'!D:D,'02_Lab_Results'!E:E,,0)</f>
        <v>Serum sodium</v>
      </c>
      <c r="Y130" s="2" t="str">
        <f>_xlfn.XLOOKUP(EHR[[#This Row],[LOINC Code]],'02_Lab_Results'!D:D,'02_Lab_Results'!J:J,,0)</f>
        <v>Low</v>
      </c>
      <c r="Z130" s="2" t="str" cm="1">
        <f t="array" ref="Z130">_xlfn.XLOOKUP(1,(B130=B$2:B$500)*(V$2:V$500="4548-4"),Y$2:Y$500,"Not Tested")</f>
        <v>Not Tested</v>
      </c>
      <c r="AA130" s="2">
        <v>148</v>
      </c>
      <c r="AB130" s="2">
        <v>110</v>
      </c>
      <c r="AC130" s="2" t="str">
        <f>IF(AND(EHR[[#This Row],[BP_Systolic_mmHg]]&lt;140,EHR[[#This Row],[BP_Diastolic_mmHg]]&lt;90),"Controlled",IF(OR(EHR[[#This Row],[BP_Systolic_mmHg]]="Not Recorded",EHR[[#This Row],[BP_Diastolic_mmHg]]="Not Recorded"),"No Reading","Uncontrolled"))</f>
        <v>Uncontrolled</v>
      </c>
      <c r="AD130" s="2" t="str">
        <f>_xlfn.CONCAT(EHR[[#This Row],[BP_Systolic_mmHg]],"/",EHR[[#This Row],[BP_Diastolic_mmHg]])</f>
        <v>148/110</v>
      </c>
      <c r="AE130" s="2">
        <v>58</v>
      </c>
      <c r="AF130" s="2">
        <v>16</v>
      </c>
      <c r="AG130" s="2">
        <v>38.1</v>
      </c>
      <c r="AH130" s="2">
        <v>22.2</v>
      </c>
      <c r="AI130" s="2" t="str">
        <f>IF(EHR[[#This Row],[BMI_kg_m2]]&gt;=30,"Obese","Non-Obese")</f>
        <v>Non-Obese</v>
      </c>
      <c r="AJ130" s="2">
        <v>95</v>
      </c>
      <c r="AK130" s="2" t="s">
        <v>50</v>
      </c>
      <c r="AL130" s="2" t="s">
        <v>51</v>
      </c>
      <c r="AM130" s="2" t="s">
        <v>52</v>
      </c>
      <c r="AN130" s="2" t="s">
        <v>53</v>
      </c>
      <c r="AO130" s="2" t="s">
        <v>54</v>
      </c>
    </row>
    <row r="131" spans="1:41" x14ac:dyDescent="0.2">
      <c r="A131" s="7" t="s">
        <v>584</v>
      </c>
      <c r="B131" s="3" t="s">
        <v>589</v>
      </c>
      <c r="C131" s="14">
        <v>45310</v>
      </c>
      <c r="D131" s="3" t="s">
        <v>36</v>
      </c>
      <c r="E131" s="3" t="s">
        <v>167</v>
      </c>
      <c r="F131" s="3" t="s">
        <v>219</v>
      </c>
      <c r="G131" s="3" t="s">
        <v>138</v>
      </c>
      <c r="H131" s="14">
        <v>17088</v>
      </c>
      <c r="I131" s="3">
        <v>79</v>
      </c>
      <c r="J131" s="3" t="str" cm="1">
        <f t="array" ref="J13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1" s="3" t="s">
        <v>1573</v>
      </c>
      <c r="L131" s="3" t="s">
        <v>90</v>
      </c>
      <c r="M131" s="3" t="s">
        <v>141</v>
      </c>
      <c r="N131" s="3" t="s">
        <v>44</v>
      </c>
      <c r="O131" s="3" t="s">
        <v>81</v>
      </c>
      <c r="P131" s="3" t="s">
        <v>283</v>
      </c>
      <c r="Q131" s="3" t="str">
        <f>_xlfn.XLOOKUP(EHR[[#This Row],[Primary_ICD11_Code]],'03_ICD11_Reference'!A:A,'03_ICD11_Reference'!D:D,,0)</f>
        <v>Multi-system</v>
      </c>
      <c r="R131" s="3" t="s">
        <v>284</v>
      </c>
      <c r="S131" s="3" t="s">
        <v>69</v>
      </c>
      <c r="T131" s="3" t="s">
        <v>591</v>
      </c>
      <c r="U131" s="3">
        <v>4</v>
      </c>
      <c r="V131" s="3" t="str">
        <f>_xlfn.XLOOKUP(EHR[[#This Row],[Encounter_ID]],'02_Lab_Results'!B:B,'02_Lab_Results'!D:D,,0)</f>
        <v>2085-9</v>
      </c>
      <c r="W131" s="3" t="str">
        <f>_xlfn.XLOOKUP(EHR[[#This Row],[LOINC Code]],'04_LOINC_Reference'!A:A,'04_LOINC_Reference'!F:F,,0)</f>
        <v>Biochemistry</v>
      </c>
      <c r="X131" s="3" t="str">
        <f>_xlfn.XLOOKUP(EHR[[#This Row],[LOINC Code]],'02_Lab_Results'!D:D,'02_Lab_Results'!E:E,,0)</f>
        <v>HDL cholesterol</v>
      </c>
      <c r="Y131" s="3" t="str">
        <f>_xlfn.XLOOKUP(EHR[[#This Row],[LOINC Code]],'02_Lab_Results'!D:D,'02_Lab_Results'!J:J,,0)</f>
        <v>Normal</v>
      </c>
      <c r="Z131" s="3" t="str" cm="1">
        <f t="array" ref="Z131">_xlfn.XLOOKUP(1,(B131=B$2:B$500)*(V$2:V$500="4548-4"),Y$2:Y$500,"Not Tested")</f>
        <v>Not Tested</v>
      </c>
      <c r="AA131" s="3">
        <v>130</v>
      </c>
      <c r="AB131" s="3">
        <v>101</v>
      </c>
      <c r="AC131" s="3" t="str">
        <f>IF(AND(EHR[[#This Row],[BP_Systolic_mmHg]]&lt;140,EHR[[#This Row],[BP_Diastolic_mmHg]]&lt;90),"Controlled",IF(OR(EHR[[#This Row],[BP_Systolic_mmHg]]="Not Recorded",EHR[[#This Row],[BP_Diastolic_mmHg]]="Not Recorded"),"No Reading","Uncontrolled"))</f>
        <v>Uncontrolled</v>
      </c>
      <c r="AD131" s="3" t="str">
        <f>_xlfn.CONCAT(EHR[[#This Row],[BP_Systolic_mmHg]],"/",EHR[[#This Row],[BP_Diastolic_mmHg]])</f>
        <v>130/101</v>
      </c>
      <c r="AE131" s="3">
        <v>94</v>
      </c>
      <c r="AF131" s="3">
        <v>20</v>
      </c>
      <c r="AG131" s="3">
        <v>37.1</v>
      </c>
      <c r="AH131" s="3">
        <v>18.2</v>
      </c>
      <c r="AI131" s="3" t="str">
        <f>IF(EHR[[#This Row],[BMI_kg_m2]]&gt;=30,"Obese","Non-Obese")</f>
        <v>Non-Obese</v>
      </c>
      <c r="AJ131" s="3">
        <v>88</v>
      </c>
      <c r="AK131" s="3" t="s">
        <v>50</v>
      </c>
      <c r="AL131" s="3" t="s">
        <v>51</v>
      </c>
      <c r="AM131" s="3" t="s">
        <v>52</v>
      </c>
      <c r="AN131" s="3" t="s">
        <v>53</v>
      </c>
      <c r="AO131" s="3" t="s">
        <v>54</v>
      </c>
    </row>
    <row r="132" spans="1:41" x14ac:dyDescent="0.2">
      <c r="A132" s="6" t="s">
        <v>584</v>
      </c>
      <c r="B132" s="2" t="s">
        <v>592</v>
      </c>
      <c r="C132" s="13">
        <v>45421</v>
      </c>
      <c r="D132" s="2" t="s">
        <v>60</v>
      </c>
      <c r="E132" s="2" t="s">
        <v>61</v>
      </c>
      <c r="F132" s="2" t="s">
        <v>189</v>
      </c>
      <c r="G132" s="2" t="s">
        <v>115</v>
      </c>
      <c r="H132" s="13">
        <v>17088</v>
      </c>
      <c r="I132" s="2">
        <v>79</v>
      </c>
      <c r="J132" s="2" t="str" cm="1">
        <f t="array" ref="J13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2" s="2" t="s">
        <v>1573</v>
      </c>
      <c r="L132" s="2" t="s">
        <v>90</v>
      </c>
      <c r="M132" s="2" t="s">
        <v>141</v>
      </c>
      <c r="N132" s="2" t="s">
        <v>44</v>
      </c>
      <c r="O132" s="2" t="s">
        <v>81</v>
      </c>
      <c r="P132" s="2" t="s">
        <v>283</v>
      </c>
      <c r="Q132" s="2" t="str">
        <f>_xlfn.XLOOKUP(EHR[[#This Row],[Primary_ICD11_Code]],'03_ICD11_Reference'!A:A,'03_ICD11_Reference'!D:D,,0)</f>
        <v>Multi-system</v>
      </c>
      <c r="R132" s="2" t="s">
        <v>284</v>
      </c>
      <c r="S132" s="2" t="s">
        <v>69</v>
      </c>
      <c r="T132" s="2" t="s">
        <v>460</v>
      </c>
      <c r="U132" s="2">
        <v>1</v>
      </c>
      <c r="V132" s="2" t="str">
        <f>_xlfn.XLOOKUP(EHR[[#This Row],[Encounter_ID]],'02_Lab_Results'!B:B,'02_Lab_Results'!D:D,,0)</f>
        <v>14627-4</v>
      </c>
      <c r="W132" s="2" t="str">
        <f>_xlfn.XLOOKUP(EHR[[#This Row],[LOINC Code]],'04_LOINC_Reference'!A:A,'04_LOINC_Reference'!F:F,,0)</f>
        <v>Biochemistry</v>
      </c>
      <c r="X132" s="2" t="str">
        <f>_xlfn.XLOOKUP(EHR[[#This Row],[LOINC Code]],'02_Lab_Results'!D:D,'02_Lab_Results'!E:E,,0)</f>
        <v>eGFR (CKD-EPI)</v>
      </c>
      <c r="Y132" s="2" t="str">
        <f>_xlfn.XLOOKUP(EHR[[#This Row],[LOINC Code]],'02_Lab_Results'!D:D,'02_Lab_Results'!J:J,,0)</f>
        <v>High</v>
      </c>
      <c r="Z132" s="2" t="str" cm="1">
        <f t="array" ref="Z132">_xlfn.XLOOKUP(1,(B132=B$2:B$500)*(V$2:V$500="4548-4"),Y$2:Y$500,"Not Tested")</f>
        <v>Not Tested</v>
      </c>
      <c r="AA132" s="2">
        <v>126</v>
      </c>
      <c r="AB132" s="2">
        <v>61</v>
      </c>
      <c r="AC132" s="2" t="str">
        <f>IF(AND(EHR[[#This Row],[BP_Systolic_mmHg]]&lt;140,EHR[[#This Row],[BP_Diastolic_mmHg]]&lt;90),"Controlled",IF(OR(EHR[[#This Row],[BP_Systolic_mmHg]]="Not Recorded",EHR[[#This Row],[BP_Diastolic_mmHg]]="Not Recorded"),"No Reading","Uncontrolled"))</f>
        <v>Controlled</v>
      </c>
      <c r="AD132" s="2" t="str">
        <f>_xlfn.CONCAT(EHR[[#This Row],[BP_Systolic_mmHg]],"/",EHR[[#This Row],[BP_Diastolic_mmHg]])</f>
        <v>126/61</v>
      </c>
      <c r="AE132" s="2">
        <v>104</v>
      </c>
      <c r="AF132" s="2">
        <v>19</v>
      </c>
      <c r="AG132" s="2">
        <v>36.200000000000003</v>
      </c>
      <c r="AH132" s="2">
        <v>18.8</v>
      </c>
      <c r="AI132" s="2" t="str">
        <f>IF(EHR[[#This Row],[BMI_kg_m2]]&gt;=30,"Obese","Non-Obese")</f>
        <v>Non-Obese</v>
      </c>
      <c r="AJ132" s="2">
        <v>96</v>
      </c>
      <c r="AK132" s="2" t="s">
        <v>50</v>
      </c>
      <c r="AL132" s="2" t="s">
        <v>51</v>
      </c>
      <c r="AM132" s="2" t="s">
        <v>52</v>
      </c>
      <c r="AN132" s="2" t="s">
        <v>53</v>
      </c>
      <c r="AO132" s="2" t="s">
        <v>54</v>
      </c>
    </row>
    <row r="133" spans="1:41" x14ac:dyDescent="0.2">
      <c r="A133" s="7" t="s">
        <v>584</v>
      </c>
      <c r="B133" s="3" t="s">
        <v>594</v>
      </c>
      <c r="C133" s="14">
        <v>45090</v>
      </c>
      <c r="D133" s="3" t="s">
        <v>95</v>
      </c>
      <c r="E133" s="3" t="s">
        <v>37</v>
      </c>
      <c r="F133" s="3" t="s">
        <v>189</v>
      </c>
      <c r="G133" s="3" t="s">
        <v>138</v>
      </c>
      <c r="H133" s="14">
        <v>17088</v>
      </c>
      <c r="I133" s="3">
        <v>79</v>
      </c>
      <c r="J133" s="3" t="str" cm="1">
        <f t="array" ref="J13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3" s="3" t="s">
        <v>1573</v>
      </c>
      <c r="L133" s="3" t="s">
        <v>42</v>
      </c>
      <c r="M133" s="3" t="s">
        <v>141</v>
      </c>
      <c r="N133" s="3" t="s">
        <v>44</v>
      </c>
      <c r="O133" s="3" t="s">
        <v>81</v>
      </c>
      <c r="P133" s="3" t="s">
        <v>283</v>
      </c>
      <c r="Q133" s="3" t="str">
        <f>_xlfn.XLOOKUP(EHR[[#This Row],[Primary_ICD11_Code]],'03_ICD11_Reference'!A:A,'03_ICD11_Reference'!D:D,,0)</f>
        <v>Multi-system</v>
      </c>
      <c r="R133" s="3" t="s">
        <v>284</v>
      </c>
      <c r="S133" s="3" t="s">
        <v>69</v>
      </c>
      <c r="T133" s="3" t="s">
        <v>596</v>
      </c>
      <c r="U133" s="3">
        <v>4</v>
      </c>
      <c r="V133" s="3" t="str">
        <f>_xlfn.XLOOKUP(EHR[[#This Row],[Encounter_ID]],'02_Lab_Results'!B:B,'02_Lab_Results'!D:D,,0)</f>
        <v>6768-6</v>
      </c>
      <c r="W133" s="3" t="str">
        <f>_xlfn.XLOOKUP(EHR[[#This Row],[LOINC Code]],'04_LOINC_Reference'!A:A,'04_LOINC_Reference'!F:F,,0)</f>
        <v>Biochemistry</v>
      </c>
      <c r="X133" s="3" t="str">
        <f>_xlfn.XLOOKUP(EHR[[#This Row],[LOINC Code]],'02_Lab_Results'!D:D,'02_Lab_Results'!E:E,,0)</f>
        <v>ALP</v>
      </c>
      <c r="Y133" s="3" t="str">
        <f>_xlfn.XLOOKUP(EHR[[#This Row],[LOINC Code]],'02_Lab_Results'!D:D,'02_Lab_Results'!J:J,,0)</f>
        <v>High</v>
      </c>
      <c r="Z133" s="3" t="str" cm="1">
        <f t="array" ref="Z133">_xlfn.XLOOKUP(1,(B133=B$2:B$500)*(V$2:V$500="4548-4"),Y$2:Y$500,"Not Tested")</f>
        <v>Not Tested</v>
      </c>
      <c r="AA133" s="3">
        <v>125</v>
      </c>
      <c r="AB133" s="3">
        <v>81</v>
      </c>
      <c r="AC133" s="3" t="str">
        <f>IF(AND(EHR[[#This Row],[BP_Systolic_mmHg]]&lt;140,EHR[[#This Row],[BP_Diastolic_mmHg]]&lt;90),"Controlled",IF(OR(EHR[[#This Row],[BP_Systolic_mmHg]]="Not Recorded",EHR[[#This Row],[BP_Diastolic_mmHg]]="Not Recorded"),"No Reading","Uncontrolled"))</f>
        <v>Controlled</v>
      </c>
      <c r="AD133" s="3" t="str">
        <f>_xlfn.CONCAT(EHR[[#This Row],[BP_Systolic_mmHg]],"/",EHR[[#This Row],[BP_Diastolic_mmHg]])</f>
        <v>125/81</v>
      </c>
      <c r="AE133" s="3">
        <v>85</v>
      </c>
      <c r="AF133" s="3">
        <v>25</v>
      </c>
      <c r="AG133" s="3">
        <v>38</v>
      </c>
      <c r="AH133" s="3">
        <v>22.8</v>
      </c>
      <c r="AI133" s="3" t="str">
        <f>IF(EHR[[#This Row],[BMI_kg_m2]]&gt;=30,"Obese","Non-Obese")</f>
        <v>Non-Obese</v>
      </c>
      <c r="AJ133" s="3">
        <v>96</v>
      </c>
      <c r="AK133" s="3" t="s">
        <v>50</v>
      </c>
      <c r="AL133" s="3" t="s">
        <v>51</v>
      </c>
      <c r="AM133" s="3" t="s">
        <v>52</v>
      </c>
      <c r="AN133" s="3" t="s">
        <v>53</v>
      </c>
      <c r="AO133" s="3" t="s">
        <v>54</v>
      </c>
    </row>
    <row r="134" spans="1:41" x14ac:dyDescent="0.2">
      <c r="A134" s="6" t="s">
        <v>584</v>
      </c>
      <c r="B134" s="2" t="s">
        <v>597</v>
      </c>
      <c r="C134" s="13">
        <v>45697</v>
      </c>
      <c r="D134" s="2" t="s">
        <v>95</v>
      </c>
      <c r="E134" s="2" t="s">
        <v>89</v>
      </c>
      <c r="F134" s="2" t="s">
        <v>109</v>
      </c>
      <c r="G134" s="2" t="s">
        <v>39</v>
      </c>
      <c r="H134" s="13">
        <v>17088</v>
      </c>
      <c r="I134" s="2">
        <v>79</v>
      </c>
      <c r="J134" s="2" t="str" cm="1">
        <f t="array" ref="J13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4" s="2" t="s">
        <v>1573</v>
      </c>
      <c r="L134" s="2" t="s">
        <v>90</v>
      </c>
      <c r="M134" s="2" t="s">
        <v>141</v>
      </c>
      <c r="N134" s="2" t="s">
        <v>44</v>
      </c>
      <c r="O134" s="2" t="s">
        <v>81</v>
      </c>
      <c r="P134" s="2" t="s">
        <v>283</v>
      </c>
      <c r="Q134" s="2" t="str">
        <f>_xlfn.XLOOKUP(EHR[[#This Row],[Primary_ICD11_Code]],'03_ICD11_Reference'!A:A,'03_ICD11_Reference'!D:D,,0)</f>
        <v>Multi-system</v>
      </c>
      <c r="R134" s="2" t="s">
        <v>284</v>
      </c>
      <c r="S134" s="2" t="s">
        <v>69</v>
      </c>
      <c r="T134" s="2" t="s">
        <v>234</v>
      </c>
      <c r="U134" s="2">
        <v>1</v>
      </c>
      <c r="V134" s="2" t="str">
        <f>_xlfn.XLOOKUP(EHR[[#This Row],[Encounter_ID]],'02_Lab_Results'!B:B,'02_Lab_Results'!D:D,,0)</f>
        <v>4548-4</v>
      </c>
      <c r="W134" s="2" t="str">
        <f>_xlfn.XLOOKUP(EHR[[#This Row],[LOINC Code]],'04_LOINC_Reference'!A:A,'04_LOINC_Reference'!F:F,,0)</f>
        <v>Biochemistry</v>
      </c>
      <c r="X134" s="2" t="str">
        <f>_xlfn.XLOOKUP(EHR[[#This Row],[LOINC Code]],'02_Lab_Results'!D:D,'02_Lab_Results'!E:E,,0)</f>
        <v>HbA1c</v>
      </c>
      <c r="Y134" s="2" t="str">
        <f>_xlfn.XLOOKUP(EHR[[#This Row],[LOINC Code]],'02_Lab_Results'!D:D,'02_Lab_Results'!J:J,,0)</f>
        <v>High</v>
      </c>
      <c r="Z134" s="2" t="str" cm="1">
        <f t="array" ref="Z134">_xlfn.XLOOKUP(1,(B134=B$2:B$500)*(V$2:V$500="4548-4"),Y$2:Y$500,"Not Tested")</f>
        <v>High</v>
      </c>
      <c r="AA134" s="2">
        <v>158</v>
      </c>
      <c r="AB134" s="2">
        <v>103</v>
      </c>
      <c r="AC134" s="2" t="str">
        <f>IF(AND(EHR[[#This Row],[BP_Systolic_mmHg]]&lt;140,EHR[[#This Row],[BP_Diastolic_mmHg]]&lt;90),"Controlled",IF(OR(EHR[[#This Row],[BP_Systolic_mmHg]]="Not Recorded",EHR[[#This Row],[BP_Diastolic_mmHg]]="Not Recorded"),"No Reading","Uncontrolled"))</f>
        <v>Uncontrolled</v>
      </c>
      <c r="AD134" s="2" t="str">
        <f>_xlfn.CONCAT(EHR[[#This Row],[BP_Systolic_mmHg]],"/",EHR[[#This Row],[BP_Diastolic_mmHg]])</f>
        <v>158/103</v>
      </c>
      <c r="AE134" s="2">
        <v>93</v>
      </c>
      <c r="AF134" s="2">
        <v>25</v>
      </c>
      <c r="AG134" s="2">
        <v>37.700000000000003</v>
      </c>
      <c r="AH134" s="2">
        <v>27.9</v>
      </c>
      <c r="AI134" s="2" t="str">
        <f>IF(EHR[[#This Row],[BMI_kg_m2]]&gt;=30,"Obese","Non-Obese")</f>
        <v>Non-Obese</v>
      </c>
      <c r="AJ134" s="2">
        <v>90</v>
      </c>
      <c r="AK134" s="2" t="s">
        <v>50</v>
      </c>
      <c r="AL134" s="2" t="s">
        <v>51</v>
      </c>
      <c r="AM134" s="2" t="s">
        <v>52</v>
      </c>
      <c r="AN134" s="2" t="s">
        <v>53</v>
      </c>
      <c r="AO134" s="2" t="s">
        <v>54</v>
      </c>
    </row>
    <row r="135" spans="1:41" x14ac:dyDescent="0.2">
      <c r="A135" s="7" t="s">
        <v>584</v>
      </c>
      <c r="B135" s="3" t="s">
        <v>599</v>
      </c>
      <c r="C135" s="14">
        <v>45328</v>
      </c>
      <c r="D135" s="3" t="s">
        <v>36</v>
      </c>
      <c r="E135" s="3" t="s">
        <v>37</v>
      </c>
      <c r="F135" s="3" t="s">
        <v>189</v>
      </c>
      <c r="G135" s="3" t="s">
        <v>104</v>
      </c>
      <c r="H135" s="14">
        <v>17088</v>
      </c>
      <c r="I135" s="3">
        <v>79</v>
      </c>
      <c r="J135" s="3" t="str" cm="1">
        <f t="array" ref="J13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5" s="3" t="s">
        <v>1573</v>
      </c>
      <c r="L135" s="3" t="s">
        <v>110</v>
      </c>
      <c r="M135" s="3" t="s">
        <v>141</v>
      </c>
      <c r="N135" s="3" t="s">
        <v>44</v>
      </c>
      <c r="O135" s="3" t="s">
        <v>81</v>
      </c>
      <c r="P135" s="3" t="s">
        <v>283</v>
      </c>
      <c r="Q135" s="3" t="str">
        <f>_xlfn.XLOOKUP(EHR[[#This Row],[Primary_ICD11_Code]],'03_ICD11_Reference'!A:A,'03_ICD11_Reference'!D:D,,0)</f>
        <v>Multi-system</v>
      </c>
      <c r="R135" s="3" t="s">
        <v>284</v>
      </c>
      <c r="S135" s="3" t="s">
        <v>69</v>
      </c>
      <c r="T135" s="3" t="s">
        <v>601</v>
      </c>
      <c r="U135" s="3">
        <v>1</v>
      </c>
      <c r="V135" s="3" t="str">
        <f>_xlfn.XLOOKUP(EHR[[#This Row],[Encounter_ID]],'02_Lab_Results'!B:B,'02_Lab_Results'!D:D,,0)</f>
        <v>17861-6</v>
      </c>
      <c r="W135" s="3" t="str">
        <f>_xlfn.XLOOKUP(EHR[[#This Row],[LOINC Code]],'04_LOINC_Reference'!A:A,'04_LOINC_Reference'!F:F,,0)</f>
        <v>Biochemistry</v>
      </c>
      <c r="X135" s="3" t="str">
        <f>_xlfn.XLOOKUP(EHR[[#This Row],[LOINC Code]],'02_Lab_Results'!D:D,'02_Lab_Results'!E:E,,0)</f>
        <v>Serum calcium</v>
      </c>
      <c r="Y135" s="3" t="str">
        <f>_xlfn.XLOOKUP(EHR[[#This Row],[LOINC Code]],'02_Lab_Results'!D:D,'02_Lab_Results'!J:J,,0)</f>
        <v>High</v>
      </c>
      <c r="Z135" s="3" t="str" cm="1">
        <f t="array" ref="Z135">_xlfn.XLOOKUP(1,(B135=B$2:B$500)*(V$2:V$500="4548-4"),Y$2:Y$500,"Not Tested")</f>
        <v>Not Tested</v>
      </c>
      <c r="AA135" s="3">
        <v>148</v>
      </c>
      <c r="AB135" s="3">
        <v>76</v>
      </c>
      <c r="AC135" s="3" t="str">
        <f>IF(AND(EHR[[#This Row],[BP_Systolic_mmHg]]&lt;140,EHR[[#This Row],[BP_Diastolic_mmHg]]&lt;90),"Controlled",IF(OR(EHR[[#This Row],[BP_Systolic_mmHg]]="Not Recorded",EHR[[#This Row],[BP_Diastolic_mmHg]]="Not Recorded"),"No Reading","Uncontrolled"))</f>
        <v>Uncontrolled</v>
      </c>
      <c r="AD135" s="3" t="str">
        <f>_xlfn.CONCAT(EHR[[#This Row],[BP_Systolic_mmHg]],"/",EHR[[#This Row],[BP_Diastolic_mmHg]])</f>
        <v>148/76</v>
      </c>
      <c r="AE135" s="3">
        <v>113</v>
      </c>
      <c r="AF135" s="3">
        <v>22</v>
      </c>
      <c r="AG135" s="3">
        <v>38.6</v>
      </c>
      <c r="AH135" s="3">
        <v>37.6</v>
      </c>
      <c r="AI135" s="3" t="str">
        <f>IF(EHR[[#This Row],[BMI_kg_m2]]&gt;=30,"Obese","Non-Obese")</f>
        <v>Obese</v>
      </c>
      <c r="AJ135" s="3">
        <v>91</v>
      </c>
      <c r="AK135" s="3" t="s">
        <v>50</v>
      </c>
      <c r="AL135" s="3" t="s">
        <v>51</v>
      </c>
      <c r="AM135" s="3" t="s">
        <v>52</v>
      </c>
      <c r="AN135" s="3" t="s">
        <v>53</v>
      </c>
      <c r="AO135" s="3" t="s">
        <v>54</v>
      </c>
    </row>
    <row r="136" spans="1:41" x14ac:dyDescent="0.2">
      <c r="A136" s="6" t="s">
        <v>602</v>
      </c>
      <c r="B136" s="2" t="s">
        <v>603</v>
      </c>
      <c r="C136" s="13">
        <v>45425</v>
      </c>
      <c r="D136" s="2" t="s">
        <v>60</v>
      </c>
      <c r="E136" s="2" t="s">
        <v>96</v>
      </c>
      <c r="F136" s="2" t="s">
        <v>38</v>
      </c>
      <c r="G136" s="2" t="s">
        <v>138</v>
      </c>
      <c r="H136" s="13">
        <v>22255</v>
      </c>
      <c r="I136" s="2">
        <v>65</v>
      </c>
      <c r="J136" s="2" t="str" cm="1">
        <f t="array" ref="J13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6" s="2" t="s">
        <v>1572</v>
      </c>
      <c r="L136" s="2" t="s">
        <v>66</v>
      </c>
      <c r="M136" s="2" t="s">
        <v>141</v>
      </c>
      <c r="N136" s="2" t="s">
        <v>80</v>
      </c>
      <c r="O136" s="2" t="s">
        <v>1574</v>
      </c>
      <c r="P136" s="2" t="s">
        <v>283</v>
      </c>
      <c r="Q136" s="2" t="str">
        <f>_xlfn.XLOOKUP(EHR[[#This Row],[Primary_ICD11_Code]],'03_ICD11_Reference'!A:A,'03_ICD11_Reference'!D:D,,0)</f>
        <v>Multi-system</v>
      </c>
      <c r="R136" s="2" t="s">
        <v>284</v>
      </c>
      <c r="S136" s="2" t="s">
        <v>69</v>
      </c>
      <c r="T136" s="2" t="s">
        <v>606</v>
      </c>
      <c r="U136" s="2">
        <v>3</v>
      </c>
      <c r="V136" s="2" t="str">
        <f>_xlfn.XLOOKUP(EHR[[#This Row],[Encounter_ID]],'02_Lab_Results'!B:B,'02_Lab_Results'!D:D,,0)</f>
        <v>17861-6</v>
      </c>
      <c r="W136" s="2" t="str">
        <f>_xlfn.XLOOKUP(EHR[[#This Row],[LOINC Code]],'04_LOINC_Reference'!A:A,'04_LOINC_Reference'!F:F,,0)</f>
        <v>Biochemistry</v>
      </c>
      <c r="X136" s="2" t="str">
        <f>_xlfn.XLOOKUP(EHR[[#This Row],[LOINC Code]],'02_Lab_Results'!D:D,'02_Lab_Results'!E:E,,0)</f>
        <v>Serum calcium</v>
      </c>
      <c r="Y136" s="2" t="str">
        <f>_xlfn.XLOOKUP(EHR[[#This Row],[LOINC Code]],'02_Lab_Results'!D:D,'02_Lab_Results'!J:J,,0)</f>
        <v>High</v>
      </c>
      <c r="Z136" s="2" t="str" cm="1">
        <f t="array" ref="Z136">_xlfn.XLOOKUP(1,(B136=B$2:B$500)*(V$2:V$500="4548-4"),Y$2:Y$500,"Not Tested")</f>
        <v>Not Tested</v>
      </c>
      <c r="AA136" s="2">
        <v>152</v>
      </c>
      <c r="AB136" s="2">
        <v>97</v>
      </c>
      <c r="AC136" s="2" t="str">
        <f>IF(AND(EHR[[#This Row],[BP_Systolic_mmHg]]&lt;140,EHR[[#This Row],[BP_Diastolic_mmHg]]&lt;90),"Controlled",IF(OR(EHR[[#This Row],[BP_Systolic_mmHg]]="Not Recorded",EHR[[#This Row],[BP_Diastolic_mmHg]]="Not Recorded"),"No Reading","Uncontrolled"))</f>
        <v>Uncontrolled</v>
      </c>
      <c r="AD136" s="2" t="str">
        <f>_xlfn.CONCAT(EHR[[#This Row],[BP_Systolic_mmHg]],"/",EHR[[#This Row],[BP_Diastolic_mmHg]])</f>
        <v>152/97</v>
      </c>
      <c r="AE136" s="2">
        <v>98</v>
      </c>
      <c r="AF136" s="2">
        <v>28</v>
      </c>
      <c r="AG136" s="2">
        <v>37.799999999999997</v>
      </c>
      <c r="AH136" s="2">
        <v>31.5</v>
      </c>
      <c r="AI136" s="2" t="str">
        <f>IF(EHR[[#This Row],[BMI_kg_m2]]&gt;=30,"Obese","Non-Obese")</f>
        <v>Obese</v>
      </c>
      <c r="AJ136" s="2">
        <v>89</v>
      </c>
      <c r="AK136" s="2" t="s">
        <v>50</v>
      </c>
      <c r="AL136" s="2" t="s">
        <v>51</v>
      </c>
      <c r="AM136" s="2" t="s">
        <v>52</v>
      </c>
      <c r="AN136" s="2" t="s">
        <v>53</v>
      </c>
      <c r="AO136" s="2" t="s">
        <v>54</v>
      </c>
    </row>
    <row r="137" spans="1:41" x14ac:dyDescent="0.2">
      <c r="A137" s="7" t="s">
        <v>602</v>
      </c>
      <c r="B137" s="3" t="s">
        <v>607</v>
      </c>
      <c r="C137" s="14">
        <v>45320</v>
      </c>
      <c r="D137" s="3" t="s">
        <v>60</v>
      </c>
      <c r="E137" s="3" t="s">
        <v>61</v>
      </c>
      <c r="F137" s="3" t="s">
        <v>62</v>
      </c>
      <c r="G137" s="3" t="s">
        <v>123</v>
      </c>
      <c r="H137" s="14">
        <v>22255</v>
      </c>
      <c r="I137" s="3">
        <v>65</v>
      </c>
      <c r="J137" s="3" t="str" cm="1">
        <f t="array" ref="J13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7" s="3" t="s">
        <v>1572</v>
      </c>
      <c r="L137" s="3" t="s">
        <v>42</v>
      </c>
      <c r="M137" s="3" t="s">
        <v>141</v>
      </c>
      <c r="N137" s="3" t="s">
        <v>80</v>
      </c>
      <c r="O137" s="3" t="s">
        <v>1574</v>
      </c>
      <c r="P137" s="3" t="s">
        <v>283</v>
      </c>
      <c r="Q137" s="3" t="str">
        <f>_xlfn.XLOOKUP(EHR[[#This Row],[Primary_ICD11_Code]],'03_ICD11_Reference'!A:A,'03_ICD11_Reference'!D:D,,0)</f>
        <v>Multi-system</v>
      </c>
      <c r="R137" s="3" t="s">
        <v>284</v>
      </c>
      <c r="S137" s="3" t="s">
        <v>69</v>
      </c>
      <c r="T137" s="3" t="s">
        <v>393</v>
      </c>
      <c r="U137" s="3">
        <v>1</v>
      </c>
      <c r="V137" s="3" t="str">
        <f>_xlfn.XLOOKUP(EHR[[#This Row],[Encounter_ID]],'02_Lab_Results'!B:B,'02_Lab_Results'!D:D,,0)</f>
        <v>6768-6</v>
      </c>
      <c r="W137" s="3" t="str">
        <f>_xlfn.XLOOKUP(EHR[[#This Row],[LOINC Code]],'04_LOINC_Reference'!A:A,'04_LOINC_Reference'!F:F,,0)</f>
        <v>Biochemistry</v>
      </c>
      <c r="X137" s="3" t="str">
        <f>_xlfn.XLOOKUP(EHR[[#This Row],[LOINC Code]],'02_Lab_Results'!D:D,'02_Lab_Results'!E:E,,0)</f>
        <v>ALP</v>
      </c>
      <c r="Y137" s="3" t="str">
        <f>_xlfn.XLOOKUP(EHR[[#This Row],[LOINC Code]],'02_Lab_Results'!D:D,'02_Lab_Results'!J:J,,0)</f>
        <v>High</v>
      </c>
      <c r="Z137" s="3" t="str" cm="1">
        <f t="array" ref="Z137">_xlfn.XLOOKUP(1,(B137=B$2:B$500)*(V$2:V$500="4548-4"),Y$2:Y$500,"Not Tested")</f>
        <v>Not Tested</v>
      </c>
      <c r="AA137" s="3">
        <v>182</v>
      </c>
      <c r="AB137" s="3">
        <v>85</v>
      </c>
      <c r="AC137" s="3" t="str">
        <f>IF(AND(EHR[[#This Row],[BP_Systolic_mmHg]]&lt;140,EHR[[#This Row],[BP_Diastolic_mmHg]]&lt;90),"Controlled",IF(OR(EHR[[#This Row],[BP_Systolic_mmHg]]="Not Recorded",EHR[[#This Row],[BP_Diastolic_mmHg]]="Not Recorded"),"No Reading","Uncontrolled"))</f>
        <v>Uncontrolled</v>
      </c>
      <c r="AD137" s="3" t="str">
        <f>_xlfn.CONCAT(EHR[[#This Row],[BP_Systolic_mmHg]],"/",EHR[[#This Row],[BP_Diastolic_mmHg]])</f>
        <v>182/85</v>
      </c>
      <c r="AE137" s="3">
        <v>87</v>
      </c>
      <c r="AF137" s="3">
        <v>23</v>
      </c>
      <c r="AG137" s="3">
        <v>37.299999999999997</v>
      </c>
      <c r="AH137" s="3">
        <v>41.4</v>
      </c>
      <c r="AI137" s="3" t="str">
        <f>IF(EHR[[#This Row],[BMI_kg_m2]]&gt;=30,"Obese","Non-Obese")</f>
        <v>Obese</v>
      </c>
      <c r="AJ137" s="3">
        <v>93</v>
      </c>
      <c r="AK137" s="3" t="s">
        <v>50</v>
      </c>
      <c r="AL137" s="3" t="s">
        <v>51</v>
      </c>
      <c r="AM137" s="3" t="s">
        <v>52</v>
      </c>
      <c r="AN137" s="3" t="s">
        <v>53</v>
      </c>
      <c r="AO137" s="3" t="s">
        <v>54</v>
      </c>
    </row>
    <row r="138" spans="1:41" x14ac:dyDescent="0.2">
      <c r="A138" s="6" t="s">
        <v>602</v>
      </c>
      <c r="B138" s="2" t="s">
        <v>609</v>
      </c>
      <c r="C138" s="13">
        <v>45157</v>
      </c>
      <c r="D138" s="2" t="s">
        <v>88</v>
      </c>
      <c r="E138" s="2" t="s">
        <v>167</v>
      </c>
      <c r="F138" s="2" t="s">
        <v>148</v>
      </c>
      <c r="G138" s="2" t="s">
        <v>123</v>
      </c>
      <c r="H138" s="13">
        <v>22255</v>
      </c>
      <c r="I138" s="2">
        <v>65</v>
      </c>
      <c r="J138" s="2" t="str" cm="1">
        <f t="array" ref="J13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8" s="2" t="s">
        <v>1572</v>
      </c>
      <c r="L138" s="2" t="s">
        <v>66</v>
      </c>
      <c r="M138" s="2" t="s">
        <v>141</v>
      </c>
      <c r="N138" s="2" t="s">
        <v>80</v>
      </c>
      <c r="O138" s="2" t="s">
        <v>1574</v>
      </c>
      <c r="P138" s="2" t="s">
        <v>283</v>
      </c>
      <c r="Q138" s="2" t="str">
        <f>_xlfn.XLOOKUP(EHR[[#This Row],[Primary_ICD11_Code]],'03_ICD11_Reference'!A:A,'03_ICD11_Reference'!D:D,,0)</f>
        <v>Multi-system</v>
      </c>
      <c r="R138" s="2" t="s">
        <v>284</v>
      </c>
      <c r="S138" s="2" t="s">
        <v>69</v>
      </c>
      <c r="T138" s="2" t="s">
        <v>234</v>
      </c>
      <c r="U138" s="2">
        <v>1</v>
      </c>
      <c r="V138" s="2" t="str">
        <f>_xlfn.XLOOKUP(EHR[[#This Row],[Encounter_ID]],'02_Lab_Results'!B:B,'02_Lab_Results'!D:D,,0)</f>
        <v>17861-6</v>
      </c>
      <c r="W138" s="2" t="str">
        <f>_xlfn.XLOOKUP(EHR[[#This Row],[LOINC Code]],'04_LOINC_Reference'!A:A,'04_LOINC_Reference'!F:F,,0)</f>
        <v>Biochemistry</v>
      </c>
      <c r="X138" s="2" t="str">
        <f>_xlfn.XLOOKUP(EHR[[#This Row],[LOINC Code]],'02_Lab_Results'!D:D,'02_Lab_Results'!E:E,,0)</f>
        <v>Serum calcium</v>
      </c>
      <c r="Y138" s="2" t="str">
        <f>_xlfn.XLOOKUP(EHR[[#This Row],[LOINC Code]],'02_Lab_Results'!D:D,'02_Lab_Results'!J:J,,0)</f>
        <v>High</v>
      </c>
      <c r="Z138" s="2" t="str" cm="1">
        <f t="array" ref="Z138">_xlfn.XLOOKUP(1,(B138=B$2:B$500)*(V$2:V$500="4548-4"),Y$2:Y$500,"Not Tested")</f>
        <v>Not Tested</v>
      </c>
      <c r="AA138" s="2">
        <v>143</v>
      </c>
      <c r="AB138" s="2">
        <v>65</v>
      </c>
      <c r="AC138" s="2" t="str">
        <f>IF(AND(EHR[[#This Row],[BP_Systolic_mmHg]]&lt;140,EHR[[#This Row],[BP_Diastolic_mmHg]]&lt;90),"Controlled",IF(OR(EHR[[#This Row],[BP_Systolic_mmHg]]="Not Recorded",EHR[[#This Row],[BP_Diastolic_mmHg]]="Not Recorded"),"No Reading","Uncontrolled"))</f>
        <v>Uncontrolled</v>
      </c>
      <c r="AD138" s="2" t="str">
        <f>_xlfn.CONCAT(EHR[[#This Row],[BP_Systolic_mmHg]],"/",EHR[[#This Row],[BP_Diastolic_mmHg]])</f>
        <v>143/65</v>
      </c>
      <c r="AE138" s="2">
        <v>84</v>
      </c>
      <c r="AF138" s="2">
        <v>24</v>
      </c>
      <c r="AG138" s="2">
        <v>38.5</v>
      </c>
      <c r="AH138" s="2">
        <v>33.200000000000003</v>
      </c>
      <c r="AI138" s="2" t="str">
        <f>IF(EHR[[#This Row],[BMI_kg_m2]]&gt;=30,"Obese","Non-Obese")</f>
        <v>Obese</v>
      </c>
      <c r="AJ138" s="2">
        <v>88</v>
      </c>
      <c r="AK138" s="2" t="s">
        <v>50</v>
      </c>
      <c r="AL138" s="2" t="s">
        <v>51</v>
      </c>
      <c r="AM138" s="2" t="s">
        <v>52</v>
      </c>
      <c r="AN138" s="2" t="s">
        <v>53</v>
      </c>
      <c r="AO138" s="2" t="s">
        <v>54</v>
      </c>
    </row>
    <row r="139" spans="1:41" x14ac:dyDescent="0.2">
      <c r="A139" s="7" t="s">
        <v>602</v>
      </c>
      <c r="B139" s="3" t="s">
        <v>610</v>
      </c>
      <c r="C139" s="14">
        <v>45663</v>
      </c>
      <c r="D139" s="3" t="s">
        <v>36</v>
      </c>
      <c r="E139" s="3" t="s">
        <v>167</v>
      </c>
      <c r="F139" s="3" t="s">
        <v>122</v>
      </c>
      <c r="G139" s="3" t="s">
        <v>98</v>
      </c>
      <c r="H139" s="14">
        <v>22255</v>
      </c>
      <c r="I139" s="3">
        <v>65</v>
      </c>
      <c r="J139" s="3" t="str" cm="1">
        <f t="array" ref="J13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39" s="3" t="s">
        <v>1572</v>
      </c>
      <c r="L139" s="3" t="s">
        <v>66</v>
      </c>
      <c r="M139" s="3" t="s">
        <v>141</v>
      </c>
      <c r="N139" s="3" t="s">
        <v>80</v>
      </c>
      <c r="O139" s="3" t="s">
        <v>1574</v>
      </c>
      <c r="P139" s="3" t="s">
        <v>283</v>
      </c>
      <c r="Q139" s="3" t="str">
        <f>_xlfn.XLOOKUP(EHR[[#This Row],[Primary_ICD11_Code]],'03_ICD11_Reference'!A:A,'03_ICD11_Reference'!D:D,,0)</f>
        <v>Multi-system</v>
      </c>
      <c r="R139" s="3" t="s">
        <v>284</v>
      </c>
      <c r="S139" s="3" t="s">
        <v>69</v>
      </c>
      <c r="T139" s="3" t="s">
        <v>612</v>
      </c>
      <c r="U139" s="3">
        <v>1</v>
      </c>
      <c r="V139" s="3" t="str">
        <f>_xlfn.XLOOKUP(EHR[[#This Row],[Encounter_ID]],'02_Lab_Results'!B:B,'02_Lab_Results'!D:D,,0)</f>
        <v>2951-2</v>
      </c>
      <c r="W139" s="3" t="str">
        <f>_xlfn.XLOOKUP(EHR[[#This Row],[LOINC Code]],'04_LOINC_Reference'!A:A,'04_LOINC_Reference'!F:F,,0)</f>
        <v>Biochemistry</v>
      </c>
      <c r="X139" s="3" t="str">
        <f>_xlfn.XLOOKUP(EHR[[#This Row],[LOINC Code]],'02_Lab_Results'!D:D,'02_Lab_Results'!E:E,,0)</f>
        <v>Serum sodium</v>
      </c>
      <c r="Y139" s="3" t="str">
        <f>_xlfn.XLOOKUP(EHR[[#This Row],[LOINC Code]],'02_Lab_Results'!D:D,'02_Lab_Results'!J:J,,0)</f>
        <v>Low</v>
      </c>
      <c r="Z139" s="3" t="str" cm="1">
        <f t="array" ref="Z139">_xlfn.XLOOKUP(1,(B139=B$2:B$500)*(V$2:V$500="4548-4"),Y$2:Y$500,"Not Tested")</f>
        <v>Not Tested</v>
      </c>
      <c r="AA139" s="3">
        <v>135</v>
      </c>
      <c r="AB139" s="3">
        <v>68</v>
      </c>
      <c r="AC139" s="3" t="str">
        <f>IF(AND(EHR[[#This Row],[BP_Systolic_mmHg]]&lt;140,EHR[[#This Row],[BP_Diastolic_mmHg]]&lt;90),"Controlled",IF(OR(EHR[[#This Row],[BP_Systolic_mmHg]]="Not Recorded",EHR[[#This Row],[BP_Diastolic_mmHg]]="Not Recorded"),"No Reading","Uncontrolled"))</f>
        <v>Controlled</v>
      </c>
      <c r="AD139" s="3" t="str">
        <f>_xlfn.CONCAT(EHR[[#This Row],[BP_Systolic_mmHg]],"/",EHR[[#This Row],[BP_Diastolic_mmHg]])</f>
        <v>135/68</v>
      </c>
      <c r="AE139" s="3">
        <v>82</v>
      </c>
      <c r="AF139" s="3">
        <v>24</v>
      </c>
      <c r="AG139" s="3">
        <v>38.1</v>
      </c>
      <c r="AH139" s="3">
        <v>24.6</v>
      </c>
      <c r="AI139" s="3" t="str">
        <f>IF(EHR[[#This Row],[BMI_kg_m2]]&gt;=30,"Obese","Non-Obese")</f>
        <v>Non-Obese</v>
      </c>
      <c r="AJ139" s="3">
        <v>98</v>
      </c>
      <c r="AK139" s="3" t="s">
        <v>50</v>
      </c>
      <c r="AL139" s="3" t="s">
        <v>51</v>
      </c>
      <c r="AM139" s="3" t="s">
        <v>52</v>
      </c>
      <c r="AN139" s="3" t="s">
        <v>53</v>
      </c>
      <c r="AO139" s="3" t="s">
        <v>54</v>
      </c>
    </row>
    <row r="140" spans="1:41" x14ac:dyDescent="0.2">
      <c r="A140" s="6" t="s">
        <v>613</v>
      </c>
      <c r="B140" s="2" t="s">
        <v>614</v>
      </c>
      <c r="C140" s="13">
        <v>45138</v>
      </c>
      <c r="D140" s="2" t="s">
        <v>95</v>
      </c>
      <c r="E140" s="2" t="s">
        <v>37</v>
      </c>
      <c r="F140" s="2" t="s">
        <v>62</v>
      </c>
      <c r="G140" s="2" t="s">
        <v>115</v>
      </c>
      <c r="H140" s="13">
        <v>28241</v>
      </c>
      <c r="I140" s="2">
        <v>48</v>
      </c>
      <c r="J140" s="2" t="str" cm="1">
        <f t="array" ref="J14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40" s="2" t="s">
        <v>1572</v>
      </c>
      <c r="L140" s="2" t="s">
        <v>116</v>
      </c>
      <c r="M140" s="2" t="s">
        <v>141</v>
      </c>
      <c r="N140" s="2" t="s">
        <v>80</v>
      </c>
      <c r="O140" s="2" t="s">
        <v>182</v>
      </c>
      <c r="P140" s="2" t="s">
        <v>328</v>
      </c>
      <c r="Q140" s="2" t="str">
        <f>_xlfn.XLOOKUP(EHR[[#This Row],[Primary_ICD11_Code]],'03_ICD11_Reference'!A:A,'03_ICD11_Reference'!D:D,,0)</f>
        <v>Mental health</v>
      </c>
      <c r="R140" s="2" t="s">
        <v>329</v>
      </c>
      <c r="S140" s="2" t="s">
        <v>69</v>
      </c>
      <c r="T140" s="2" t="s">
        <v>617</v>
      </c>
      <c r="U140" s="2">
        <v>3</v>
      </c>
      <c r="V140" s="2" t="str">
        <f>_xlfn.XLOOKUP(EHR[[#This Row],[Encounter_ID]],'02_Lab_Results'!B:B,'02_Lab_Results'!D:D,,0)</f>
        <v>6768-6</v>
      </c>
      <c r="W140" s="2" t="str">
        <f>_xlfn.XLOOKUP(EHR[[#This Row],[LOINC Code]],'04_LOINC_Reference'!A:A,'04_LOINC_Reference'!F:F,,0)</f>
        <v>Biochemistry</v>
      </c>
      <c r="X140" s="2" t="str">
        <f>_xlfn.XLOOKUP(EHR[[#This Row],[LOINC Code]],'02_Lab_Results'!D:D,'02_Lab_Results'!E:E,,0)</f>
        <v>ALP</v>
      </c>
      <c r="Y140" s="2" t="str">
        <f>_xlfn.XLOOKUP(EHR[[#This Row],[LOINC Code]],'02_Lab_Results'!D:D,'02_Lab_Results'!J:J,,0)</f>
        <v>High</v>
      </c>
      <c r="Z140" s="2" t="str" cm="1">
        <f t="array" ref="Z140">_xlfn.XLOOKUP(1,(B140=B$2:B$500)*(V$2:V$500="4548-4"),Y$2:Y$500,"Not Tested")</f>
        <v>Not Tested</v>
      </c>
      <c r="AA140" s="2">
        <v>167</v>
      </c>
      <c r="AB140" s="2">
        <v>89</v>
      </c>
      <c r="AC140" s="2" t="str">
        <f>IF(AND(EHR[[#This Row],[BP_Systolic_mmHg]]&lt;140,EHR[[#This Row],[BP_Diastolic_mmHg]]&lt;90),"Controlled",IF(OR(EHR[[#This Row],[BP_Systolic_mmHg]]="Not Recorded",EHR[[#This Row],[BP_Diastolic_mmHg]]="Not Recorded"),"No Reading","Uncontrolled"))</f>
        <v>Uncontrolled</v>
      </c>
      <c r="AD140" s="2" t="str">
        <f>_xlfn.CONCAT(EHR[[#This Row],[BP_Systolic_mmHg]],"/",EHR[[#This Row],[BP_Diastolic_mmHg]])</f>
        <v>167/89</v>
      </c>
      <c r="AE140" s="2">
        <v>90</v>
      </c>
      <c r="AF140" s="2">
        <v>22</v>
      </c>
      <c r="AG140" s="2">
        <v>36.5</v>
      </c>
      <c r="AH140" s="2">
        <v>45.4</v>
      </c>
      <c r="AI140" s="2" t="str">
        <f>IF(EHR[[#This Row],[BMI_kg_m2]]&gt;=30,"Obese","Non-Obese")</f>
        <v>Obese</v>
      </c>
      <c r="AJ140" s="2">
        <v>91</v>
      </c>
      <c r="AK140" s="2" t="s">
        <v>50</v>
      </c>
      <c r="AL140" s="2" t="s">
        <v>51</v>
      </c>
      <c r="AM140" s="2" t="s">
        <v>52</v>
      </c>
      <c r="AN140" s="2" t="s">
        <v>53</v>
      </c>
      <c r="AO140" s="2" t="s">
        <v>54</v>
      </c>
    </row>
    <row r="141" spans="1:41" x14ac:dyDescent="0.2">
      <c r="A141" s="7" t="s">
        <v>613</v>
      </c>
      <c r="B141" s="3" t="s">
        <v>618</v>
      </c>
      <c r="C141" s="14">
        <v>45062</v>
      </c>
      <c r="D141" s="3" t="s">
        <v>60</v>
      </c>
      <c r="E141" s="3" t="s">
        <v>37</v>
      </c>
      <c r="F141" s="3" t="s">
        <v>132</v>
      </c>
      <c r="G141" s="3" t="s">
        <v>104</v>
      </c>
      <c r="H141" s="14">
        <v>28241</v>
      </c>
      <c r="I141" s="3">
        <v>48</v>
      </c>
      <c r="J141" s="3" t="str" cm="1">
        <f t="array" ref="J14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41" s="3" t="s">
        <v>1572</v>
      </c>
      <c r="L141" s="3" t="s">
        <v>116</v>
      </c>
      <c r="M141" s="3" t="s">
        <v>141</v>
      </c>
      <c r="N141" s="3" t="s">
        <v>80</v>
      </c>
      <c r="O141" s="3" t="s">
        <v>182</v>
      </c>
      <c r="P141" s="3" t="s">
        <v>328</v>
      </c>
      <c r="Q141" s="3" t="str">
        <f>_xlfn.XLOOKUP(EHR[[#This Row],[Primary_ICD11_Code]],'03_ICD11_Reference'!A:A,'03_ICD11_Reference'!D:D,,0)</f>
        <v>Mental health</v>
      </c>
      <c r="R141" s="3" t="s">
        <v>329</v>
      </c>
      <c r="S141" s="3" t="s">
        <v>69</v>
      </c>
      <c r="T141" s="3" t="s">
        <v>620</v>
      </c>
      <c r="U141" s="3">
        <v>3</v>
      </c>
      <c r="V141" s="3" t="str">
        <f>_xlfn.XLOOKUP(EHR[[#This Row],[Encounter_ID]],'02_Lab_Results'!B:B,'02_Lab_Results'!D:D,,0)</f>
        <v>4548-4</v>
      </c>
      <c r="W141" s="3" t="str">
        <f>_xlfn.XLOOKUP(EHR[[#This Row],[LOINC Code]],'04_LOINC_Reference'!A:A,'04_LOINC_Reference'!F:F,,0)</f>
        <v>Biochemistry</v>
      </c>
      <c r="X141" s="3" t="str">
        <f>_xlfn.XLOOKUP(EHR[[#This Row],[LOINC Code]],'02_Lab_Results'!D:D,'02_Lab_Results'!E:E,,0)</f>
        <v>HbA1c</v>
      </c>
      <c r="Y141" s="3" t="str">
        <f>_xlfn.XLOOKUP(EHR[[#This Row],[LOINC Code]],'02_Lab_Results'!D:D,'02_Lab_Results'!J:J,,0)</f>
        <v>High</v>
      </c>
      <c r="Z141" s="3" t="str" cm="1">
        <f t="array" ref="Z141">_xlfn.XLOOKUP(1,(B141=B$2:B$500)*(V$2:V$500="4548-4"),Y$2:Y$500,"Not Tested")</f>
        <v>High</v>
      </c>
      <c r="AA141" s="3">
        <v>117</v>
      </c>
      <c r="AB141" s="3">
        <v>98</v>
      </c>
      <c r="AC141" s="3" t="str">
        <f>IF(AND(EHR[[#This Row],[BP_Systolic_mmHg]]&lt;140,EHR[[#This Row],[BP_Diastolic_mmHg]]&lt;90),"Controlled",IF(OR(EHR[[#This Row],[BP_Systolic_mmHg]]="Not Recorded",EHR[[#This Row],[BP_Diastolic_mmHg]]="Not Recorded"),"No Reading","Uncontrolled"))</f>
        <v>Uncontrolled</v>
      </c>
      <c r="AD141" s="3" t="str">
        <f>_xlfn.CONCAT(EHR[[#This Row],[BP_Systolic_mmHg]],"/",EHR[[#This Row],[BP_Diastolic_mmHg]])</f>
        <v>117/98</v>
      </c>
      <c r="AE141" s="3">
        <v>112</v>
      </c>
      <c r="AF141" s="3">
        <v>24</v>
      </c>
      <c r="AG141" s="3">
        <v>38.200000000000003</v>
      </c>
      <c r="AH141" s="3">
        <v>31.4</v>
      </c>
      <c r="AI141" s="3" t="str">
        <f>IF(EHR[[#This Row],[BMI_kg_m2]]&gt;=30,"Obese","Non-Obese")</f>
        <v>Obese</v>
      </c>
      <c r="AJ141" s="3">
        <v>95</v>
      </c>
      <c r="AK141" s="3" t="s">
        <v>50</v>
      </c>
      <c r="AL141" s="3" t="s">
        <v>51</v>
      </c>
      <c r="AM141" s="3" t="s">
        <v>52</v>
      </c>
      <c r="AN141" s="3" t="s">
        <v>53</v>
      </c>
      <c r="AO141" s="3" t="s">
        <v>54</v>
      </c>
    </row>
    <row r="142" spans="1:41" x14ac:dyDescent="0.2">
      <c r="A142" s="6" t="s">
        <v>613</v>
      </c>
      <c r="B142" s="2" t="s">
        <v>621</v>
      </c>
      <c r="C142" s="13">
        <v>45304</v>
      </c>
      <c r="D142" s="2" t="s">
        <v>103</v>
      </c>
      <c r="E142" s="2" t="s">
        <v>96</v>
      </c>
      <c r="F142" s="2" t="s">
        <v>189</v>
      </c>
      <c r="G142" s="2" t="s">
        <v>98</v>
      </c>
      <c r="H142" s="13">
        <v>28241</v>
      </c>
      <c r="I142" s="2">
        <v>48</v>
      </c>
      <c r="J142" s="2" t="str" cm="1">
        <f t="array" ref="J14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42" s="2" t="s">
        <v>1572</v>
      </c>
      <c r="L142" s="2" t="s">
        <v>42</v>
      </c>
      <c r="M142" s="2" t="s">
        <v>141</v>
      </c>
      <c r="N142" s="2" t="s">
        <v>80</v>
      </c>
      <c r="O142" s="2" t="s">
        <v>182</v>
      </c>
      <c r="P142" s="2" t="s">
        <v>328</v>
      </c>
      <c r="Q142" s="2" t="str">
        <f>_xlfn.XLOOKUP(EHR[[#This Row],[Primary_ICD11_Code]],'03_ICD11_Reference'!A:A,'03_ICD11_Reference'!D:D,,0)</f>
        <v>Mental health</v>
      </c>
      <c r="R142" s="2" t="s">
        <v>329</v>
      </c>
      <c r="S142" s="2" t="s">
        <v>69</v>
      </c>
      <c r="T142" s="2" t="s">
        <v>622</v>
      </c>
      <c r="U142" s="2">
        <v>3</v>
      </c>
      <c r="V142" s="2" t="str">
        <f>_xlfn.XLOOKUP(EHR[[#This Row],[Encounter_ID]],'02_Lab_Results'!B:B,'02_Lab_Results'!D:D,,0)</f>
        <v>6768-6</v>
      </c>
      <c r="W142" s="2" t="str">
        <f>_xlfn.XLOOKUP(EHR[[#This Row],[LOINC Code]],'04_LOINC_Reference'!A:A,'04_LOINC_Reference'!F:F,,0)</f>
        <v>Biochemistry</v>
      </c>
      <c r="X142" s="2" t="str">
        <f>_xlfn.XLOOKUP(EHR[[#This Row],[LOINC Code]],'02_Lab_Results'!D:D,'02_Lab_Results'!E:E,,0)</f>
        <v>ALP</v>
      </c>
      <c r="Y142" s="2" t="str">
        <f>_xlfn.XLOOKUP(EHR[[#This Row],[LOINC Code]],'02_Lab_Results'!D:D,'02_Lab_Results'!J:J,,0)</f>
        <v>High</v>
      </c>
      <c r="Z142" s="2" t="str" cm="1">
        <f t="array" ref="Z142">_xlfn.XLOOKUP(1,(B142=B$2:B$500)*(V$2:V$500="4548-4"),Y$2:Y$500,"Not Tested")</f>
        <v>Not Tested</v>
      </c>
      <c r="AA142" s="2">
        <v>136</v>
      </c>
      <c r="AB142" s="2">
        <v>84</v>
      </c>
      <c r="AC142" s="2" t="str">
        <f>IF(AND(EHR[[#This Row],[BP_Systolic_mmHg]]&lt;140,EHR[[#This Row],[BP_Diastolic_mmHg]]&lt;90),"Controlled",IF(OR(EHR[[#This Row],[BP_Systolic_mmHg]]="Not Recorded",EHR[[#This Row],[BP_Diastolic_mmHg]]="Not Recorded"),"No Reading","Uncontrolled"))</f>
        <v>Controlled</v>
      </c>
      <c r="AD142" s="2" t="str">
        <f>_xlfn.CONCAT(EHR[[#This Row],[BP_Systolic_mmHg]],"/",EHR[[#This Row],[BP_Diastolic_mmHg]])</f>
        <v>136/84</v>
      </c>
      <c r="AE142" s="2">
        <v>94</v>
      </c>
      <c r="AF142" s="2">
        <v>26</v>
      </c>
      <c r="AG142" s="2">
        <v>38.700000000000003</v>
      </c>
      <c r="AH142" s="2">
        <v>20.2</v>
      </c>
      <c r="AI142" s="2" t="str">
        <f>IF(EHR[[#This Row],[BMI_kg_m2]]&gt;=30,"Obese","Non-Obese")</f>
        <v>Non-Obese</v>
      </c>
      <c r="AJ142" s="2">
        <v>100</v>
      </c>
      <c r="AK142" s="2" t="s">
        <v>50</v>
      </c>
      <c r="AL142" s="2" t="s">
        <v>51</v>
      </c>
      <c r="AM142" s="2" t="s">
        <v>52</v>
      </c>
      <c r="AN142" s="2" t="s">
        <v>53</v>
      </c>
      <c r="AO142" s="2" t="s">
        <v>54</v>
      </c>
    </row>
    <row r="143" spans="1:41" x14ac:dyDescent="0.2">
      <c r="A143" s="7" t="s">
        <v>613</v>
      </c>
      <c r="B143" s="3" t="s">
        <v>623</v>
      </c>
      <c r="C143" s="14">
        <v>45257</v>
      </c>
      <c r="D143" s="3" t="s">
        <v>60</v>
      </c>
      <c r="E143" s="3" t="s">
        <v>96</v>
      </c>
      <c r="F143" s="3" t="s">
        <v>75</v>
      </c>
      <c r="G143" s="3" t="s">
        <v>63</v>
      </c>
      <c r="H143" s="14">
        <v>28241</v>
      </c>
      <c r="I143" s="3">
        <v>48</v>
      </c>
      <c r="J143" s="3" t="str" cm="1">
        <f t="array" ref="J14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43" s="3" t="s">
        <v>1572</v>
      </c>
      <c r="L143" s="3" t="s">
        <v>66</v>
      </c>
      <c r="M143" s="3" t="s">
        <v>141</v>
      </c>
      <c r="N143" s="3" t="s">
        <v>80</v>
      </c>
      <c r="O143" s="3" t="s">
        <v>182</v>
      </c>
      <c r="P143" s="3" t="s">
        <v>328</v>
      </c>
      <c r="Q143" s="3" t="str">
        <f>_xlfn.XLOOKUP(EHR[[#This Row],[Primary_ICD11_Code]],'03_ICD11_Reference'!A:A,'03_ICD11_Reference'!D:D,,0)</f>
        <v>Mental health</v>
      </c>
      <c r="R143" s="3" t="s">
        <v>329</v>
      </c>
      <c r="S143" s="3" t="s">
        <v>69</v>
      </c>
      <c r="T143" s="3" t="s">
        <v>144</v>
      </c>
      <c r="U143" s="3">
        <v>1</v>
      </c>
      <c r="V143" s="3" t="str">
        <f>_xlfn.XLOOKUP(EHR[[#This Row],[Encounter_ID]],'02_Lab_Results'!B:B,'02_Lab_Results'!D:D,,0)</f>
        <v>2160-0</v>
      </c>
      <c r="W143" s="3" t="str">
        <f>_xlfn.XLOOKUP(EHR[[#This Row],[LOINC Code]],'04_LOINC_Reference'!A:A,'04_LOINC_Reference'!F:F,,0)</f>
        <v>Biochemistry</v>
      </c>
      <c r="X143" s="3" t="str">
        <f>_xlfn.XLOOKUP(EHR[[#This Row],[LOINC Code]],'02_Lab_Results'!D:D,'02_Lab_Results'!E:E,,0)</f>
        <v>Serum creatinine</v>
      </c>
      <c r="Y143" s="3" t="str">
        <f>_xlfn.XLOOKUP(EHR[[#This Row],[LOINC Code]],'02_Lab_Results'!D:D,'02_Lab_Results'!J:J,,0)</f>
        <v>Normal</v>
      </c>
      <c r="Z143" s="3" t="str" cm="1">
        <f t="array" ref="Z143">_xlfn.XLOOKUP(1,(B143=B$2:B$500)*(V$2:V$500="4548-4"),Y$2:Y$500,"Not Tested")</f>
        <v>Not Tested</v>
      </c>
      <c r="AA143" s="3">
        <v>170</v>
      </c>
      <c r="AB143" s="3">
        <v>75</v>
      </c>
      <c r="AC143" s="3" t="str">
        <f>IF(AND(EHR[[#This Row],[BP_Systolic_mmHg]]&lt;140,EHR[[#This Row],[BP_Diastolic_mmHg]]&lt;90),"Controlled",IF(OR(EHR[[#This Row],[BP_Systolic_mmHg]]="Not Recorded",EHR[[#This Row],[BP_Diastolic_mmHg]]="Not Recorded"),"No Reading","Uncontrolled"))</f>
        <v>Uncontrolled</v>
      </c>
      <c r="AD143" s="3" t="str">
        <f>_xlfn.CONCAT(EHR[[#This Row],[BP_Systolic_mmHg]],"/",EHR[[#This Row],[BP_Diastolic_mmHg]])</f>
        <v>170/75</v>
      </c>
      <c r="AE143" s="3">
        <v>93</v>
      </c>
      <c r="AF143" s="3">
        <v>21</v>
      </c>
      <c r="AG143" s="3">
        <v>37.6</v>
      </c>
      <c r="AH143" s="3">
        <v>27.3</v>
      </c>
      <c r="AI143" s="3" t="str">
        <f>IF(EHR[[#This Row],[BMI_kg_m2]]&gt;=30,"Obese","Non-Obese")</f>
        <v>Non-Obese</v>
      </c>
      <c r="AJ143" s="3">
        <v>96</v>
      </c>
      <c r="AK143" s="3" t="s">
        <v>50</v>
      </c>
      <c r="AL143" s="3" t="s">
        <v>51</v>
      </c>
      <c r="AM143" s="3" t="s">
        <v>52</v>
      </c>
      <c r="AN143" s="3" t="s">
        <v>53</v>
      </c>
      <c r="AO143" s="3" t="s">
        <v>54</v>
      </c>
    </row>
    <row r="144" spans="1:41" x14ac:dyDescent="0.2">
      <c r="A144" s="6" t="s">
        <v>613</v>
      </c>
      <c r="B144" s="2" t="s">
        <v>625</v>
      </c>
      <c r="C144" s="13">
        <v>45088</v>
      </c>
      <c r="D144" s="2" t="s">
        <v>36</v>
      </c>
      <c r="E144" s="2" t="s">
        <v>167</v>
      </c>
      <c r="F144" s="2" t="s">
        <v>122</v>
      </c>
      <c r="G144" s="2" t="s">
        <v>76</v>
      </c>
      <c r="H144" s="13">
        <v>28241</v>
      </c>
      <c r="I144" s="2">
        <v>48</v>
      </c>
      <c r="J144" s="2" t="str" cm="1">
        <f t="array" ref="J14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44" s="2" t="s">
        <v>1572</v>
      </c>
      <c r="L144" s="2" t="s">
        <v>116</v>
      </c>
      <c r="M144" s="2" t="s">
        <v>141</v>
      </c>
      <c r="N144" s="2" t="s">
        <v>80</v>
      </c>
      <c r="O144" s="2" t="s">
        <v>182</v>
      </c>
      <c r="P144" s="2" t="s">
        <v>328</v>
      </c>
      <c r="Q144" s="2" t="str">
        <f>_xlfn.XLOOKUP(EHR[[#This Row],[Primary_ICD11_Code]],'03_ICD11_Reference'!A:A,'03_ICD11_Reference'!D:D,,0)</f>
        <v>Mental health</v>
      </c>
      <c r="R144" s="2" t="s">
        <v>329</v>
      </c>
      <c r="S144" s="2" t="s">
        <v>69</v>
      </c>
      <c r="T144" s="2" t="s">
        <v>627</v>
      </c>
      <c r="U144" s="2">
        <v>2</v>
      </c>
      <c r="V144" s="2" t="str">
        <f>_xlfn.XLOOKUP(EHR[[#This Row],[Encounter_ID]],'02_Lab_Results'!B:B,'02_Lab_Results'!D:D,,0)</f>
        <v>14627-4</v>
      </c>
      <c r="W144" s="2" t="str">
        <f>_xlfn.XLOOKUP(EHR[[#This Row],[LOINC Code]],'04_LOINC_Reference'!A:A,'04_LOINC_Reference'!F:F,,0)</f>
        <v>Biochemistry</v>
      </c>
      <c r="X144" s="2" t="str">
        <f>_xlfn.XLOOKUP(EHR[[#This Row],[LOINC Code]],'02_Lab_Results'!D:D,'02_Lab_Results'!E:E,,0)</f>
        <v>eGFR (CKD-EPI)</v>
      </c>
      <c r="Y144" s="2" t="str">
        <f>_xlfn.XLOOKUP(EHR[[#This Row],[LOINC Code]],'02_Lab_Results'!D:D,'02_Lab_Results'!J:J,,0)</f>
        <v>High</v>
      </c>
      <c r="Z144" s="2" t="str" cm="1">
        <f t="array" ref="Z144">_xlfn.XLOOKUP(1,(B144=B$2:B$500)*(V$2:V$500="4548-4"),Y$2:Y$500,"Not Tested")</f>
        <v>Not Tested</v>
      </c>
      <c r="AA144" s="2">
        <v>135</v>
      </c>
      <c r="AB144" s="2">
        <v>55</v>
      </c>
      <c r="AC144" s="2" t="str">
        <f>IF(AND(EHR[[#This Row],[BP_Systolic_mmHg]]&lt;140,EHR[[#This Row],[BP_Diastolic_mmHg]]&lt;90),"Controlled",IF(OR(EHR[[#This Row],[BP_Systolic_mmHg]]="Not Recorded",EHR[[#This Row],[BP_Diastolic_mmHg]]="Not Recorded"),"No Reading","Uncontrolled"))</f>
        <v>Controlled</v>
      </c>
      <c r="AD144" s="2" t="str">
        <f>_xlfn.CONCAT(EHR[[#This Row],[BP_Systolic_mmHg]],"/",EHR[[#This Row],[BP_Diastolic_mmHg]])</f>
        <v>135/55</v>
      </c>
      <c r="AE144" s="2">
        <v>122</v>
      </c>
      <c r="AF144" s="2">
        <v>15</v>
      </c>
      <c r="AG144" s="2">
        <v>38.200000000000003</v>
      </c>
      <c r="AH144" s="2">
        <v>21.3</v>
      </c>
      <c r="AI144" s="2" t="str">
        <f>IF(EHR[[#This Row],[BMI_kg_m2]]&gt;=30,"Obese","Non-Obese")</f>
        <v>Non-Obese</v>
      </c>
      <c r="AJ144" s="2">
        <v>95</v>
      </c>
      <c r="AK144" s="2" t="s">
        <v>50</v>
      </c>
      <c r="AL144" s="2" t="s">
        <v>51</v>
      </c>
      <c r="AM144" s="2" t="s">
        <v>52</v>
      </c>
      <c r="AN144" s="2" t="s">
        <v>53</v>
      </c>
      <c r="AO144" s="2" t="s">
        <v>54</v>
      </c>
    </row>
    <row r="145" spans="1:41" x14ac:dyDescent="0.2">
      <c r="A145" s="7" t="s">
        <v>613</v>
      </c>
      <c r="B145" s="3" t="s">
        <v>628</v>
      </c>
      <c r="C145" s="14">
        <v>45591</v>
      </c>
      <c r="D145" s="3" t="s">
        <v>95</v>
      </c>
      <c r="E145" s="3" t="s">
        <v>37</v>
      </c>
      <c r="F145" s="3" t="s">
        <v>38</v>
      </c>
      <c r="G145" s="3" t="s">
        <v>138</v>
      </c>
      <c r="H145" s="14">
        <v>28241</v>
      </c>
      <c r="I145" s="3">
        <v>48</v>
      </c>
      <c r="J145" s="3" t="str" cm="1">
        <f t="array" ref="J14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45" s="3" t="s">
        <v>1572</v>
      </c>
      <c r="L145" s="3" t="s">
        <v>90</v>
      </c>
      <c r="M145" s="3" t="s">
        <v>141</v>
      </c>
      <c r="N145" s="3" t="s">
        <v>80</v>
      </c>
      <c r="O145" s="3" t="s">
        <v>182</v>
      </c>
      <c r="P145" s="3" t="s">
        <v>328</v>
      </c>
      <c r="Q145" s="3" t="str">
        <f>_xlfn.XLOOKUP(EHR[[#This Row],[Primary_ICD11_Code]],'03_ICD11_Reference'!A:A,'03_ICD11_Reference'!D:D,,0)</f>
        <v>Mental health</v>
      </c>
      <c r="R145" s="3" t="s">
        <v>329</v>
      </c>
      <c r="S145" s="3" t="s">
        <v>69</v>
      </c>
      <c r="T145" s="3" t="s">
        <v>518</v>
      </c>
      <c r="U145" s="3">
        <v>1</v>
      </c>
      <c r="V145" s="3" t="str">
        <f>_xlfn.XLOOKUP(EHR[[#This Row],[Encounter_ID]],'02_Lab_Results'!B:B,'02_Lab_Results'!D:D,,0)</f>
        <v>2823-3</v>
      </c>
      <c r="W145" s="3" t="str">
        <f>_xlfn.XLOOKUP(EHR[[#This Row],[LOINC Code]],'04_LOINC_Reference'!A:A,'04_LOINC_Reference'!F:F,,0)</f>
        <v>Biochemistry</v>
      </c>
      <c r="X145" s="3" t="str">
        <f>_xlfn.XLOOKUP(EHR[[#This Row],[LOINC Code]],'02_Lab_Results'!D:D,'02_Lab_Results'!E:E,,0)</f>
        <v>Serum potassium</v>
      </c>
      <c r="Y145" s="3" t="str">
        <f>_xlfn.XLOOKUP(EHR[[#This Row],[LOINC Code]],'02_Lab_Results'!D:D,'02_Lab_Results'!J:J,,0)</f>
        <v>Normal</v>
      </c>
      <c r="Z145" s="3" t="str" cm="1">
        <f t="array" ref="Z145">_xlfn.XLOOKUP(1,(B145=B$2:B$500)*(V$2:V$500="4548-4"),Y$2:Y$500,"Not Tested")</f>
        <v>Not Tested</v>
      </c>
      <c r="AA145" s="3">
        <v>110</v>
      </c>
      <c r="AB145" s="3">
        <v>79</v>
      </c>
      <c r="AC145" s="3" t="str">
        <f>IF(AND(EHR[[#This Row],[BP_Systolic_mmHg]]&lt;140,EHR[[#This Row],[BP_Diastolic_mmHg]]&lt;90),"Controlled",IF(OR(EHR[[#This Row],[BP_Systolic_mmHg]]="Not Recorded",EHR[[#This Row],[BP_Diastolic_mmHg]]="Not Recorded"),"No Reading","Uncontrolled"))</f>
        <v>Controlled</v>
      </c>
      <c r="AD145" s="3" t="str">
        <f>_xlfn.CONCAT(EHR[[#This Row],[BP_Systolic_mmHg]],"/",EHR[[#This Row],[BP_Diastolic_mmHg]])</f>
        <v>110/79</v>
      </c>
      <c r="AE145" s="3">
        <v>73</v>
      </c>
      <c r="AF145" s="3">
        <v>23</v>
      </c>
      <c r="AG145" s="3">
        <v>36.700000000000003</v>
      </c>
      <c r="AH145" s="3">
        <v>36.200000000000003</v>
      </c>
      <c r="AI145" s="3" t="str">
        <f>IF(EHR[[#This Row],[BMI_kg_m2]]&gt;=30,"Obese","Non-Obese")</f>
        <v>Obese</v>
      </c>
      <c r="AJ145" s="3">
        <v>96</v>
      </c>
      <c r="AK145" s="3" t="s">
        <v>50</v>
      </c>
      <c r="AL145" s="3" t="s">
        <v>51</v>
      </c>
      <c r="AM145" s="3" t="s">
        <v>52</v>
      </c>
      <c r="AN145" s="3" t="s">
        <v>53</v>
      </c>
      <c r="AO145" s="3" t="s">
        <v>54</v>
      </c>
    </row>
    <row r="146" spans="1:41" x14ac:dyDescent="0.2">
      <c r="A146" s="6" t="s">
        <v>630</v>
      </c>
      <c r="B146" s="2" t="s">
        <v>631</v>
      </c>
      <c r="C146" s="13">
        <v>45319</v>
      </c>
      <c r="D146" s="2" t="s">
        <v>88</v>
      </c>
      <c r="E146" s="2" t="s">
        <v>89</v>
      </c>
      <c r="F146" s="2" t="s">
        <v>75</v>
      </c>
      <c r="G146" s="2" t="s">
        <v>115</v>
      </c>
      <c r="H146" s="13">
        <v>38740</v>
      </c>
      <c r="I146" s="2">
        <v>19</v>
      </c>
      <c r="J146" s="2" t="str" cm="1">
        <f t="array" ref="J14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46" s="2" t="s">
        <v>1573</v>
      </c>
      <c r="L146" s="2" t="s">
        <v>78</v>
      </c>
      <c r="M146" s="2" t="s">
        <v>141</v>
      </c>
      <c r="N146" s="2" t="s">
        <v>80</v>
      </c>
      <c r="O146" s="2" t="s">
        <v>1574</v>
      </c>
      <c r="P146" s="2" t="s">
        <v>67</v>
      </c>
      <c r="Q146" s="2" t="str">
        <f>_xlfn.XLOOKUP(EHR[[#This Row],[Primary_ICD11_Code]],'03_ICD11_Reference'!A:A,'03_ICD11_Reference'!D:D,,0)</f>
        <v>Endocrine</v>
      </c>
      <c r="R146" s="2" t="s">
        <v>68</v>
      </c>
      <c r="S146" s="2" t="s">
        <v>69</v>
      </c>
      <c r="T146" s="2" t="s">
        <v>634</v>
      </c>
      <c r="U146" s="2">
        <v>2</v>
      </c>
      <c r="V146" s="2" t="str">
        <f>_xlfn.XLOOKUP(EHR[[#This Row],[Encounter_ID]],'02_Lab_Results'!B:B,'02_Lab_Results'!D:D,,0)</f>
        <v>6768-6</v>
      </c>
      <c r="W146" s="2" t="str">
        <f>_xlfn.XLOOKUP(EHR[[#This Row],[LOINC Code]],'04_LOINC_Reference'!A:A,'04_LOINC_Reference'!F:F,,0)</f>
        <v>Biochemistry</v>
      </c>
      <c r="X146" s="2" t="str">
        <f>_xlfn.XLOOKUP(EHR[[#This Row],[LOINC Code]],'02_Lab_Results'!D:D,'02_Lab_Results'!E:E,,0)</f>
        <v>ALP</v>
      </c>
      <c r="Y146" s="2" t="str">
        <f>_xlfn.XLOOKUP(EHR[[#This Row],[LOINC Code]],'02_Lab_Results'!D:D,'02_Lab_Results'!J:J,,0)</f>
        <v>High</v>
      </c>
      <c r="Z146" s="2" t="str" cm="1">
        <f t="array" ref="Z146">_xlfn.XLOOKUP(1,(B146=B$2:B$500)*(V$2:V$500="4548-4"),Y$2:Y$500,"Not Tested")</f>
        <v>Not Tested</v>
      </c>
      <c r="AA146" s="2" t="s">
        <v>1570</v>
      </c>
      <c r="AB146" s="2" t="s">
        <v>1570</v>
      </c>
      <c r="AC146" s="2" t="str">
        <f>IF(AND(EHR[[#This Row],[BP_Systolic_mmHg]]&lt;140,EHR[[#This Row],[BP_Diastolic_mmHg]]&lt;90),"Controlled",IF(OR(EHR[[#This Row],[BP_Systolic_mmHg]]="Not Recorded",EHR[[#This Row],[BP_Diastolic_mmHg]]="Not Recorded"),"No Reading","Uncontrolled"))</f>
        <v>No Reading</v>
      </c>
      <c r="AD146" s="2" t="str">
        <f>_xlfn.CONCAT(EHR[[#This Row],[BP_Systolic_mmHg]],"/",EHR[[#This Row],[BP_Diastolic_mmHg]])</f>
        <v>Not Recorded/Not Recorded</v>
      </c>
      <c r="AE146" s="2">
        <v>58</v>
      </c>
      <c r="AF146" s="2">
        <v>18</v>
      </c>
      <c r="AG146" s="2">
        <v>37</v>
      </c>
      <c r="AH146" s="2">
        <v>28.4</v>
      </c>
      <c r="AI146" s="2" t="str">
        <f>IF(EHR[[#This Row],[BMI_kg_m2]]&gt;=30,"Obese","Non-Obese")</f>
        <v>Non-Obese</v>
      </c>
      <c r="AJ146" s="2">
        <v>98</v>
      </c>
      <c r="AK146" s="2" t="s">
        <v>50</v>
      </c>
      <c r="AL146" s="2" t="s">
        <v>51</v>
      </c>
      <c r="AM146" s="2" t="s">
        <v>52</v>
      </c>
      <c r="AN146" s="2" t="s">
        <v>53</v>
      </c>
      <c r="AO146" s="2" t="s">
        <v>54</v>
      </c>
    </row>
    <row r="147" spans="1:41" x14ac:dyDescent="0.2">
      <c r="A147" s="7" t="s">
        <v>635</v>
      </c>
      <c r="B147" s="3" t="s">
        <v>636</v>
      </c>
      <c r="C147" s="14">
        <v>45070</v>
      </c>
      <c r="D147" s="3" t="s">
        <v>103</v>
      </c>
      <c r="E147" s="3" t="s">
        <v>89</v>
      </c>
      <c r="F147" s="3" t="s">
        <v>97</v>
      </c>
      <c r="G147" s="3" t="s">
        <v>138</v>
      </c>
      <c r="H147" s="14">
        <v>29255</v>
      </c>
      <c r="I147" s="3">
        <v>45</v>
      </c>
      <c r="J147" s="3" t="str" cm="1">
        <f t="array" ref="J14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47" s="3" t="s">
        <v>1573</v>
      </c>
      <c r="L147" s="3" t="s">
        <v>116</v>
      </c>
      <c r="M147" s="3" t="s">
        <v>141</v>
      </c>
      <c r="N147" s="3" t="s">
        <v>125</v>
      </c>
      <c r="O147" s="3" t="s">
        <v>1574</v>
      </c>
      <c r="P147" s="3" t="s">
        <v>305</v>
      </c>
      <c r="Q147" s="3" t="str">
        <f>_xlfn.XLOOKUP(EHR[[#This Row],[Primary_ICD11_Code]],'03_ICD11_Reference'!A:A,'03_ICD11_Reference'!D:D,,0)</f>
        <v>Infectious</v>
      </c>
      <c r="R147" s="3" t="s">
        <v>306</v>
      </c>
      <c r="S147" s="3" t="s">
        <v>48</v>
      </c>
      <c r="T147" s="3" t="s">
        <v>243</v>
      </c>
      <c r="U147" s="3">
        <v>1</v>
      </c>
      <c r="V147" s="3" t="str">
        <f>_xlfn.XLOOKUP(EHR[[#This Row],[Encounter_ID]],'02_Lab_Results'!B:B,'02_Lab_Results'!D:D,,0)</f>
        <v>17861-6</v>
      </c>
      <c r="W147" s="3" t="str">
        <f>_xlfn.XLOOKUP(EHR[[#This Row],[LOINC Code]],'04_LOINC_Reference'!A:A,'04_LOINC_Reference'!F:F,,0)</f>
        <v>Biochemistry</v>
      </c>
      <c r="X147" s="3" t="str">
        <f>_xlfn.XLOOKUP(EHR[[#This Row],[LOINC Code]],'02_Lab_Results'!D:D,'02_Lab_Results'!E:E,,0)</f>
        <v>Serum calcium</v>
      </c>
      <c r="Y147" s="3" t="str">
        <f>_xlfn.XLOOKUP(EHR[[#This Row],[LOINC Code]],'02_Lab_Results'!D:D,'02_Lab_Results'!J:J,,0)</f>
        <v>High</v>
      </c>
      <c r="Z147" s="3" t="str" cm="1">
        <f t="array" ref="Z147">_xlfn.XLOOKUP(1,(B147=B$2:B$500)*(V$2:V$500="4548-4"),Y$2:Y$500,"Not Tested")</f>
        <v>Not Tested</v>
      </c>
      <c r="AA147" s="3">
        <v>117</v>
      </c>
      <c r="AB147" s="3">
        <v>94</v>
      </c>
      <c r="AC147" s="3" t="str">
        <f>IF(AND(EHR[[#This Row],[BP_Systolic_mmHg]]&lt;140,EHR[[#This Row],[BP_Diastolic_mmHg]]&lt;90),"Controlled",IF(OR(EHR[[#This Row],[BP_Systolic_mmHg]]="Not Recorded",EHR[[#This Row],[BP_Diastolic_mmHg]]="Not Recorded"),"No Reading","Uncontrolled"))</f>
        <v>Uncontrolled</v>
      </c>
      <c r="AD147" s="3" t="str">
        <f>_xlfn.CONCAT(EHR[[#This Row],[BP_Systolic_mmHg]],"/",EHR[[#This Row],[BP_Diastolic_mmHg]])</f>
        <v>117/94</v>
      </c>
      <c r="AE147" s="3">
        <v>69</v>
      </c>
      <c r="AF147" s="3">
        <v>22</v>
      </c>
      <c r="AG147" s="3">
        <v>38.299999999999997</v>
      </c>
      <c r="AH147" s="3">
        <v>25.6</v>
      </c>
      <c r="AI147" s="3" t="str">
        <f>IF(EHR[[#This Row],[BMI_kg_m2]]&gt;=30,"Obese","Non-Obese")</f>
        <v>Non-Obese</v>
      </c>
      <c r="AJ147" s="3">
        <v>99</v>
      </c>
      <c r="AK147" s="3" t="s">
        <v>50</v>
      </c>
      <c r="AL147" s="3" t="s">
        <v>51</v>
      </c>
      <c r="AM147" s="3" t="s">
        <v>52</v>
      </c>
      <c r="AN147" s="3" t="s">
        <v>53</v>
      </c>
      <c r="AO147" s="3" t="s">
        <v>54</v>
      </c>
    </row>
    <row r="148" spans="1:41" x14ac:dyDescent="0.2">
      <c r="A148" s="6" t="s">
        <v>638</v>
      </c>
      <c r="B148" s="2" t="s">
        <v>639</v>
      </c>
      <c r="C148" s="13">
        <v>45535</v>
      </c>
      <c r="D148" s="2" t="s">
        <v>60</v>
      </c>
      <c r="E148" s="2" t="s">
        <v>37</v>
      </c>
      <c r="F148" s="2" t="s">
        <v>97</v>
      </c>
      <c r="G148" s="2" t="s">
        <v>63</v>
      </c>
      <c r="H148" s="13">
        <v>25874</v>
      </c>
      <c r="I148" s="2">
        <v>55</v>
      </c>
      <c r="J148" s="2" t="str" cm="1">
        <f t="array" ref="J14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48" s="2" t="s">
        <v>1573</v>
      </c>
      <c r="L148" s="2" t="s">
        <v>110</v>
      </c>
      <c r="M148" s="2" t="s">
        <v>141</v>
      </c>
      <c r="N148" s="2" t="s">
        <v>44</v>
      </c>
      <c r="O148" s="2" t="s">
        <v>182</v>
      </c>
      <c r="P148" s="2" t="s">
        <v>46</v>
      </c>
      <c r="Q148" s="2" t="str">
        <f>_xlfn.XLOOKUP(EHR[[#This Row],[Primary_ICD11_Code]],'03_ICD11_Reference'!A:A,'03_ICD11_Reference'!D:D,,0)</f>
        <v>Haematological</v>
      </c>
      <c r="R148" s="2" t="s">
        <v>47</v>
      </c>
      <c r="S148" s="2" t="s">
        <v>48</v>
      </c>
      <c r="T148" s="2" t="s">
        <v>642</v>
      </c>
      <c r="U148" s="2">
        <v>4</v>
      </c>
      <c r="V148" s="2" t="str">
        <f>_xlfn.XLOOKUP(EHR[[#This Row],[Encounter_ID]],'02_Lab_Results'!B:B,'02_Lab_Results'!D:D,,0)</f>
        <v>2777-1</v>
      </c>
      <c r="W148" s="2" t="str">
        <f>_xlfn.XLOOKUP(EHR[[#This Row],[LOINC Code]],'04_LOINC_Reference'!A:A,'04_LOINC_Reference'!F:F,,0)</f>
        <v>Biochemistry</v>
      </c>
      <c r="X148" s="2" t="str">
        <f>_xlfn.XLOOKUP(EHR[[#This Row],[LOINC Code]],'02_Lab_Results'!D:D,'02_Lab_Results'!E:E,,0)</f>
        <v>Serum phosphate</v>
      </c>
      <c r="Y148" s="2" t="str">
        <f>_xlfn.XLOOKUP(EHR[[#This Row],[LOINC Code]],'02_Lab_Results'!D:D,'02_Lab_Results'!J:J,,0)</f>
        <v>Normal</v>
      </c>
      <c r="Z148" s="2" t="str" cm="1">
        <f t="array" ref="Z148">_xlfn.XLOOKUP(1,(B148=B$2:B$500)*(V$2:V$500="4548-4"),Y$2:Y$500,"Not Tested")</f>
        <v>Not Tested</v>
      </c>
      <c r="AA148" s="2">
        <v>101</v>
      </c>
      <c r="AB148" s="2">
        <v>108</v>
      </c>
      <c r="AC148" s="2" t="str">
        <f>IF(AND(EHR[[#This Row],[BP_Systolic_mmHg]]&lt;140,EHR[[#This Row],[BP_Diastolic_mmHg]]&lt;90),"Controlled",IF(OR(EHR[[#This Row],[BP_Systolic_mmHg]]="Not Recorded",EHR[[#This Row],[BP_Diastolic_mmHg]]="Not Recorded"),"No Reading","Uncontrolled"))</f>
        <v>Uncontrolled</v>
      </c>
      <c r="AD148" s="2" t="str">
        <f>_xlfn.CONCAT(EHR[[#This Row],[BP_Systolic_mmHg]],"/",EHR[[#This Row],[BP_Diastolic_mmHg]])</f>
        <v>101/108</v>
      </c>
      <c r="AE148" s="2">
        <v>51</v>
      </c>
      <c r="AF148" s="2">
        <v>18</v>
      </c>
      <c r="AG148" s="2">
        <v>37</v>
      </c>
      <c r="AH148" s="2">
        <v>28.5</v>
      </c>
      <c r="AI148" s="2" t="str">
        <f>IF(EHR[[#This Row],[BMI_kg_m2]]&gt;=30,"Obese","Non-Obese")</f>
        <v>Non-Obese</v>
      </c>
      <c r="AJ148" s="2">
        <v>98</v>
      </c>
      <c r="AK148" s="2" t="s">
        <v>50</v>
      </c>
      <c r="AL148" s="2" t="s">
        <v>51</v>
      </c>
      <c r="AM148" s="2" t="s">
        <v>52</v>
      </c>
      <c r="AN148" s="2" t="s">
        <v>53</v>
      </c>
      <c r="AO148" s="2" t="s">
        <v>54</v>
      </c>
    </row>
    <row r="149" spans="1:41" x14ac:dyDescent="0.2">
      <c r="A149" s="7" t="s">
        <v>638</v>
      </c>
      <c r="B149" s="3" t="s">
        <v>643</v>
      </c>
      <c r="C149" s="14">
        <v>45195</v>
      </c>
      <c r="D149" s="3" t="s">
        <v>36</v>
      </c>
      <c r="E149" s="3" t="s">
        <v>37</v>
      </c>
      <c r="F149" s="3" t="s">
        <v>62</v>
      </c>
      <c r="G149" s="3" t="s">
        <v>63</v>
      </c>
      <c r="H149" s="14">
        <v>25874</v>
      </c>
      <c r="I149" s="3">
        <v>55</v>
      </c>
      <c r="J149" s="3" t="str" cm="1">
        <f t="array" ref="J14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49" s="3" t="s">
        <v>1573</v>
      </c>
      <c r="L149" s="3" t="s">
        <v>90</v>
      </c>
      <c r="M149" s="3" t="s">
        <v>141</v>
      </c>
      <c r="N149" s="3" t="s">
        <v>44</v>
      </c>
      <c r="O149" s="3" t="s">
        <v>182</v>
      </c>
      <c r="P149" s="3" t="s">
        <v>46</v>
      </c>
      <c r="Q149" s="3" t="str">
        <f>_xlfn.XLOOKUP(EHR[[#This Row],[Primary_ICD11_Code]],'03_ICD11_Reference'!A:A,'03_ICD11_Reference'!D:D,,0)</f>
        <v>Haematological</v>
      </c>
      <c r="R149" s="3" t="s">
        <v>47</v>
      </c>
      <c r="S149" s="3" t="s">
        <v>48</v>
      </c>
      <c r="T149" s="3" t="s">
        <v>645</v>
      </c>
      <c r="U149" s="3">
        <v>4</v>
      </c>
      <c r="V149" s="3" t="str">
        <f>_xlfn.XLOOKUP(EHR[[#This Row],[Encounter_ID]],'02_Lab_Results'!B:B,'02_Lab_Results'!D:D,,0)</f>
        <v>14627-4</v>
      </c>
      <c r="W149" s="3" t="str">
        <f>_xlfn.XLOOKUP(EHR[[#This Row],[LOINC Code]],'04_LOINC_Reference'!A:A,'04_LOINC_Reference'!F:F,,0)</f>
        <v>Biochemistry</v>
      </c>
      <c r="X149" s="3" t="str">
        <f>_xlfn.XLOOKUP(EHR[[#This Row],[LOINC Code]],'02_Lab_Results'!D:D,'02_Lab_Results'!E:E,,0)</f>
        <v>eGFR (CKD-EPI)</v>
      </c>
      <c r="Y149" s="3" t="str">
        <f>_xlfn.XLOOKUP(EHR[[#This Row],[LOINC Code]],'02_Lab_Results'!D:D,'02_Lab_Results'!J:J,,0)</f>
        <v>High</v>
      </c>
      <c r="Z149" s="3" t="str" cm="1">
        <f t="array" ref="Z149">_xlfn.XLOOKUP(1,(B149=B$2:B$500)*(V$2:V$500="4548-4"),Y$2:Y$500,"Not Tested")</f>
        <v>Not Tested</v>
      </c>
      <c r="AA149" s="3">
        <v>114</v>
      </c>
      <c r="AB149" s="3">
        <v>110</v>
      </c>
      <c r="AC149" s="3" t="str">
        <f>IF(AND(EHR[[#This Row],[BP_Systolic_mmHg]]&lt;140,EHR[[#This Row],[BP_Diastolic_mmHg]]&lt;90),"Controlled",IF(OR(EHR[[#This Row],[BP_Systolic_mmHg]]="Not Recorded",EHR[[#This Row],[BP_Diastolic_mmHg]]="Not Recorded"),"No Reading","Uncontrolled"))</f>
        <v>Uncontrolled</v>
      </c>
      <c r="AD149" s="3" t="str">
        <f>_xlfn.CONCAT(EHR[[#This Row],[BP_Systolic_mmHg]],"/",EHR[[#This Row],[BP_Diastolic_mmHg]])</f>
        <v>114/110</v>
      </c>
      <c r="AE149" s="3">
        <v>121</v>
      </c>
      <c r="AF149" s="3">
        <v>18</v>
      </c>
      <c r="AG149" s="3">
        <v>36.9</v>
      </c>
      <c r="AH149" s="3">
        <v>37.799999999999997</v>
      </c>
      <c r="AI149" s="3" t="str">
        <f>IF(EHR[[#This Row],[BMI_kg_m2]]&gt;=30,"Obese","Non-Obese")</f>
        <v>Obese</v>
      </c>
      <c r="AJ149" s="3">
        <v>97</v>
      </c>
      <c r="AK149" s="3" t="s">
        <v>50</v>
      </c>
      <c r="AL149" s="3" t="s">
        <v>51</v>
      </c>
      <c r="AM149" s="3" t="s">
        <v>52</v>
      </c>
      <c r="AN149" s="3" t="s">
        <v>53</v>
      </c>
      <c r="AO149" s="3" t="s">
        <v>54</v>
      </c>
    </row>
    <row r="150" spans="1:41" x14ac:dyDescent="0.2">
      <c r="A150" s="6" t="s">
        <v>646</v>
      </c>
      <c r="B150" s="2" t="s">
        <v>647</v>
      </c>
      <c r="C150" s="13">
        <v>45171</v>
      </c>
      <c r="D150" s="2" t="s">
        <v>103</v>
      </c>
      <c r="E150" s="2" t="s">
        <v>37</v>
      </c>
      <c r="F150" s="2" t="s">
        <v>38</v>
      </c>
      <c r="G150" s="2" t="s">
        <v>98</v>
      </c>
      <c r="H150" s="13">
        <v>32397</v>
      </c>
      <c r="I150" s="2">
        <v>37</v>
      </c>
      <c r="J150" s="2" t="str" cm="1">
        <f t="array" ref="J15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50" s="2" t="s">
        <v>1572</v>
      </c>
      <c r="L150" s="2" t="s">
        <v>42</v>
      </c>
      <c r="M150" s="2" t="s">
        <v>45</v>
      </c>
      <c r="N150" s="2" t="s">
        <v>125</v>
      </c>
      <c r="O150" s="2" t="s">
        <v>1574</v>
      </c>
      <c r="P150" s="2" t="s">
        <v>150</v>
      </c>
      <c r="Q150" s="2" t="str">
        <f>_xlfn.XLOOKUP(EHR[[#This Row],[Primary_ICD11_Code]],'03_ICD11_Reference'!A:A,'03_ICD11_Reference'!D:D,,0)</f>
        <v>Gastroenterology</v>
      </c>
      <c r="R150" s="2" t="s">
        <v>151</v>
      </c>
      <c r="S150" s="2" t="s">
        <v>69</v>
      </c>
      <c r="T150" s="2" t="s">
        <v>650</v>
      </c>
      <c r="U150" s="2">
        <v>2</v>
      </c>
      <c r="V150" s="2" t="str">
        <f>_xlfn.XLOOKUP(EHR[[#This Row],[Encounter_ID]],'02_Lab_Results'!B:B,'02_Lab_Results'!D:D,,0)</f>
        <v>2085-9</v>
      </c>
      <c r="W150" s="2" t="str">
        <f>_xlfn.XLOOKUP(EHR[[#This Row],[LOINC Code]],'04_LOINC_Reference'!A:A,'04_LOINC_Reference'!F:F,,0)</f>
        <v>Biochemistry</v>
      </c>
      <c r="X150" s="2" t="str">
        <f>_xlfn.XLOOKUP(EHR[[#This Row],[LOINC Code]],'02_Lab_Results'!D:D,'02_Lab_Results'!E:E,,0)</f>
        <v>HDL cholesterol</v>
      </c>
      <c r="Y150" s="2" t="str">
        <f>_xlfn.XLOOKUP(EHR[[#This Row],[LOINC Code]],'02_Lab_Results'!D:D,'02_Lab_Results'!J:J,,0)</f>
        <v>Normal</v>
      </c>
      <c r="Z150" s="2" t="str" cm="1">
        <f t="array" ref="Z150">_xlfn.XLOOKUP(1,(B150=B$2:B$500)*(V$2:V$500="4548-4"),Y$2:Y$500,"Not Tested")</f>
        <v>Not Tested</v>
      </c>
      <c r="AA150" s="2">
        <v>100</v>
      </c>
      <c r="AB150" s="2">
        <v>60</v>
      </c>
      <c r="AC150" s="2" t="str">
        <f>IF(AND(EHR[[#This Row],[BP_Systolic_mmHg]]&lt;140,EHR[[#This Row],[BP_Diastolic_mmHg]]&lt;90),"Controlled",IF(OR(EHR[[#This Row],[BP_Systolic_mmHg]]="Not Recorded",EHR[[#This Row],[BP_Diastolic_mmHg]]="Not Recorded"),"No Reading","Uncontrolled"))</f>
        <v>Controlled</v>
      </c>
      <c r="AD150" s="2" t="str">
        <f>_xlfn.CONCAT(EHR[[#This Row],[BP_Systolic_mmHg]],"/",EHR[[#This Row],[BP_Diastolic_mmHg]])</f>
        <v>100/60</v>
      </c>
      <c r="AE150" s="2">
        <v>83</v>
      </c>
      <c r="AF150" s="2">
        <v>19</v>
      </c>
      <c r="AG150" s="2">
        <v>37.9</v>
      </c>
      <c r="AH150" s="2">
        <v>26.3</v>
      </c>
      <c r="AI150" s="2" t="str">
        <f>IF(EHR[[#This Row],[BMI_kg_m2]]&gt;=30,"Obese","Non-Obese")</f>
        <v>Non-Obese</v>
      </c>
      <c r="AJ150" s="2">
        <v>97</v>
      </c>
      <c r="AK150" s="2" t="s">
        <v>50</v>
      </c>
      <c r="AL150" s="2" t="s">
        <v>51</v>
      </c>
      <c r="AM150" s="2" t="s">
        <v>52</v>
      </c>
      <c r="AN150" s="2" t="s">
        <v>53</v>
      </c>
      <c r="AO150" s="2" t="s">
        <v>54</v>
      </c>
    </row>
    <row r="151" spans="1:41" x14ac:dyDescent="0.2">
      <c r="A151" s="7" t="s">
        <v>646</v>
      </c>
      <c r="B151" s="3" t="s">
        <v>651</v>
      </c>
      <c r="C151" s="14">
        <v>45462</v>
      </c>
      <c r="D151" s="3" t="s">
        <v>36</v>
      </c>
      <c r="E151" s="3" t="s">
        <v>96</v>
      </c>
      <c r="F151" s="3" t="s">
        <v>62</v>
      </c>
      <c r="G151" s="3" t="s">
        <v>63</v>
      </c>
      <c r="H151" s="14">
        <v>32397</v>
      </c>
      <c r="I151" s="3">
        <v>37</v>
      </c>
      <c r="J151" s="3" t="str" cm="1">
        <f t="array" ref="J15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51" s="3" t="s">
        <v>1572</v>
      </c>
      <c r="L151" s="3" t="s">
        <v>42</v>
      </c>
      <c r="M151" s="3" t="s">
        <v>45</v>
      </c>
      <c r="N151" s="3" t="s">
        <v>125</v>
      </c>
      <c r="O151" s="3" t="s">
        <v>1574</v>
      </c>
      <c r="P151" s="3" t="s">
        <v>150</v>
      </c>
      <c r="Q151" s="3" t="str">
        <f>_xlfn.XLOOKUP(EHR[[#This Row],[Primary_ICD11_Code]],'03_ICD11_Reference'!A:A,'03_ICD11_Reference'!D:D,,0)</f>
        <v>Gastroenterology</v>
      </c>
      <c r="R151" s="3" t="s">
        <v>151</v>
      </c>
      <c r="S151" s="3" t="s">
        <v>69</v>
      </c>
      <c r="T151" s="3" t="s">
        <v>163</v>
      </c>
      <c r="U151" s="3">
        <v>1</v>
      </c>
      <c r="V151" s="3" t="str">
        <f>_xlfn.XLOOKUP(EHR[[#This Row],[Encounter_ID]],'02_Lab_Results'!B:B,'02_Lab_Results'!D:D,,0)</f>
        <v>2160-0</v>
      </c>
      <c r="W151" s="3" t="str">
        <f>_xlfn.XLOOKUP(EHR[[#This Row],[LOINC Code]],'04_LOINC_Reference'!A:A,'04_LOINC_Reference'!F:F,,0)</f>
        <v>Biochemistry</v>
      </c>
      <c r="X151" s="3" t="str">
        <f>_xlfn.XLOOKUP(EHR[[#This Row],[LOINC Code]],'02_Lab_Results'!D:D,'02_Lab_Results'!E:E,,0)</f>
        <v>Serum creatinine</v>
      </c>
      <c r="Y151" s="3" t="str">
        <f>_xlfn.XLOOKUP(EHR[[#This Row],[LOINC Code]],'02_Lab_Results'!D:D,'02_Lab_Results'!J:J,,0)</f>
        <v>Normal</v>
      </c>
      <c r="Z151" s="3" t="str" cm="1">
        <f t="array" ref="Z151">_xlfn.XLOOKUP(1,(B151=B$2:B$500)*(V$2:V$500="4548-4"),Y$2:Y$500,"Not Tested")</f>
        <v>Not Tested</v>
      </c>
      <c r="AA151" s="3">
        <v>142</v>
      </c>
      <c r="AB151" s="3">
        <v>104</v>
      </c>
      <c r="AC151" s="3" t="str">
        <f>IF(AND(EHR[[#This Row],[BP_Systolic_mmHg]]&lt;140,EHR[[#This Row],[BP_Diastolic_mmHg]]&lt;90),"Controlled",IF(OR(EHR[[#This Row],[BP_Systolic_mmHg]]="Not Recorded",EHR[[#This Row],[BP_Diastolic_mmHg]]="Not Recorded"),"No Reading","Uncontrolled"))</f>
        <v>Uncontrolled</v>
      </c>
      <c r="AD151" s="3" t="str">
        <f>_xlfn.CONCAT(EHR[[#This Row],[BP_Systolic_mmHg]],"/",EHR[[#This Row],[BP_Diastolic_mmHg]])</f>
        <v>142/104</v>
      </c>
      <c r="AE151" s="3">
        <v>69</v>
      </c>
      <c r="AF151" s="3">
        <v>18</v>
      </c>
      <c r="AG151" s="3">
        <v>38.4</v>
      </c>
      <c r="AH151" s="3">
        <v>42.4</v>
      </c>
      <c r="AI151" s="3" t="str">
        <f>IF(EHR[[#This Row],[BMI_kg_m2]]&gt;=30,"Obese","Non-Obese")</f>
        <v>Obese</v>
      </c>
      <c r="AJ151" s="3">
        <v>97</v>
      </c>
      <c r="AK151" s="3" t="s">
        <v>50</v>
      </c>
      <c r="AL151" s="3" t="s">
        <v>51</v>
      </c>
      <c r="AM151" s="3" t="s">
        <v>52</v>
      </c>
      <c r="AN151" s="3" t="s">
        <v>53</v>
      </c>
      <c r="AO151" s="3" t="s">
        <v>54</v>
      </c>
    </row>
    <row r="152" spans="1:41" x14ac:dyDescent="0.2">
      <c r="A152" s="6" t="s">
        <v>646</v>
      </c>
      <c r="B152" s="2" t="s">
        <v>653</v>
      </c>
      <c r="C152" s="13">
        <v>45656</v>
      </c>
      <c r="D152" s="2" t="s">
        <v>88</v>
      </c>
      <c r="E152" s="2" t="s">
        <v>37</v>
      </c>
      <c r="F152" s="2" t="s">
        <v>189</v>
      </c>
      <c r="G152" s="2" t="s">
        <v>123</v>
      </c>
      <c r="H152" s="13">
        <v>32397</v>
      </c>
      <c r="I152" s="2">
        <v>37</v>
      </c>
      <c r="J152" s="2" t="str" cm="1">
        <f t="array" ref="J15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52" s="2" t="s">
        <v>1572</v>
      </c>
      <c r="L152" s="2" t="s">
        <v>110</v>
      </c>
      <c r="M152" s="2" t="s">
        <v>45</v>
      </c>
      <c r="N152" s="2" t="s">
        <v>125</v>
      </c>
      <c r="O152" s="2" t="s">
        <v>1574</v>
      </c>
      <c r="P152" s="2" t="s">
        <v>150</v>
      </c>
      <c r="Q152" s="2" t="str">
        <f>_xlfn.XLOOKUP(EHR[[#This Row],[Primary_ICD11_Code]],'03_ICD11_Reference'!A:A,'03_ICD11_Reference'!D:D,,0)</f>
        <v>Gastroenterology</v>
      </c>
      <c r="R152" s="2" t="s">
        <v>151</v>
      </c>
      <c r="S152" s="2" t="s">
        <v>69</v>
      </c>
      <c r="T152" s="2" t="s">
        <v>655</v>
      </c>
      <c r="U152" s="2">
        <v>2</v>
      </c>
      <c r="V152" s="2" t="str">
        <f>_xlfn.XLOOKUP(EHR[[#This Row],[Encounter_ID]],'02_Lab_Results'!B:B,'02_Lab_Results'!D:D,,0)</f>
        <v>2951-2</v>
      </c>
      <c r="W152" s="2" t="str">
        <f>_xlfn.XLOOKUP(EHR[[#This Row],[LOINC Code]],'04_LOINC_Reference'!A:A,'04_LOINC_Reference'!F:F,,0)</f>
        <v>Biochemistry</v>
      </c>
      <c r="X152" s="2" t="str">
        <f>_xlfn.XLOOKUP(EHR[[#This Row],[LOINC Code]],'02_Lab_Results'!D:D,'02_Lab_Results'!E:E,,0)</f>
        <v>Serum sodium</v>
      </c>
      <c r="Y152" s="2" t="str">
        <f>_xlfn.XLOOKUP(EHR[[#This Row],[LOINC Code]],'02_Lab_Results'!D:D,'02_Lab_Results'!J:J,,0)</f>
        <v>Low</v>
      </c>
      <c r="Z152" s="2" t="str" cm="1">
        <f t="array" ref="Z152">_xlfn.XLOOKUP(1,(B152=B$2:B$500)*(V$2:V$500="4548-4"),Y$2:Y$500,"Not Tested")</f>
        <v>Not Tested</v>
      </c>
      <c r="AA152" s="2">
        <v>183</v>
      </c>
      <c r="AB152" s="2">
        <v>93</v>
      </c>
      <c r="AC152" s="2" t="str">
        <f>IF(AND(EHR[[#This Row],[BP_Systolic_mmHg]]&lt;140,EHR[[#This Row],[BP_Diastolic_mmHg]]&lt;90),"Controlled",IF(OR(EHR[[#This Row],[BP_Systolic_mmHg]]="Not Recorded",EHR[[#This Row],[BP_Diastolic_mmHg]]="Not Recorded"),"No Reading","Uncontrolled"))</f>
        <v>Uncontrolled</v>
      </c>
      <c r="AD152" s="2" t="str">
        <f>_xlfn.CONCAT(EHR[[#This Row],[BP_Systolic_mmHg]],"/",EHR[[#This Row],[BP_Diastolic_mmHg]])</f>
        <v>183/93</v>
      </c>
      <c r="AE152" s="2">
        <v>87</v>
      </c>
      <c r="AF152" s="2">
        <v>20</v>
      </c>
      <c r="AG152" s="2">
        <v>36.200000000000003</v>
      </c>
      <c r="AH152" s="2">
        <v>42</v>
      </c>
      <c r="AI152" s="2" t="str">
        <f>IF(EHR[[#This Row],[BMI_kg_m2]]&gt;=30,"Obese","Non-Obese")</f>
        <v>Obese</v>
      </c>
      <c r="AJ152" s="2">
        <v>89</v>
      </c>
      <c r="AK152" s="2" t="s">
        <v>50</v>
      </c>
      <c r="AL152" s="2" t="s">
        <v>51</v>
      </c>
      <c r="AM152" s="2" t="s">
        <v>52</v>
      </c>
      <c r="AN152" s="2" t="s">
        <v>53</v>
      </c>
      <c r="AO152" s="2" t="s">
        <v>54</v>
      </c>
    </row>
    <row r="153" spans="1:41" x14ac:dyDescent="0.2">
      <c r="A153" s="7" t="s">
        <v>646</v>
      </c>
      <c r="B153" s="3" t="s">
        <v>656</v>
      </c>
      <c r="C153" s="14">
        <v>44939</v>
      </c>
      <c r="D153" s="3" t="s">
        <v>36</v>
      </c>
      <c r="E153" s="3" t="s">
        <v>167</v>
      </c>
      <c r="F153" s="3" t="s">
        <v>122</v>
      </c>
      <c r="G153" s="3" t="s">
        <v>76</v>
      </c>
      <c r="H153" s="14">
        <v>32397</v>
      </c>
      <c r="I153" s="3">
        <v>37</v>
      </c>
      <c r="J153" s="3" t="str" cm="1">
        <f t="array" ref="J15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53" s="3" t="s">
        <v>1572</v>
      </c>
      <c r="L153" s="3" t="s">
        <v>110</v>
      </c>
      <c r="M153" s="3" t="s">
        <v>45</v>
      </c>
      <c r="N153" s="3" t="s">
        <v>125</v>
      </c>
      <c r="O153" s="3" t="s">
        <v>1574</v>
      </c>
      <c r="P153" s="3" t="s">
        <v>150</v>
      </c>
      <c r="Q153" s="3" t="str">
        <f>_xlfn.XLOOKUP(EHR[[#This Row],[Primary_ICD11_Code]],'03_ICD11_Reference'!A:A,'03_ICD11_Reference'!D:D,,0)</f>
        <v>Gastroenterology</v>
      </c>
      <c r="R153" s="3" t="s">
        <v>151</v>
      </c>
      <c r="S153" s="3" t="s">
        <v>69</v>
      </c>
      <c r="T153" s="3" t="s">
        <v>658</v>
      </c>
      <c r="U153" s="3">
        <v>4</v>
      </c>
      <c r="V153" s="3" t="str">
        <f>_xlfn.XLOOKUP(EHR[[#This Row],[Encounter_ID]],'02_Lab_Results'!B:B,'02_Lab_Results'!D:D,,0)</f>
        <v>6768-6</v>
      </c>
      <c r="W153" s="3" t="str">
        <f>_xlfn.XLOOKUP(EHR[[#This Row],[LOINC Code]],'04_LOINC_Reference'!A:A,'04_LOINC_Reference'!F:F,,0)</f>
        <v>Biochemistry</v>
      </c>
      <c r="X153" s="3" t="str">
        <f>_xlfn.XLOOKUP(EHR[[#This Row],[LOINC Code]],'02_Lab_Results'!D:D,'02_Lab_Results'!E:E,,0)</f>
        <v>ALP</v>
      </c>
      <c r="Y153" s="3" t="str">
        <f>_xlfn.XLOOKUP(EHR[[#This Row],[LOINC Code]],'02_Lab_Results'!D:D,'02_Lab_Results'!J:J,,0)</f>
        <v>High</v>
      </c>
      <c r="Z153" s="3" t="str" cm="1">
        <f t="array" ref="Z153">_xlfn.XLOOKUP(1,(B153=B$2:B$500)*(V$2:V$500="4548-4"),Y$2:Y$500,"Not Tested")</f>
        <v>Not Tested</v>
      </c>
      <c r="AA153" s="3">
        <v>117</v>
      </c>
      <c r="AB153" s="3">
        <v>83</v>
      </c>
      <c r="AC153" s="3" t="str">
        <f>IF(AND(EHR[[#This Row],[BP_Systolic_mmHg]]&lt;140,EHR[[#This Row],[BP_Diastolic_mmHg]]&lt;90),"Controlled",IF(OR(EHR[[#This Row],[BP_Systolic_mmHg]]="Not Recorded",EHR[[#This Row],[BP_Diastolic_mmHg]]="Not Recorded"),"No Reading","Uncontrolled"))</f>
        <v>Controlled</v>
      </c>
      <c r="AD153" s="3" t="str">
        <f>_xlfn.CONCAT(EHR[[#This Row],[BP_Systolic_mmHg]],"/",EHR[[#This Row],[BP_Diastolic_mmHg]])</f>
        <v>117/83</v>
      </c>
      <c r="AE153" s="3">
        <v>79</v>
      </c>
      <c r="AF153" s="3">
        <v>14</v>
      </c>
      <c r="AG153" s="3">
        <v>39</v>
      </c>
      <c r="AH153" s="3">
        <v>41.9</v>
      </c>
      <c r="AI153" s="3" t="str">
        <f>IF(EHR[[#This Row],[BMI_kg_m2]]&gt;=30,"Obese","Non-Obese")</f>
        <v>Obese</v>
      </c>
      <c r="AJ153" s="3">
        <v>94</v>
      </c>
      <c r="AK153" s="3" t="s">
        <v>50</v>
      </c>
      <c r="AL153" s="3" t="s">
        <v>51</v>
      </c>
      <c r="AM153" s="3" t="s">
        <v>52</v>
      </c>
      <c r="AN153" s="3" t="s">
        <v>53</v>
      </c>
      <c r="AO153" s="3" t="s">
        <v>54</v>
      </c>
    </row>
    <row r="154" spans="1:41" x14ac:dyDescent="0.2">
      <c r="A154" s="6" t="s">
        <v>646</v>
      </c>
      <c r="B154" s="2" t="s">
        <v>659</v>
      </c>
      <c r="C154" s="13">
        <v>45441</v>
      </c>
      <c r="D154" s="2" t="s">
        <v>88</v>
      </c>
      <c r="E154" s="2" t="s">
        <v>96</v>
      </c>
      <c r="F154" s="2" t="s">
        <v>75</v>
      </c>
      <c r="G154" s="2" t="s">
        <v>76</v>
      </c>
      <c r="H154" s="13">
        <v>32397</v>
      </c>
      <c r="I154" s="2">
        <v>37</v>
      </c>
      <c r="J154" s="2" t="str" cm="1">
        <f t="array" ref="J15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54" s="2" t="s">
        <v>1572</v>
      </c>
      <c r="L154" s="2" t="s">
        <v>140</v>
      </c>
      <c r="M154" s="2" t="s">
        <v>45</v>
      </c>
      <c r="N154" s="2" t="s">
        <v>125</v>
      </c>
      <c r="O154" s="2" t="s">
        <v>1574</v>
      </c>
      <c r="P154" s="2" t="s">
        <v>150</v>
      </c>
      <c r="Q154" s="2" t="str">
        <f>_xlfn.XLOOKUP(EHR[[#This Row],[Primary_ICD11_Code]],'03_ICD11_Reference'!A:A,'03_ICD11_Reference'!D:D,,0)</f>
        <v>Gastroenterology</v>
      </c>
      <c r="R154" s="2" t="s">
        <v>151</v>
      </c>
      <c r="S154" s="2" t="s">
        <v>69</v>
      </c>
      <c r="T154" s="2" t="s">
        <v>661</v>
      </c>
      <c r="U154" s="2">
        <v>3</v>
      </c>
      <c r="V154" s="2" t="str">
        <f>_xlfn.XLOOKUP(EHR[[#This Row],[Encounter_ID]],'02_Lab_Results'!B:B,'02_Lab_Results'!D:D,,0)</f>
        <v>2085-9</v>
      </c>
      <c r="W154" s="2" t="str">
        <f>_xlfn.XLOOKUP(EHR[[#This Row],[LOINC Code]],'04_LOINC_Reference'!A:A,'04_LOINC_Reference'!F:F,,0)</f>
        <v>Biochemistry</v>
      </c>
      <c r="X154" s="2" t="str">
        <f>_xlfn.XLOOKUP(EHR[[#This Row],[LOINC Code]],'02_Lab_Results'!D:D,'02_Lab_Results'!E:E,,0)</f>
        <v>HDL cholesterol</v>
      </c>
      <c r="Y154" s="2" t="str">
        <f>_xlfn.XLOOKUP(EHR[[#This Row],[LOINC Code]],'02_Lab_Results'!D:D,'02_Lab_Results'!J:J,,0)</f>
        <v>Normal</v>
      </c>
      <c r="Z154" s="2" t="str" cm="1">
        <f t="array" ref="Z154">_xlfn.XLOOKUP(1,(B154=B$2:B$500)*(V$2:V$500="4548-4"),Y$2:Y$500,"Not Tested")</f>
        <v>Not Tested</v>
      </c>
      <c r="AA154" s="2">
        <v>156</v>
      </c>
      <c r="AB154" s="2">
        <v>58</v>
      </c>
      <c r="AC154" s="2" t="str">
        <f>IF(AND(EHR[[#This Row],[BP_Systolic_mmHg]]&lt;140,EHR[[#This Row],[BP_Diastolic_mmHg]]&lt;90),"Controlled",IF(OR(EHR[[#This Row],[BP_Systolic_mmHg]]="Not Recorded",EHR[[#This Row],[BP_Diastolic_mmHg]]="Not Recorded"),"No Reading","Uncontrolled"))</f>
        <v>Uncontrolled</v>
      </c>
      <c r="AD154" s="2" t="str">
        <f>_xlfn.CONCAT(EHR[[#This Row],[BP_Systolic_mmHg]],"/",EHR[[#This Row],[BP_Diastolic_mmHg]])</f>
        <v>156/58</v>
      </c>
      <c r="AE154" s="2">
        <v>67</v>
      </c>
      <c r="AF154" s="2">
        <v>20</v>
      </c>
      <c r="AG154" s="2">
        <v>36.1</v>
      </c>
      <c r="AH154" s="2">
        <v>28.9</v>
      </c>
      <c r="AI154" s="2" t="str">
        <f>IF(EHR[[#This Row],[BMI_kg_m2]]&gt;=30,"Obese","Non-Obese")</f>
        <v>Non-Obese</v>
      </c>
      <c r="AJ154" s="2">
        <v>98</v>
      </c>
      <c r="AK154" s="2" t="s">
        <v>50</v>
      </c>
      <c r="AL154" s="2" t="s">
        <v>51</v>
      </c>
      <c r="AM154" s="2" t="s">
        <v>52</v>
      </c>
      <c r="AN154" s="2" t="s">
        <v>53</v>
      </c>
      <c r="AO154" s="2" t="s">
        <v>54</v>
      </c>
    </row>
    <row r="155" spans="1:41" x14ac:dyDescent="0.2">
      <c r="A155" s="7" t="s">
        <v>662</v>
      </c>
      <c r="B155" s="3" t="s">
        <v>663</v>
      </c>
      <c r="C155" s="14">
        <v>45486</v>
      </c>
      <c r="D155" s="3" t="s">
        <v>60</v>
      </c>
      <c r="E155" s="3" t="s">
        <v>96</v>
      </c>
      <c r="F155" s="3" t="s">
        <v>62</v>
      </c>
      <c r="G155" s="3" t="s">
        <v>63</v>
      </c>
      <c r="H155" s="14">
        <v>25557</v>
      </c>
      <c r="I155" s="3">
        <v>56</v>
      </c>
      <c r="J155" s="3" t="str" cm="1">
        <f t="array" ref="J15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55" s="3" t="s">
        <v>1573</v>
      </c>
      <c r="L155" s="3" t="s">
        <v>140</v>
      </c>
      <c r="M155" s="3" t="s">
        <v>79</v>
      </c>
      <c r="N155" s="3" t="s">
        <v>1574</v>
      </c>
      <c r="O155" s="3" t="s">
        <v>182</v>
      </c>
      <c r="P155" s="3" t="s">
        <v>46</v>
      </c>
      <c r="Q155" s="3" t="str">
        <f>_xlfn.XLOOKUP(EHR[[#This Row],[Primary_ICD11_Code]],'03_ICD11_Reference'!A:A,'03_ICD11_Reference'!D:D,,0)</f>
        <v>Haematological</v>
      </c>
      <c r="R155" s="3" t="s">
        <v>47</v>
      </c>
      <c r="S155" s="3" t="s">
        <v>48</v>
      </c>
      <c r="T155" s="3" t="s">
        <v>460</v>
      </c>
      <c r="U155" s="3">
        <v>1</v>
      </c>
      <c r="V155" s="3" t="str">
        <f>_xlfn.XLOOKUP(EHR[[#This Row],[Encounter_ID]],'02_Lab_Results'!B:B,'02_Lab_Results'!D:D,,0)</f>
        <v>4548-4</v>
      </c>
      <c r="W155" s="3" t="str">
        <f>_xlfn.XLOOKUP(EHR[[#This Row],[LOINC Code]],'04_LOINC_Reference'!A:A,'04_LOINC_Reference'!F:F,,0)</f>
        <v>Biochemistry</v>
      </c>
      <c r="X155" s="3" t="str">
        <f>_xlfn.XLOOKUP(EHR[[#This Row],[LOINC Code]],'02_Lab_Results'!D:D,'02_Lab_Results'!E:E,,0)</f>
        <v>HbA1c</v>
      </c>
      <c r="Y155" s="3" t="str">
        <f>_xlfn.XLOOKUP(EHR[[#This Row],[LOINC Code]],'02_Lab_Results'!D:D,'02_Lab_Results'!J:J,,0)</f>
        <v>High</v>
      </c>
      <c r="Z155" s="3" t="str" cm="1">
        <f t="array" ref="Z155">_xlfn.XLOOKUP(1,(B155=B$2:B$500)*(V$2:V$500="4548-4"),Y$2:Y$500,"Not Tested")</f>
        <v>High</v>
      </c>
      <c r="AA155" s="3">
        <v>163</v>
      </c>
      <c r="AB155" s="3">
        <v>70</v>
      </c>
      <c r="AC155" s="3" t="str">
        <f>IF(AND(EHR[[#This Row],[BP_Systolic_mmHg]]&lt;140,EHR[[#This Row],[BP_Diastolic_mmHg]]&lt;90),"Controlled",IF(OR(EHR[[#This Row],[BP_Systolic_mmHg]]="Not Recorded",EHR[[#This Row],[BP_Diastolic_mmHg]]="Not Recorded"),"No Reading","Uncontrolled"))</f>
        <v>Uncontrolled</v>
      </c>
      <c r="AD155" s="3" t="str">
        <f>_xlfn.CONCAT(EHR[[#This Row],[BP_Systolic_mmHg]],"/",EHR[[#This Row],[BP_Diastolic_mmHg]])</f>
        <v>163/70</v>
      </c>
      <c r="AE155" s="3">
        <v>50</v>
      </c>
      <c r="AF155" s="3">
        <v>19</v>
      </c>
      <c r="AG155" s="3">
        <v>36.700000000000003</v>
      </c>
      <c r="AH155" s="3">
        <v>27.4</v>
      </c>
      <c r="AI155" s="3" t="str">
        <f>IF(EHR[[#This Row],[BMI_kg_m2]]&gt;=30,"Obese","Non-Obese")</f>
        <v>Non-Obese</v>
      </c>
      <c r="AJ155" s="3">
        <v>98</v>
      </c>
      <c r="AK155" s="3" t="s">
        <v>50</v>
      </c>
      <c r="AL155" s="3" t="s">
        <v>51</v>
      </c>
      <c r="AM155" s="3" t="s">
        <v>52</v>
      </c>
      <c r="AN155" s="3" t="s">
        <v>53</v>
      </c>
      <c r="AO155" s="3" t="s">
        <v>54</v>
      </c>
    </row>
    <row r="156" spans="1:41" x14ac:dyDescent="0.2">
      <c r="A156" s="6" t="s">
        <v>662</v>
      </c>
      <c r="B156" s="2" t="s">
        <v>666</v>
      </c>
      <c r="C156" s="13">
        <v>45469</v>
      </c>
      <c r="D156" s="2" t="s">
        <v>36</v>
      </c>
      <c r="E156" s="2" t="s">
        <v>96</v>
      </c>
      <c r="F156" s="2" t="s">
        <v>122</v>
      </c>
      <c r="G156" s="2" t="s">
        <v>63</v>
      </c>
      <c r="H156" s="13">
        <v>25557</v>
      </c>
      <c r="I156" s="2">
        <v>56</v>
      </c>
      <c r="J156" s="2" t="str" cm="1">
        <f t="array" ref="J15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56" s="2" t="s">
        <v>1573</v>
      </c>
      <c r="L156" s="2" t="s">
        <v>90</v>
      </c>
      <c r="M156" s="2" t="s">
        <v>79</v>
      </c>
      <c r="N156" s="2" t="s">
        <v>1574</v>
      </c>
      <c r="O156" s="2" t="s">
        <v>182</v>
      </c>
      <c r="P156" s="2" t="s">
        <v>46</v>
      </c>
      <c r="Q156" s="2" t="str">
        <f>_xlfn.XLOOKUP(EHR[[#This Row],[Primary_ICD11_Code]],'03_ICD11_Reference'!A:A,'03_ICD11_Reference'!D:D,,0)</f>
        <v>Haematological</v>
      </c>
      <c r="R156" s="2" t="s">
        <v>47</v>
      </c>
      <c r="S156" s="2" t="s">
        <v>48</v>
      </c>
      <c r="T156" s="2" t="s">
        <v>668</v>
      </c>
      <c r="U156" s="2">
        <v>2</v>
      </c>
      <c r="V156" s="2" t="str">
        <f>_xlfn.XLOOKUP(EHR[[#This Row],[Encounter_ID]],'02_Lab_Results'!B:B,'02_Lab_Results'!D:D,,0)</f>
        <v>2160-0</v>
      </c>
      <c r="W156" s="2" t="str">
        <f>_xlfn.XLOOKUP(EHR[[#This Row],[LOINC Code]],'04_LOINC_Reference'!A:A,'04_LOINC_Reference'!F:F,,0)</f>
        <v>Biochemistry</v>
      </c>
      <c r="X156" s="2" t="str">
        <f>_xlfn.XLOOKUP(EHR[[#This Row],[LOINC Code]],'02_Lab_Results'!D:D,'02_Lab_Results'!E:E,,0)</f>
        <v>Serum creatinine</v>
      </c>
      <c r="Y156" s="2" t="str">
        <f>_xlfn.XLOOKUP(EHR[[#This Row],[LOINC Code]],'02_Lab_Results'!D:D,'02_Lab_Results'!J:J,,0)</f>
        <v>Normal</v>
      </c>
      <c r="Z156" s="2" t="str" cm="1">
        <f t="array" ref="Z156">_xlfn.XLOOKUP(1,(B156=B$2:B$500)*(V$2:V$500="4548-4"),Y$2:Y$500,"Not Tested")</f>
        <v>Not Tested</v>
      </c>
      <c r="AA156" s="2">
        <v>183</v>
      </c>
      <c r="AB156" s="2">
        <v>80</v>
      </c>
      <c r="AC156" s="2" t="str">
        <f>IF(AND(EHR[[#This Row],[BP_Systolic_mmHg]]&lt;140,EHR[[#This Row],[BP_Diastolic_mmHg]]&lt;90),"Controlled",IF(OR(EHR[[#This Row],[BP_Systolic_mmHg]]="Not Recorded",EHR[[#This Row],[BP_Diastolic_mmHg]]="Not Recorded"),"No Reading","Uncontrolled"))</f>
        <v>Uncontrolled</v>
      </c>
      <c r="AD156" s="2" t="str">
        <f>_xlfn.CONCAT(EHR[[#This Row],[BP_Systolic_mmHg]],"/",EHR[[#This Row],[BP_Diastolic_mmHg]])</f>
        <v>183/80</v>
      </c>
      <c r="AE156" s="2">
        <v>122</v>
      </c>
      <c r="AF156" s="2">
        <v>28</v>
      </c>
      <c r="AG156" s="2">
        <v>36.5</v>
      </c>
      <c r="AH156" s="2">
        <v>25.5</v>
      </c>
      <c r="AI156" s="2" t="str">
        <f>IF(EHR[[#This Row],[BMI_kg_m2]]&gt;=30,"Obese","Non-Obese")</f>
        <v>Non-Obese</v>
      </c>
      <c r="AJ156" s="2">
        <v>88</v>
      </c>
      <c r="AK156" s="2" t="s">
        <v>50</v>
      </c>
      <c r="AL156" s="2" t="s">
        <v>51</v>
      </c>
      <c r="AM156" s="2" t="s">
        <v>52</v>
      </c>
      <c r="AN156" s="2" t="s">
        <v>53</v>
      </c>
      <c r="AO156" s="2" t="s">
        <v>54</v>
      </c>
    </row>
    <row r="157" spans="1:41" x14ac:dyDescent="0.2">
      <c r="A157" s="7" t="s">
        <v>669</v>
      </c>
      <c r="B157" s="3" t="s">
        <v>670</v>
      </c>
      <c r="C157" s="14">
        <v>45249</v>
      </c>
      <c r="D157" s="3" t="s">
        <v>103</v>
      </c>
      <c r="E157" s="3" t="s">
        <v>37</v>
      </c>
      <c r="F157" s="3" t="s">
        <v>38</v>
      </c>
      <c r="G157" s="3" t="s">
        <v>98</v>
      </c>
      <c r="H157" s="14">
        <v>20870</v>
      </c>
      <c r="I157" s="3">
        <v>68</v>
      </c>
      <c r="J157" s="3" t="str" cm="1">
        <f t="array" ref="J15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57" s="3" t="s">
        <v>1572</v>
      </c>
      <c r="L157" s="3" t="s">
        <v>78</v>
      </c>
      <c r="M157" s="3" t="s">
        <v>43</v>
      </c>
      <c r="N157" s="3" t="s">
        <v>80</v>
      </c>
      <c r="O157" s="3" t="s">
        <v>81</v>
      </c>
      <c r="P157" s="3" t="s">
        <v>315</v>
      </c>
      <c r="Q157" s="3" t="str">
        <f>_xlfn.XLOOKUP(EHR[[#This Row],[Primary_ICD11_Code]],'03_ICD11_Reference'!A:A,'03_ICD11_Reference'!D:D,,0)</f>
        <v>Endocrine</v>
      </c>
      <c r="R157" s="3" t="s">
        <v>316</v>
      </c>
      <c r="S157" s="3" t="s">
        <v>69</v>
      </c>
      <c r="T157" s="3" t="s">
        <v>672</v>
      </c>
      <c r="U157" s="3">
        <v>2</v>
      </c>
      <c r="V157" s="3" t="str">
        <f>_xlfn.XLOOKUP(EHR[[#This Row],[Encounter_ID]],'02_Lab_Results'!B:B,'02_Lab_Results'!D:D,,0)</f>
        <v>4548-4</v>
      </c>
      <c r="W157" s="3" t="str">
        <f>_xlfn.XLOOKUP(EHR[[#This Row],[LOINC Code]],'04_LOINC_Reference'!A:A,'04_LOINC_Reference'!F:F,,0)</f>
        <v>Biochemistry</v>
      </c>
      <c r="X157" s="3" t="str">
        <f>_xlfn.XLOOKUP(EHR[[#This Row],[LOINC Code]],'02_Lab_Results'!D:D,'02_Lab_Results'!E:E,,0)</f>
        <v>HbA1c</v>
      </c>
      <c r="Y157" s="3" t="str">
        <f>_xlfn.XLOOKUP(EHR[[#This Row],[LOINC Code]],'02_Lab_Results'!D:D,'02_Lab_Results'!J:J,,0)</f>
        <v>High</v>
      </c>
      <c r="Z157" s="3" t="str" cm="1">
        <f t="array" ref="Z157">_xlfn.XLOOKUP(1,(B157=B$2:B$500)*(V$2:V$500="4548-4"),Y$2:Y$500,"Not Tested")</f>
        <v>High</v>
      </c>
      <c r="AA157" s="3">
        <v>178</v>
      </c>
      <c r="AB157" s="3">
        <v>79</v>
      </c>
      <c r="AC157" s="3" t="str">
        <f>IF(AND(EHR[[#This Row],[BP_Systolic_mmHg]]&lt;140,EHR[[#This Row],[BP_Diastolic_mmHg]]&lt;90),"Controlled",IF(OR(EHR[[#This Row],[BP_Systolic_mmHg]]="Not Recorded",EHR[[#This Row],[BP_Diastolic_mmHg]]="Not Recorded"),"No Reading","Uncontrolled"))</f>
        <v>Uncontrolled</v>
      </c>
      <c r="AD157" s="3" t="str">
        <f>_xlfn.CONCAT(EHR[[#This Row],[BP_Systolic_mmHg]],"/",EHR[[#This Row],[BP_Diastolic_mmHg]])</f>
        <v>178/79</v>
      </c>
      <c r="AE157" s="3">
        <v>112</v>
      </c>
      <c r="AF157" s="3">
        <v>17</v>
      </c>
      <c r="AG157" s="3">
        <v>37.4</v>
      </c>
      <c r="AH157" s="3">
        <v>24.2</v>
      </c>
      <c r="AI157" s="3" t="str">
        <f>IF(EHR[[#This Row],[BMI_kg_m2]]&gt;=30,"Obese","Non-Obese")</f>
        <v>Non-Obese</v>
      </c>
      <c r="AJ157" s="3">
        <v>99</v>
      </c>
      <c r="AK157" s="3" t="s">
        <v>50</v>
      </c>
      <c r="AL157" s="3" t="s">
        <v>51</v>
      </c>
      <c r="AM157" s="3" t="s">
        <v>52</v>
      </c>
      <c r="AN157" s="3" t="s">
        <v>53</v>
      </c>
      <c r="AO157" s="3" t="s">
        <v>54</v>
      </c>
    </row>
    <row r="158" spans="1:41" x14ac:dyDescent="0.2">
      <c r="A158" s="6" t="s">
        <v>669</v>
      </c>
      <c r="B158" s="2" t="s">
        <v>673</v>
      </c>
      <c r="C158" s="13">
        <v>45248</v>
      </c>
      <c r="D158" s="2" t="s">
        <v>103</v>
      </c>
      <c r="E158" s="2" t="s">
        <v>167</v>
      </c>
      <c r="F158" s="2" t="s">
        <v>38</v>
      </c>
      <c r="G158" s="2" t="s">
        <v>63</v>
      </c>
      <c r="H158" s="13">
        <v>20870</v>
      </c>
      <c r="I158" s="2">
        <v>68</v>
      </c>
      <c r="J158" s="2" t="str" cm="1">
        <f t="array" ref="J15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58" s="2" t="s">
        <v>1572</v>
      </c>
      <c r="L158" s="2" t="s">
        <v>116</v>
      </c>
      <c r="M158" s="2" t="s">
        <v>43</v>
      </c>
      <c r="N158" s="2" t="s">
        <v>80</v>
      </c>
      <c r="O158" s="2" t="s">
        <v>81</v>
      </c>
      <c r="P158" s="2" t="s">
        <v>315</v>
      </c>
      <c r="Q158" s="2" t="str">
        <f>_xlfn.XLOOKUP(EHR[[#This Row],[Primary_ICD11_Code]],'03_ICD11_Reference'!A:A,'03_ICD11_Reference'!D:D,,0)</f>
        <v>Endocrine</v>
      </c>
      <c r="R158" s="2" t="s">
        <v>316</v>
      </c>
      <c r="S158" s="2" t="s">
        <v>69</v>
      </c>
      <c r="T158" s="2" t="s">
        <v>674</v>
      </c>
      <c r="U158" s="2">
        <v>2</v>
      </c>
      <c r="V158" s="2" t="str">
        <f>_xlfn.XLOOKUP(EHR[[#This Row],[Encounter_ID]],'02_Lab_Results'!B:B,'02_Lab_Results'!D:D,,0)</f>
        <v>2951-2</v>
      </c>
      <c r="W158" s="2" t="str">
        <f>_xlfn.XLOOKUP(EHR[[#This Row],[LOINC Code]],'04_LOINC_Reference'!A:A,'04_LOINC_Reference'!F:F,,0)</f>
        <v>Biochemistry</v>
      </c>
      <c r="X158" s="2" t="str">
        <f>_xlfn.XLOOKUP(EHR[[#This Row],[LOINC Code]],'02_Lab_Results'!D:D,'02_Lab_Results'!E:E,,0)</f>
        <v>Serum sodium</v>
      </c>
      <c r="Y158" s="2" t="str">
        <f>_xlfn.XLOOKUP(EHR[[#This Row],[LOINC Code]],'02_Lab_Results'!D:D,'02_Lab_Results'!J:J,,0)</f>
        <v>Low</v>
      </c>
      <c r="Z158" s="2" t="str" cm="1">
        <f t="array" ref="Z158">_xlfn.XLOOKUP(1,(B158=B$2:B$500)*(V$2:V$500="4548-4"),Y$2:Y$500,"Not Tested")</f>
        <v>Not Tested</v>
      </c>
      <c r="AA158" s="2">
        <v>132</v>
      </c>
      <c r="AB158" s="2">
        <v>87</v>
      </c>
      <c r="AC158" s="2" t="str">
        <f>IF(AND(EHR[[#This Row],[BP_Systolic_mmHg]]&lt;140,EHR[[#This Row],[BP_Diastolic_mmHg]]&lt;90),"Controlled",IF(OR(EHR[[#This Row],[BP_Systolic_mmHg]]="Not Recorded",EHR[[#This Row],[BP_Diastolic_mmHg]]="Not Recorded"),"No Reading","Uncontrolled"))</f>
        <v>Controlled</v>
      </c>
      <c r="AD158" s="2" t="str">
        <f>_xlfn.CONCAT(EHR[[#This Row],[BP_Systolic_mmHg]],"/",EHR[[#This Row],[BP_Diastolic_mmHg]])</f>
        <v>132/87</v>
      </c>
      <c r="AE158" s="2">
        <v>122</v>
      </c>
      <c r="AF158" s="2">
        <v>15</v>
      </c>
      <c r="AG158" s="2">
        <v>37</v>
      </c>
      <c r="AH158" s="2">
        <v>25.1</v>
      </c>
      <c r="AI158" s="2" t="str">
        <f>IF(EHR[[#This Row],[BMI_kg_m2]]&gt;=30,"Obese","Non-Obese")</f>
        <v>Non-Obese</v>
      </c>
      <c r="AJ158" s="2">
        <v>89</v>
      </c>
      <c r="AK158" s="2" t="s">
        <v>50</v>
      </c>
      <c r="AL158" s="2" t="s">
        <v>51</v>
      </c>
      <c r="AM158" s="2" t="s">
        <v>52</v>
      </c>
      <c r="AN158" s="2" t="s">
        <v>53</v>
      </c>
      <c r="AO158" s="2" t="s">
        <v>54</v>
      </c>
    </row>
    <row r="159" spans="1:41" x14ac:dyDescent="0.2">
      <c r="A159" s="7" t="s">
        <v>669</v>
      </c>
      <c r="B159" s="3" t="s">
        <v>675</v>
      </c>
      <c r="C159" s="14">
        <v>45181</v>
      </c>
      <c r="D159" s="3" t="s">
        <v>95</v>
      </c>
      <c r="E159" s="3" t="s">
        <v>37</v>
      </c>
      <c r="F159" s="3" t="s">
        <v>38</v>
      </c>
      <c r="G159" s="3" t="s">
        <v>63</v>
      </c>
      <c r="H159" s="14">
        <v>20870</v>
      </c>
      <c r="I159" s="3">
        <v>68</v>
      </c>
      <c r="J159" s="3" t="str" cm="1">
        <f t="array" ref="J15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59" s="3" t="s">
        <v>1572</v>
      </c>
      <c r="L159" s="3" t="s">
        <v>110</v>
      </c>
      <c r="M159" s="3" t="s">
        <v>43</v>
      </c>
      <c r="N159" s="3" t="s">
        <v>80</v>
      </c>
      <c r="O159" s="3" t="s">
        <v>81</v>
      </c>
      <c r="P159" s="3" t="s">
        <v>315</v>
      </c>
      <c r="Q159" s="3" t="str">
        <f>_xlfn.XLOOKUP(EHR[[#This Row],[Primary_ICD11_Code]],'03_ICD11_Reference'!A:A,'03_ICD11_Reference'!D:D,,0)</f>
        <v>Endocrine</v>
      </c>
      <c r="R159" s="3" t="s">
        <v>316</v>
      </c>
      <c r="S159" s="3" t="s">
        <v>69</v>
      </c>
      <c r="T159" s="3" t="s">
        <v>676</v>
      </c>
      <c r="U159" s="3">
        <v>4</v>
      </c>
      <c r="V159" s="3" t="str">
        <f>_xlfn.XLOOKUP(EHR[[#This Row],[Encounter_ID]],'02_Lab_Results'!B:B,'02_Lab_Results'!D:D,,0)</f>
        <v>17861-6</v>
      </c>
      <c r="W159" s="3" t="str">
        <f>_xlfn.XLOOKUP(EHR[[#This Row],[LOINC Code]],'04_LOINC_Reference'!A:A,'04_LOINC_Reference'!F:F,,0)</f>
        <v>Biochemistry</v>
      </c>
      <c r="X159" s="3" t="str">
        <f>_xlfn.XLOOKUP(EHR[[#This Row],[LOINC Code]],'02_Lab_Results'!D:D,'02_Lab_Results'!E:E,,0)</f>
        <v>Serum calcium</v>
      </c>
      <c r="Y159" s="3" t="str">
        <f>_xlfn.XLOOKUP(EHR[[#This Row],[LOINC Code]],'02_Lab_Results'!D:D,'02_Lab_Results'!J:J,,0)</f>
        <v>High</v>
      </c>
      <c r="Z159" s="3" t="str" cm="1">
        <f t="array" ref="Z159">_xlfn.XLOOKUP(1,(B159=B$2:B$500)*(V$2:V$500="4548-4"),Y$2:Y$500,"Not Tested")</f>
        <v>Not Tested</v>
      </c>
      <c r="AA159" s="3">
        <v>182</v>
      </c>
      <c r="AB159" s="3">
        <v>79</v>
      </c>
      <c r="AC159" s="3" t="str">
        <f>IF(AND(EHR[[#This Row],[BP_Systolic_mmHg]]&lt;140,EHR[[#This Row],[BP_Diastolic_mmHg]]&lt;90),"Controlled",IF(OR(EHR[[#This Row],[BP_Systolic_mmHg]]="Not Recorded",EHR[[#This Row],[BP_Diastolic_mmHg]]="Not Recorded"),"No Reading","Uncontrolled"))</f>
        <v>Uncontrolled</v>
      </c>
      <c r="AD159" s="3" t="str">
        <f>_xlfn.CONCAT(EHR[[#This Row],[BP_Systolic_mmHg]],"/",EHR[[#This Row],[BP_Diastolic_mmHg]])</f>
        <v>182/79</v>
      </c>
      <c r="AE159" s="3">
        <v>54</v>
      </c>
      <c r="AF159" s="3">
        <v>17</v>
      </c>
      <c r="AG159" s="3">
        <v>38.6</v>
      </c>
      <c r="AH159" s="3">
        <v>22.5</v>
      </c>
      <c r="AI159" s="3" t="str">
        <f>IF(EHR[[#This Row],[BMI_kg_m2]]&gt;=30,"Obese","Non-Obese")</f>
        <v>Non-Obese</v>
      </c>
      <c r="AJ159" s="3">
        <v>99</v>
      </c>
      <c r="AK159" s="3" t="s">
        <v>50</v>
      </c>
      <c r="AL159" s="3" t="s">
        <v>51</v>
      </c>
      <c r="AM159" s="3" t="s">
        <v>52</v>
      </c>
      <c r="AN159" s="3" t="s">
        <v>53</v>
      </c>
      <c r="AO159" s="3" t="s">
        <v>54</v>
      </c>
    </row>
    <row r="160" spans="1:41" x14ac:dyDescent="0.2">
      <c r="A160" s="6" t="s">
        <v>669</v>
      </c>
      <c r="B160" s="2" t="s">
        <v>677</v>
      </c>
      <c r="C160" s="13">
        <v>44990</v>
      </c>
      <c r="D160" s="2" t="s">
        <v>103</v>
      </c>
      <c r="E160" s="2" t="s">
        <v>96</v>
      </c>
      <c r="F160" s="2" t="s">
        <v>38</v>
      </c>
      <c r="G160" s="2" t="s">
        <v>63</v>
      </c>
      <c r="H160" s="13">
        <v>20870</v>
      </c>
      <c r="I160" s="2">
        <v>68</v>
      </c>
      <c r="J160" s="2" t="str" cm="1">
        <f t="array" ref="J16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60" s="2" t="s">
        <v>1572</v>
      </c>
      <c r="L160" s="2" t="s">
        <v>66</v>
      </c>
      <c r="M160" s="2" t="s">
        <v>43</v>
      </c>
      <c r="N160" s="2" t="s">
        <v>80</v>
      </c>
      <c r="O160" s="2" t="s">
        <v>81</v>
      </c>
      <c r="P160" s="2" t="s">
        <v>315</v>
      </c>
      <c r="Q160" s="2" t="str">
        <f>_xlfn.XLOOKUP(EHR[[#This Row],[Primary_ICD11_Code]],'03_ICD11_Reference'!A:A,'03_ICD11_Reference'!D:D,,0)</f>
        <v>Endocrine</v>
      </c>
      <c r="R160" s="2" t="s">
        <v>316</v>
      </c>
      <c r="S160" s="2" t="s">
        <v>69</v>
      </c>
      <c r="T160" s="2" t="s">
        <v>679</v>
      </c>
      <c r="U160" s="2">
        <v>3</v>
      </c>
      <c r="V160" s="2" t="str">
        <f>_xlfn.XLOOKUP(EHR[[#This Row],[Encounter_ID]],'02_Lab_Results'!B:B,'02_Lab_Results'!D:D,,0)</f>
        <v>17861-6</v>
      </c>
      <c r="W160" s="2" t="str">
        <f>_xlfn.XLOOKUP(EHR[[#This Row],[LOINC Code]],'04_LOINC_Reference'!A:A,'04_LOINC_Reference'!F:F,,0)</f>
        <v>Biochemistry</v>
      </c>
      <c r="X160" s="2" t="str">
        <f>_xlfn.XLOOKUP(EHR[[#This Row],[LOINC Code]],'02_Lab_Results'!D:D,'02_Lab_Results'!E:E,,0)</f>
        <v>Serum calcium</v>
      </c>
      <c r="Y160" s="2" t="str">
        <f>_xlfn.XLOOKUP(EHR[[#This Row],[LOINC Code]],'02_Lab_Results'!D:D,'02_Lab_Results'!J:J,,0)</f>
        <v>High</v>
      </c>
      <c r="Z160" s="2" t="str" cm="1">
        <f t="array" ref="Z160">_xlfn.XLOOKUP(1,(B160=B$2:B$500)*(V$2:V$500="4548-4"),Y$2:Y$500,"Not Tested")</f>
        <v>Not Tested</v>
      </c>
      <c r="AA160" s="2">
        <v>170</v>
      </c>
      <c r="AB160" s="2">
        <v>114</v>
      </c>
      <c r="AC160" s="2" t="str">
        <f>IF(AND(EHR[[#This Row],[BP_Systolic_mmHg]]&lt;140,EHR[[#This Row],[BP_Diastolic_mmHg]]&lt;90),"Controlled",IF(OR(EHR[[#This Row],[BP_Systolic_mmHg]]="Not Recorded",EHR[[#This Row],[BP_Diastolic_mmHg]]="Not Recorded"),"No Reading","Uncontrolled"))</f>
        <v>Uncontrolled</v>
      </c>
      <c r="AD160" s="2" t="str">
        <f>_xlfn.CONCAT(EHR[[#This Row],[BP_Systolic_mmHg]],"/",EHR[[#This Row],[BP_Diastolic_mmHg]])</f>
        <v>170/114</v>
      </c>
      <c r="AE160" s="2">
        <v>60</v>
      </c>
      <c r="AF160" s="2">
        <v>25</v>
      </c>
      <c r="AG160" s="2">
        <v>37.200000000000003</v>
      </c>
      <c r="AH160" s="2">
        <v>35.5</v>
      </c>
      <c r="AI160" s="2" t="str">
        <f>IF(EHR[[#This Row],[BMI_kg_m2]]&gt;=30,"Obese","Non-Obese")</f>
        <v>Obese</v>
      </c>
      <c r="AJ160" s="2">
        <v>95</v>
      </c>
      <c r="AK160" s="2" t="s">
        <v>50</v>
      </c>
      <c r="AL160" s="2" t="s">
        <v>51</v>
      </c>
      <c r="AM160" s="2" t="s">
        <v>52</v>
      </c>
      <c r="AN160" s="2" t="s">
        <v>53</v>
      </c>
      <c r="AO160" s="2" t="s">
        <v>54</v>
      </c>
    </row>
    <row r="161" spans="1:41" x14ac:dyDescent="0.2">
      <c r="A161" s="7" t="s">
        <v>680</v>
      </c>
      <c r="B161" s="3" t="s">
        <v>681</v>
      </c>
      <c r="C161" s="15">
        <v>45626</v>
      </c>
      <c r="D161" s="3" t="s">
        <v>95</v>
      </c>
      <c r="E161" s="3" t="s">
        <v>89</v>
      </c>
      <c r="F161" s="3" t="s">
        <v>219</v>
      </c>
      <c r="G161" s="3" t="s">
        <v>123</v>
      </c>
      <c r="H161" s="14">
        <v>33618</v>
      </c>
      <c r="I161" s="18">
        <f>(EHR[[#This Row],[Encounter_Date]]-EHR[[#This Row],[Patient_DOB]])/365</f>
        <v>32.898630136986299</v>
      </c>
      <c r="J161" s="18" t="str" cm="1">
        <f t="array" ref="J16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61" s="3" t="s">
        <v>1573</v>
      </c>
      <c r="L161" s="3" t="s">
        <v>110</v>
      </c>
      <c r="M161" s="3" t="s">
        <v>141</v>
      </c>
      <c r="N161" s="3" t="s">
        <v>1574</v>
      </c>
      <c r="O161" s="3" t="s">
        <v>1574</v>
      </c>
      <c r="P161" s="3" t="s">
        <v>315</v>
      </c>
      <c r="Q161" s="3" t="str">
        <f>_xlfn.XLOOKUP(EHR[[#This Row],[Primary_ICD11_Code]],'03_ICD11_Reference'!A:A,'03_ICD11_Reference'!D:D,,0)</f>
        <v>Endocrine</v>
      </c>
      <c r="R161" s="3" t="s">
        <v>316</v>
      </c>
      <c r="S161" s="3" t="s">
        <v>69</v>
      </c>
      <c r="T161" s="3" t="s">
        <v>684</v>
      </c>
      <c r="U161" s="3">
        <v>2</v>
      </c>
      <c r="V161" s="3" t="str">
        <f>_xlfn.XLOOKUP(EHR[[#This Row],[Encounter_ID]],'02_Lab_Results'!B:B,'02_Lab_Results'!D:D,,0)</f>
        <v>2085-9</v>
      </c>
      <c r="W161" s="3" t="str">
        <f>_xlfn.XLOOKUP(EHR[[#This Row],[LOINC Code]],'04_LOINC_Reference'!A:A,'04_LOINC_Reference'!F:F,,0)</f>
        <v>Biochemistry</v>
      </c>
      <c r="X161" s="3" t="str">
        <f>_xlfn.XLOOKUP(EHR[[#This Row],[LOINC Code]],'02_Lab_Results'!D:D,'02_Lab_Results'!E:E,,0)</f>
        <v>HDL cholesterol</v>
      </c>
      <c r="Y161" s="3" t="str">
        <f>_xlfn.XLOOKUP(EHR[[#This Row],[LOINC Code]],'02_Lab_Results'!D:D,'02_Lab_Results'!J:J,,0)</f>
        <v>Normal</v>
      </c>
      <c r="Z161" s="3" t="str" cm="1">
        <f t="array" ref="Z161">_xlfn.XLOOKUP(1,(B161=B$2:B$500)*(V$2:V$500="4548-4"),Y$2:Y$500,"Not Tested")</f>
        <v>Not Tested</v>
      </c>
      <c r="AA161" s="4" t="s">
        <v>1570</v>
      </c>
      <c r="AB161" s="4" t="s">
        <v>1570</v>
      </c>
      <c r="AC161" s="4" t="str">
        <f>IF(AND(EHR[[#This Row],[BP_Systolic_mmHg]]&lt;140,EHR[[#This Row],[BP_Diastolic_mmHg]]&lt;90),"Controlled",IF(OR(EHR[[#This Row],[BP_Systolic_mmHg]]="Not Recorded",EHR[[#This Row],[BP_Diastolic_mmHg]]="Not Recorded"),"No Reading","Uncontrolled"))</f>
        <v>No Reading</v>
      </c>
      <c r="AD161" s="4" t="str">
        <f>_xlfn.CONCAT(EHR[[#This Row],[BP_Systolic_mmHg]],"/",EHR[[#This Row],[BP_Diastolic_mmHg]])</f>
        <v>Not Recorded/Not Recorded</v>
      </c>
      <c r="AE161" s="3">
        <v>118</v>
      </c>
      <c r="AF161" s="3">
        <v>16</v>
      </c>
      <c r="AG161" s="3">
        <v>37.4</v>
      </c>
      <c r="AH161" s="4">
        <v>21.7</v>
      </c>
      <c r="AI161" s="4" t="str">
        <f>IF(EHR[[#This Row],[BMI_kg_m2]]&gt;=30,"Obese","Non-Obese")</f>
        <v>Non-Obese</v>
      </c>
      <c r="AJ161" s="3">
        <v>95</v>
      </c>
      <c r="AK161" s="3" t="s">
        <v>50</v>
      </c>
      <c r="AL161" s="3" t="s">
        <v>51</v>
      </c>
      <c r="AM161" s="3" t="s">
        <v>52</v>
      </c>
      <c r="AN161" s="3" t="s">
        <v>53</v>
      </c>
      <c r="AO161" s="3" t="s">
        <v>54</v>
      </c>
    </row>
    <row r="162" spans="1:41" x14ac:dyDescent="0.2">
      <c r="A162" s="6" t="s">
        <v>680</v>
      </c>
      <c r="B162" s="2" t="s">
        <v>685</v>
      </c>
      <c r="C162" s="15">
        <f>EHR[[#This Row],[Patient_DOB]]+(EHR[[#This Row],[Age_at_Encounter]]*365)</f>
        <v>45663</v>
      </c>
      <c r="D162" s="2" t="s">
        <v>95</v>
      </c>
      <c r="E162" s="2" t="s">
        <v>167</v>
      </c>
      <c r="F162" s="2" t="s">
        <v>38</v>
      </c>
      <c r="G162" s="2" t="s">
        <v>123</v>
      </c>
      <c r="H162" s="13">
        <v>33618</v>
      </c>
      <c r="I162" s="4">
        <v>33</v>
      </c>
      <c r="J162" s="4" t="str" cm="1">
        <f t="array" ref="J16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62" s="2" t="s">
        <v>1573</v>
      </c>
      <c r="L162" s="2" t="s">
        <v>42</v>
      </c>
      <c r="M162" s="2" t="s">
        <v>141</v>
      </c>
      <c r="N162" s="2" t="s">
        <v>1574</v>
      </c>
      <c r="O162" s="2" t="s">
        <v>1574</v>
      </c>
      <c r="P162" s="2" t="s">
        <v>315</v>
      </c>
      <c r="Q162" s="2" t="str">
        <f>_xlfn.XLOOKUP(EHR[[#This Row],[Primary_ICD11_Code]],'03_ICD11_Reference'!A:A,'03_ICD11_Reference'!D:D,,0)</f>
        <v>Endocrine</v>
      </c>
      <c r="R162" s="2" t="s">
        <v>316</v>
      </c>
      <c r="S162" s="2" t="s">
        <v>69</v>
      </c>
      <c r="T162" s="2" t="s">
        <v>686</v>
      </c>
      <c r="U162" s="2">
        <v>3</v>
      </c>
      <c r="V162" s="2" t="str">
        <f>_xlfn.XLOOKUP(EHR[[#This Row],[Encounter_ID]],'02_Lab_Results'!B:B,'02_Lab_Results'!D:D,,0)</f>
        <v>13457-7</v>
      </c>
      <c r="W162" s="2" t="str">
        <f>_xlfn.XLOOKUP(EHR[[#This Row],[LOINC Code]],'04_LOINC_Reference'!A:A,'04_LOINC_Reference'!F:F,,0)</f>
        <v>Biochemistry</v>
      </c>
      <c r="X162" s="2" t="str">
        <f>_xlfn.XLOOKUP(EHR[[#This Row],[LOINC Code]],'02_Lab_Results'!D:D,'02_Lab_Results'!E:E,,0)</f>
        <v>LDL cholesterol</v>
      </c>
      <c r="Y162" s="2" t="str">
        <f>_xlfn.XLOOKUP(EHR[[#This Row],[LOINC Code]],'02_Lab_Results'!D:D,'02_Lab_Results'!J:J,,0)</f>
        <v>High</v>
      </c>
      <c r="Z162" s="2" t="str" cm="1">
        <f t="array" ref="Z162">_xlfn.XLOOKUP(1,(B162=B$2:B$500)*(V$2:V$500="4548-4"),Y$2:Y$500,"Not Tested")</f>
        <v>Not Tested</v>
      </c>
      <c r="AA162" s="4">
        <v>184</v>
      </c>
      <c r="AB162" s="4" t="s">
        <v>1570</v>
      </c>
      <c r="AC162" s="4" t="str">
        <f>IF(AND(EHR[[#This Row],[BP_Systolic_mmHg]]&lt;140,EHR[[#This Row],[BP_Diastolic_mmHg]]&lt;90),"Controlled",IF(OR(EHR[[#This Row],[BP_Systolic_mmHg]]="Not Recorded",EHR[[#This Row],[BP_Diastolic_mmHg]]="Not Recorded"),"No Reading","Uncontrolled"))</f>
        <v>No Reading</v>
      </c>
      <c r="AD162" s="4" t="str">
        <f>_xlfn.CONCAT(EHR[[#This Row],[BP_Systolic_mmHg]],"/",EHR[[#This Row],[BP_Diastolic_mmHg]])</f>
        <v>184/Not Recorded</v>
      </c>
      <c r="AE162" s="2">
        <v>51</v>
      </c>
      <c r="AF162" s="2">
        <v>18</v>
      </c>
      <c r="AG162" s="2">
        <v>38.299999999999997</v>
      </c>
      <c r="AH162" s="4">
        <v>31.2</v>
      </c>
      <c r="AI162" s="4" t="str">
        <f>IF(EHR[[#This Row],[BMI_kg_m2]]&gt;=30,"Obese","Non-Obese")</f>
        <v>Obese</v>
      </c>
      <c r="AJ162" s="2">
        <v>97</v>
      </c>
      <c r="AK162" s="2" t="s">
        <v>50</v>
      </c>
      <c r="AL162" s="2" t="s">
        <v>51</v>
      </c>
      <c r="AM162" s="2" t="s">
        <v>52</v>
      </c>
      <c r="AN162" s="2" t="s">
        <v>53</v>
      </c>
      <c r="AO162" s="2" t="s">
        <v>54</v>
      </c>
    </row>
    <row r="163" spans="1:41" x14ac:dyDescent="0.2">
      <c r="A163" s="7" t="s">
        <v>687</v>
      </c>
      <c r="B163" s="3" t="s">
        <v>688</v>
      </c>
      <c r="C163" s="14">
        <v>45737</v>
      </c>
      <c r="D163" s="3" t="s">
        <v>88</v>
      </c>
      <c r="E163" s="3" t="s">
        <v>167</v>
      </c>
      <c r="F163" s="3" t="s">
        <v>109</v>
      </c>
      <c r="G163" s="3" t="s">
        <v>123</v>
      </c>
      <c r="H163" s="14">
        <v>14787</v>
      </c>
      <c r="I163" s="3">
        <v>85</v>
      </c>
      <c r="J163" s="3" t="str" cm="1">
        <f t="array" ref="J16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63" s="3" t="s">
        <v>1573</v>
      </c>
      <c r="L163" s="3" t="s">
        <v>116</v>
      </c>
      <c r="M163" s="3" t="s">
        <v>45</v>
      </c>
      <c r="N163" s="3" t="s">
        <v>80</v>
      </c>
      <c r="O163" s="3" t="s">
        <v>182</v>
      </c>
      <c r="P163" s="3" t="s">
        <v>46</v>
      </c>
      <c r="Q163" s="3" t="str">
        <f>_xlfn.XLOOKUP(EHR[[#This Row],[Primary_ICD11_Code]],'03_ICD11_Reference'!A:A,'03_ICD11_Reference'!D:D,,0)</f>
        <v>Haematological</v>
      </c>
      <c r="R163" s="3" t="s">
        <v>47</v>
      </c>
      <c r="S163" s="3" t="s">
        <v>48</v>
      </c>
      <c r="T163" s="3" t="s">
        <v>691</v>
      </c>
      <c r="U163" s="3">
        <v>2</v>
      </c>
      <c r="V163" s="3" t="str">
        <f>_xlfn.XLOOKUP(EHR[[#This Row],[Encounter_ID]],'02_Lab_Results'!B:B,'02_Lab_Results'!D:D,,0)</f>
        <v>2160-0</v>
      </c>
      <c r="W163" s="3" t="str">
        <f>_xlfn.XLOOKUP(EHR[[#This Row],[LOINC Code]],'04_LOINC_Reference'!A:A,'04_LOINC_Reference'!F:F,,0)</f>
        <v>Biochemistry</v>
      </c>
      <c r="X163" s="3" t="str">
        <f>_xlfn.XLOOKUP(EHR[[#This Row],[LOINC Code]],'02_Lab_Results'!D:D,'02_Lab_Results'!E:E,,0)</f>
        <v>Serum creatinine</v>
      </c>
      <c r="Y163" s="3" t="str">
        <f>_xlfn.XLOOKUP(EHR[[#This Row],[LOINC Code]],'02_Lab_Results'!D:D,'02_Lab_Results'!J:J,,0)</f>
        <v>Normal</v>
      </c>
      <c r="Z163" s="3" t="str" cm="1">
        <f t="array" ref="Z163">_xlfn.XLOOKUP(1,(B163=B$2:B$500)*(V$2:V$500="4548-4"),Y$2:Y$500,"Not Tested")</f>
        <v>Not Tested</v>
      </c>
      <c r="AA163" s="3">
        <v>178</v>
      </c>
      <c r="AB163" s="3">
        <v>58</v>
      </c>
      <c r="AC163" s="3" t="str">
        <f>IF(AND(EHR[[#This Row],[BP_Systolic_mmHg]]&lt;140,EHR[[#This Row],[BP_Diastolic_mmHg]]&lt;90),"Controlled",IF(OR(EHR[[#This Row],[BP_Systolic_mmHg]]="Not Recorded",EHR[[#This Row],[BP_Diastolic_mmHg]]="Not Recorded"),"No Reading","Uncontrolled"))</f>
        <v>Uncontrolled</v>
      </c>
      <c r="AD163" s="3" t="str">
        <f>_xlfn.CONCAT(EHR[[#This Row],[BP_Systolic_mmHg]],"/",EHR[[#This Row],[BP_Diastolic_mmHg]])</f>
        <v>178/58</v>
      </c>
      <c r="AE163" s="3">
        <v>125</v>
      </c>
      <c r="AF163" s="3">
        <v>16</v>
      </c>
      <c r="AG163" s="3">
        <v>38.700000000000003</v>
      </c>
      <c r="AH163" s="3">
        <v>40.200000000000003</v>
      </c>
      <c r="AI163" s="3" t="str">
        <f>IF(EHR[[#This Row],[BMI_kg_m2]]&gt;=30,"Obese","Non-Obese")</f>
        <v>Obese</v>
      </c>
      <c r="AJ163" s="3">
        <v>92</v>
      </c>
      <c r="AK163" s="3" t="s">
        <v>50</v>
      </c>
      <c r="AL163" s="3" t="s">
        <v>51</v>
      </c>
      <c r="AM163" s="3" t="s">
        <v>52</v>
      </c>
      <c r="AN163" s="3" t="s">
        <v>53</v>
      </c>
      <c r="AO163" s="3" t="s">
        <v>54</v>
      </c>
    </row>
    <row r="164" spans="1:41" x14ac:dyDescent="0.2">
      <c r="A164" s="6" t="s">
        <v>692</v>
      </c>
      <c r="B164" s="2" t="s">
        <v>693</v>
      </c>
      <c r="C164" s="15">
        <f>EHR[[#This Row],[Patient_DOB]]+(EHR[[#This Row],[Age_at_Encounter]]*365)</f>
        <v>45928</v>
      </c>
      <c r="D164" s="2" t="s">
        <v>60</v>
      </c>
      <c r="E164" s="2" t="s">
        <v>61</v>
      </c>
      <c r="F164" s="2" t="s">
        <v>97</v>
      </c>
      <c r="G164" s="2" t="s">
        <v>115</v>
      </c>
      <c r="H164" s="13">
        <v>32788</v>
      </c>
      <c r="I164" s="4">
        <v>36</v>
      </c>
      <c r="J164" s="4" t="str" cm="1">
        <f t="array" ref="J16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64" s="2" t="s">
        <v>1573</v>
      </c>
      <c r="L164" s="2" t="s">
        <v>66</v>
      </c>
      <c r="M164" s="2" t="s">
        <v>79</v>
      </c>
      <c r="N164" s="2" t="s">
        <v>80</v>
      </c>
      <c r="O164" s="2" t="s">
        <v>1574</v>
      </c>
      <c r="P164" s="2" t="s">
        <v>157</v>
      </c>
      <c r="Q164" s="2" t="str">
        <f>_xlfn.XLOOKUP(EHR[[#This Row],[Primary_ICD11_Code]],'03_ICD11_Reference'!A:A,'03_ICD11_Reference'!D:D,,0)</f>
        <v>Multi-system</v>
      </c>
      <c r="R164" s="2" t="s">
        <v>158</v>
      </c>
      <c r="S164" s="2" t="s">
        <v>69</v>
      </c>
      <c r="T164" s="2" t="s">
        <v>695</v>
      </c>
      <c r="U164" s="2">
        <v>2</v>
      </c>
      <c r="V164" s="2" t="str">
        <f>_xlfn.XLOOKUP(EHR[[#This Row],[Encounter_ID]],'02_Lab_Results'!B:B,'02_Lab_Results'!D:D,,0)</f>
        <v>2823-3</v>
      </c>
      <c r="W164" s="2" t="str">
        <f>_xlfn.XLOOKUP(EHR[[#This Row],[LOINC Code]],'04_LOINC_Reference'!A:A,'04_LOINC_Reference'!F:F,,0)</f>
        <v>Biochemistry</v>
      </c>
      <c r="X164" s="2" t="str">
        <f>_xlfn.XLOOKUP(EHR[[#This Row],[LOINC Code]],'02_Lab_Results'!D:D,'02_Lab_Results'!E:E,,0)</f>
        <v>Serum potassium</v>
      </c>
      <c r="Y164" s="2" t="str">
        <f>_xlfn.XLOOKUP(EHR[[#This Row],[LOINC Code]],'02_Lab_Results'!D:D,'02_Lab_Results'!J:J,,0)</f>
        <v>Normal</v>
      </c>
      <c r="Z164" s="2" t="str" cm="1">
        <f t="array" ref="Z164">_xlfn.XLOOKUP(1,(B164=B$2:B$500)*(V$2:V$500="4548-4"),Y$2:Y$500,"Not Tested")</f>
        <v>Not Tested</v>
      </c>
      <c r="AA164" s="4" t="s">
        <v>1570</v>
      </c>
      <c r="AB164" s="4">
        <v>68</v>
      </c>
      <c r="AC164" s="4" t="str">
        <f>IF(AND(EHR[[#This Row],[BP_Systolic_mmHg]]&lt;140,EHR[[#This Row],[BP_Diastolic_mmHg]]&lt;90),"Controlled",IF(OR(EHR[[#This Row],[BP_Systolic_mmHg]]="Not Recorded",EHR[[#This Row],[BP_Diastolic_mmHg]]="Not Recorded"),"No Reading","Uncontrolled"))</f>
        <v>No Reading</v>
      </c>
      <c r="AD164" s="4" t="str">
        <f>_xlfn.CONCAT(EHR[[#This Row],[BP_Systolic_mmHg]],"/",EHR[[#This Row],[BP_Diastolic_mmHg]])</f>
        <v>Not Recorded/68</v>
      </c>
      <c r="AE164" s="2">
        <v>89</v>
      </c>
      <c r="AF164" s="2">
        <v>12</v>
      </c>
      <c r="AG164" s="2">
        <v>38.9</v>
      </c>
      <c r="AH164" s="4">
        <v>23.2</v>
      </c>
      <c r="AI164" s="4" t="str">
        <f>IF(EHR[[#This Row],[BMI_kg_m2]]&gt;=30,"Obese","Non-Obese")</f>
        <v>Non-Obese</v>
      </c>
      <c r="AJ164" s="2">
        <v>89</v>
      </c>
      <c r="AK164" s="2" t="s">
        <v>50</v>
      </c>
      <c r="AL164" s="2" t="s">
        <v>51</v>
      </c>
      <c r="AM164" s="2" t="s">
        <v>52</v>
      </c>
      <c r="AN164" s="2" t="s">
        <v>53</v>
      </c>
      <c r="AO164" s="2" t="s">
        <v>54</v>
      </c>
    </row>
    <row r="165" spans="1:41" x14ac:dyDescent="0.2">
      <c r="A165" s="6" t="s">
        <v>692</v>
      </c>
      <c r="B165" s="2" t="s">
        <v>699</v>
      </c>
      <c r="C165" s="13">
        <v>45513</v>
      </c>
      <c r="D165" s="2" t="s">
        <v>95</v>
      </c>
      <c r="E165" s="2" t="s">
        <v>61</v>
      </c>
      <c r="F165" s="2" t="s">
        <v>109</v>
      </c>
      <c r="G165" s="2" t="s">
        <v>63</v>
      </c>
      <c r="H165" s="13">
        <v>32788</v>
      </c>
      <c r="I165" s="2">
        <v>36</v>
      </c>
      <c r="J165" s="2" t="str" cm="1">
        <f t="array" ref="J16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65" s="2" t="s">
        <v>1573</v>
      </c>
      <c r="L165" s="2" t="s">
        <v>140</v>
      </c>
      <c r="M165" s="2" t="s">
        <v>79</v>
      </c>
      <c r="N165" s="2" t="s">
        <v>80</v>
      </c>
      <c r="O165" s="2" t="s">
        <v>1574</v>
      </c>
      <c r="P165" s="2" t="s">
        <v>157</v>
      </c>
      <c r="Q165" s="2" t="str">
        <f>_xlfn.XLOOKUP(EHR[[#This Row],[Primary_ICD11_Code]],'03_ICD11_Reference'!A:A,'03_ICD11_Reference'!D:D,,0)</f>
        <v>Multi-system</v>
      </c>
      <c r="R165" s="2" t="s">
        <v>158</v>
      </c>
      <c r="S165" s="2" t="s">
        <v>69</v>
      </c>
      <c r="T165" s="2" t="s">
        <v>672</v>
      </c>
      <c r="U165" s="2">
        <v>2</v>
      </c>
      <c r="V165" s="2" t="str">
        <f>_xlfn.XLOOKUP(EHR[[#This Row],[Encounter_ID]],'02_Lab_Results'!B:B,'02_Lab_Results'!D:D,,0)</f>
        <v>6768-6</v>
      </c>
      <c r="W165" s="2" t="str">
        <f>_xlfn.XLOOKUP(EHR[[#This Row],[LOINC Code]],'04_LOINC_Reference'!A:A,'04_LOINC_Reference'!F:F,,0)</f>
        <v>Biochemistry</v>
      </c>
      <c r="X165" s="2" t="str">
        <f>_xlfn.XLOOKUP(EHR[[#This Row],[LOINC Code]],'02_Lab_Results'!D:D,'02_Lab_Results'!E:E,,0)</f>
        <v>ALP</v>
      </c>
      <c r="Y165" s="2" t="str">
        <f>_xlfn.XLOOKUP(EHR[[#This Row],[LOINC Code]],'02_Lab_Results'!D:D,'02_Lab_Results'!J:J,,0)</f>
        <v>High</v>
      </c>
      <c r="Z165" s="2" t="str" cm="1">
        <f t="array" ref="Z165">_xlfn.XLOOKUP(1,(B165=B$2:B$500)*(V$2:V$500="4548-4"),Y$2:Y$500,"Not Tested")</f>
        <v>Not Tested</v>
      </c>
      <c r="AA165" s="2" t="s">
        <v>1570</v>
      </c>
      <c r="AB165" s="2" t="s">
        <v>1570</v>
      </c>
      <c r="AC165" s="2" t="str">
        <f>IF(AND(EHR[[#This Row],[BP_Systolic_mmHg]]&lt;140,EHR[[#This Row],[BP_Diastolic_mmHg]]&lt;90),"Controlled",IF(OR(EHR[[#This Row],[BP_Systolic_mmHg]]="Not Recorded",EHR[[#This Row],[BP_Diastolic_mmHg]]="Not Recorded"),"No Reading","Uncontrolled"))</f>
        <v>No Reading</v>
      </c>
      <c r="AD165" s="2" t="str">
        <f>_xlfn.CONCAT(EHR[[#This Row],[BP_Systolic_mmHg]],"/",EHR[[#This Row],[BP_Diastolic_mmHg]])</f>
        <v>Not Recorded/Not Recorded</v>
      </c>
      <c r="AE165" s="2">
        <v>122</v>
      </c>
      <c r="AF165" s="2">
        <v>13</v>
      </c>
      <c r="AG165" s="2">
        <v>37.9</v>
      </c>
      <c r="AH165" s="2">
        <v>43.7</v>
      </c>
      <c r="AI165" s="2" t="str">
        <f>IF(EHR[[#This Row],[BMI_kg_m2]]&gt;=30,"Obese","Non-Obese")</f>
        <v>Obese</v>
      </c>
      <c r="AJ165" s="2">
        <v>100</v>
      </c>
      <c r="AK165" s="2" t="s">
        <v>50</v>
      </c>
      <c r="AL165" s="2" t="s">
        <v>51</v>
      </c>
      <c r="AM165" s="2" t="s">
        <v>52</v>
      </c>
      <c r="AN165" s="2" t="s">
        <v>53</v>
      </c>
      <c r="AO165" s="2" t="s">
        <v>54</v>
      </c>
    </row>
    <row r="166" spans="1:41" x14ac:dyDescent="0.2">
      <c r="A166" s="7" t="s">
        <v>692</v>
      </c>
      <c r="B166" s="3" t="s">
        <v>701</v>
      </c>
      <c r="C166" s="15">
        <v>45613</v>
      </c>
      <c r="D166" s="3" t="s">
        <v>60</v>
      </c>
      <c r="E166" s="3" t="s">
        <v>96</v>
      </c>
      <c r="F166" s="3" t="s">
        <v>219</v>
      </c>
      <c r="G166" s="3" t="s">
        <v>39</v>
      </c>
      <c r="H166" s="14">
        <v>32788</v>
      </c>
      <c r="I166" s="4">
        <v>36</v>
      </c>
      <c r="J166" s="4" t="str" cm="1">
        <f t="array" ref="J16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166" s="3" t="s">
        <v>1573</v>
      </c>
      <c r="L166" s="3" t="s">
        <v>140</v>
      </c>
      <c r="M166" s="3" t="s">
        <v>79</v>
      </c>
      <c r="N166" s="3" t="s">
        <v>80</v>
      </c>
      <c r="O166" s="3" t="s">
        <v>1574</v>
      </c>
      <c r="P166" s="3" t="s">
        <v>157</v>
      </c>
      <c r="Q166" s="3" t="str">
        <f>_xlfn.XLOOKUP(EHR[[#This Row],[Primary_ICD11_Code]],'03_ICD11_Reference'!A:A,'03_ICD11_Reference'!D:D,,0)</f>
        <v>Multi-system</v>
      </c>
      <c r="R166" s="3" t="s">
        <v>158</v>
      </c>
      <c r="S166" s="3" t="s">
        <v>69</v>
      </c>
      <c r="T166" s="3" t="s">
        <v>163</v>
      </c>
      <c r="U166" s="3">
        <v>1</v>
      </c>
      <c r="V166" s="3" t="str">
        <f>_xlfn.XLOOKUP(EHR[[#This Row],[Encounter_ID]],'02_Lab_Results'!B:B,'02_Lab_Results'!D:D,,0)</f>
        <v>6690-2</v>
      </c>
      <c r="W166" s="3" t="str">
        <f>_xlfn.XLOOKUP(EHR[[#This Row],[LOINC Code]],'04_LOINC_Reference'!A:A,'04_LOINC_Reference'!F:F,,0)</f>
        <v>Biochemistry</v>
      </c>
      <c r="X166" s="3" t="str">
        <f>_xlfn.XLOOKUP(EHR[[#This Row],[LOINC Code]],'02_Lab_Results'!D:D,'02_Lab_Results'!E:E,,0)</f>
        <v>WBC count</v>
      </c>
      <c r="Y166" s="3" t="str">
        <f>_xlfn.XLOOKUP(EHR[[#This Row],[LOINC Code]],'02_Lab_Results'!D:D,'02_Lab_Results'!J:J,,0)</f>
        <v>Low</v>
      </c>
      <c r="Z166" s="3" t="str" cm="1">
        <f t="array" ref="Z166">_xlfn.XLOOKUP(1,(B166=B$2:B$500)*(V$2:V$500="4548-4"),Y$2:Y$500,"Not Tested")</f>
        <v>Not Tested</v>
      </c>
      <c r="AA166" s="4">
        <v>153</v>
      </c>
      <c r="AB166" s="4">
        <v>108</v>
      </c>
      <c r="AC166" s="4" t="str">
        <f>IF(AND(EHR[[#This Row],[BP_Systolic_mmHg]]&lt;140,EHR[[#This Row],[BP_Diastolic_mmHg]]&lt;90),"Controlled",IF(OR(EHR[[#This Row],[BP_Systolic_mmHg]]="Not Recorded",EHR[[#This Row],[BP_Diastolic_mmHg]]="Not Recorded"),"No Reading","Uncontrolled"))</f>
        <v>Uncontrolled</v>
      </c>
      <c r="AD166" s="4" t="str">
        <f>_xlfn.CONCAT(EHR[[#This Row],[BP_Systolic_mmHg]],"/",EHR[[#This Row],[BP_Diastolic_mmHg]])</f>
        <v>153/108</v>
      </c>
      <c r="AE166" s="3">
        <v>83</v>
      </c>
      <c r="AF166" s="3">
        <v>16</v>
      </c>
      <c r="AG166" s="3">
        <v>36.799999999999997</v>
      </c>
      <c r="AH166" s="4" t="s">
        <v>1576</v>
      </c>
      <c r="AI166" s="4" t="str">
        <f>IF(EHR[[#This Row],[BMI_kg_m2]]&gt;=30,"Obese","Non-Obese")</f>
        <v>Obese</v>
      </c>
      <c r="AJ166" s="3">
        <v>90</v>
      </c>
      <c r="AK166" s="3" t="s">
        <v>50</v>
      </c>
      <c r="AL166" s="3" t="s">
        <v>51</v>
      </c>
      <c r="AM166" s="3" t="s">
        <v>52</v>
      </c>
      <c r="AN166" s="3" t="s">
        <v>53</v>
      </c>
      <c r="AO166" s="3" t="s">
        <v>54</v>
      </c>
    </row>
    <row r="167" spans="1:41" x14ac:dyDescent="0.2">
      <c r="A167" s="7" t="s">
        <v>704</v>
      </c>
      <c r="B167" s="3" t="s">
        <v>705</v>
      </c>
      <c r="C167" s="15">
        <v>45266</v>
      </c>
      <c r="D167" s="3" t="s">
        <v>95</v>
      </c>
      <c r="E167" s="3" t="s">
        <v>89</v>
      </c>
      <c r="F167" s="3" t="s">
        <v>148</v>
      </c>
      <c r="G167" s="3" t="s">
        <v>98</v>
      </c>
      <c r="H167" s="14">
        <v>17137</v>
      </c>
      <c r="I167" s="18">
        <f>(EHR[[#This Row],[Encounter_Date]]-EHR[[#This Row],[Patient_DOB]])/365</f>
        <v>77.06575342465753</v>
      </c>
      <c r="J167" s="18" t="str" cm="1">
        <f t="array" ref="J16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67" s="3" t="s">
        <v>1573</v>
      </c>
      <c r="L167" s="3" t="s">
        <v>140</v>
      </c>
      <c r="M167" s="3" t="s">
        <v>43</v>
      </c>
      <c r="N167" s="3" t="s">
        <v>1574</v>
      </c>
      <c r="O167" s="3" t="s">
        <v>182</v>
      </c>
      <c r="P167" s="3" t="s">
        <v>126</v>
      </c>
      <c r="Q167" s="3" t="str">
        <f>_xlfn.XLOOKUP(EHR[[#This Row],[Primary_ICD11_Code]],'03_ICD11_Reference'!A:A,'03_ICD11_Reference'!D:D,,0)</f>
        <v>Neurological</v>
      </c>
      <c r="R167" s="3" t="s">
        <v>127</v>
      </c>
      <c r="S167" s="3" t="s">
        <v>69</v>
      </c>
      <c r="T167" s="3" t="s">
        <v>526</v>
      </c>
      <c r="U167" s="3">
        <v>2</v>
      </c>
      <c r="V167" s="3" t="str">
        <f>_xlfn.XLOOKUP(EHR[[#This Row],[Encounter_ID]],'02_Lab_Results'!B:B,'02_Lab_Results'!D:D,,0)</f>
        <v>2345-7</v>
      </c>
      <c r="W167" s="3" t="str">
        <f>_xlfn.XLOOKUP(EHR[[#This Row],[LOINC Code]],'04_LOINC_Reference'!A:A,'04_LOINC_Reference'!F:F,,0)</f>
        <v>Biochemistry</v>
      </c>
      <c r="X167" s="3" t="str">
        <f>_xlfn.XLOOKUP(EHR[[#This Row],[LOINC Code]],'02_Lab_Results'!D:D,'02_Lab_Results'!E:E,,0)</f>
        <v>Serum glucose (fasting)</v>
      </c>
      <c r="Y167" s="3" t="str">
        <f>_xlfn.XLOOKUP(EHR[[#This Row],[LOINC Code]],'02_Lab_Results'!D:D,'02_Lab_Results'!J:J,,0)</f>
        <v>Normal</v>
      </c>
      <c r="Z167" s="3" t="str" cm="1">
        <f t="array" ref="Z167">_xlfn.XLOOKUP(1,(B167=B$2:B$500)*(V$2:V$500="4548-4"),Y$2:Y$500,"Not Tested")</f>
        <v>Not Tested</v>
      </c>
      <c r="AA167" s="4" t="s">
        <v>1570</v>
      </c>
      <c r="AB167" s="4" t="s">
        <v>1570</v>
      </c>
      <c r="AC167" s="4" t="str">
        <f>IF(AND(EHR[[#This Row],[BP_Systolic_mmHg]]&lt;140,EHR[[#This Row],[BP_Diastolic_mmHg]]&lt;90),"Controlled",IF(OR(EHR[[#This Row],[BP_Systolic_mmHg]]="Not Recorded",EHR[[#This Row],[BP_Diastolic_mmHg]]="Not Recorded"),"No Reading","Uncontrolled"))</f>
        <v>No Reading</v>
      </c>
      <c r="AD167" s="4" t="str">
        <f>_xlfn.CONCAT(EHR[[#This Row],[BP_Systolic_mmHg]],"/",EHR[[#This Row],[BP_Diastolic_mmHg]])</f>
        <v>Not Recorded/Not Recorded</v>
      </c>
      <c r="AE167" s="3">
        <v>102</v>
      </c>
      <c r="AF167" s="3">
        <v>24</v>
      </c>
      <c r="AG167" s="3">
        <v>38.299999999999997</v>
      </c>
      <c r="AH167" s="4">
        <v>25.1</v>
      </c>
      <c r="AI167" s="4" t="str">
        <f>IF(EHR[[#This Row],[BMI_kg_m2]]&gt;=30,"Obese","Non-Obese")</f>
        <v>Non-Obese</v>
      </c>
      <c r="AJ167" s="3">
        <v>91</v>
      </c>
      <c r="AK167" s="3" t="s">
        <v>50</v>
      </c>
      <c r="AL167" s="3" t="s">
        <v>51</v>
      </c>
      <c r="AM167" s="3" t="s">
        <v>52</v>
      </c>
      <c r="AN167" s="3" t="s">
        <v>53</v>
      </c>
      <c r="AO167" s="3" t="s">
        <v>54</v>
      </c>
    </row>
    <row r="168" spans="1:41" x14ac:dyDescent="0.2">
      <c r="A168" s="6" t="s">
        <v>704</v>
      </c>
      <c r="B168" s="2" t="s">
        <v>707</v>
      </c>
      <c r="C168" s="15">
        <v>45418</v>
      </c>
      <c r="D168" s="2" t="s">
        <v>88</v>
      </c>
      <c r="E168" s="2" t="s">
        <v>96</v>
      </c>
      <c r="F168" s="2" t="s">
        <v>38</v>
      </c>
      <c r="G168" s="2" t="s">
        <v>76</v>
      </c>
      <c r="H168" s="13">
        <v>17137</v>
      </c>
      <c r="I168" s="18">
        <f>(EHR[[#This Row],[Encounter_Date]]-EHR[[#This Row],[Patient_DOB]])/365</f>
        <v>77.482191780821921</v>
      </c>
      <c r="J168" s="18" t="str" cm="1">
        <f t="array" ref="J16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68" s="2" t="s">
        <v>1573</v>
      </c>
      <c r="L168" s="2" t="s">
        <v>78</v>
      </c>
      <c r="M168" s="2" t="s">
        <v>43</v>
      </c>
      <c r="N168" s="2" t="s">
        <v>1574</v>
      </c>
      <c r="O168" s="2" t="s">
        <v>182</v>
      </c>
      <c r="P168" s="2" t="s">
        <v>126</v>
      </c>
      <c r="Q168" s="2" t="str">
        <f>_xlfn.XLOOKUP(EHR[[#This Row],[Primary_ICD11_Code]],'03_ICD11_Reference'!A:A,'03_ICD11_Reference'!D:D,,0)</f>
        <v>Neurological</v>
      </c>
      <c r="R168" s="2" t="s">
        <v>127</v>
      </c>
      <c r="S168" s="2" t="s">
        <v>69</v>
      </c>
      <c r="T168" s="2" t="s">
        <v>709</v>
      </c>
      <c r="U168" s="2">
        <v>4</v>
      </c>
      <c r="V168" s="2" t="str">
        <f>_xlfn.XLOOKUP(EHR[[#This Row],[Encounter_ID]],'02_Lab_Results'!B:B,'02_Lab_Results'!D:D,,0)</f>
        <v>2345-7</v>
      </c>
      <c r="W168" s="2" t="str">
        <f>_xlfn.XLOOKUP(EHR[[#This Row],[LOINC Code]],'04_LOINC_Reference'!A:A,'04_LOINC_Reference'!F:F,,0)</f>
        <v>Biochemistry</v>
      </c>
      <c r="X168" s="2" t="str">
        <f>_xlfn.XLOOKUP(EHR[[#This Row],[LOINC Code]],'02_Lab_Results'!D:D,'02_Lab_Results'!E:E,,0)</f>
        <v>Serum glucose (fasting)</v>
      </c>
      <c r="Y168" s="2" t="str">
        <f>_xlfn.XLOOKUP(EHR[[#This Row],[LOINC Code]],'02_Lab_Results'!D:D,'02_Lab_Results'!J:J,,0)</f>
        <v>Normal</v>
      </c>
      <c r="Z168" s="2" t="str" cm="1">
        <f t="array" ref="Z168">_xlfn.XLOOKUP(1,(B168=B$2:B$500)*(V$2:V$500="4548-4"),Y$2:Y$500,"Not Tested")</f>
        <v>Not Tested</v>
      </c>
      <c r="AA168" s="4" t="s">
        <v>1570</v>
      </c>
      <c r="AB168" s="4">
        <v>57</v>
      </c>
      <c r="AC168" s="4" t="str">
        <f>IF(AND(EHR[[#This Row],[BP_Systolic_mmHg]]&lt;140,EHR[[#This Row],[BP_Diastolic_mmHg]]&lt;90),"Controlled",IF(OR(EHR[[#This Row],[BP_Systolic_mmHg]]="Not Recorded",EHR[[#This Row],[BP_Diastolic_mmHg]]="Not Recorded"),"No Reading","Uncontrolled"))</f>
        <v>No Reading</v>
      </c>
      <c r="AD168" s="4" t="str">
        <f>_xlfn.CONCAT(EHR[[#This Row],[BP_Systolic_mmHg]],"/",EHR[[#This Row],[BP_Diastolic_mmHg]])</f>
        <v>Not Recorded/57</v>
      </c>
      <c r="AE168" s="2">
        <v>63</v>
      </c>
      <c r="AF168" s="2">
        <v>17</v>
      </c>
      <c r="AG168" s="2">
        <v>36.299999999999997</v>
      </c>
      <c r="AH168" s="4" t="s">
        <v>1576</v>
      </c>
      <c r="AI168" s="4" t="str">
        <f>IF(EHR[[#This Row],[BMI_kg_m2]]&gt;=30,"Obese","Non-Obese")</f>
        <v>Obese</v>
      </c>
      <c r="AJ168" s="2">
        <v>91</v>
      </c>
      <c r="AK168" s="2" t="s">
        <v>50</v>
      </c>
      <c r="AL168" s="2" t="s">
        <v>51</v>
      </c>
      <c r="AM168" s="2" t="s">
        <v>52</v>
      </c>
      <c r="AN168" s="2" t="s">
        <v>53</v>
      </c>
      <c r="AO168" s="2" t="s">
        <v>54</v>
      </c>
    </row>
    <row r="169" spans="1:41" x14ac:dyDescent="0.2">
      <c r="A169" s="7" t="s">
        <v>704</v>
      </c>
      <c r="B169" s="3" t="s">
        <v>710</v>
      </c>
      <c r="C169" s="15">
        <v>45202</v>
      </c>
      <c r="D169" s="3" t="s">
        <v>95</v>
      </c>
      <c r="E169" s="3" t="s">
        <v>89</v>
      </c>
      <c r="F169" s="3" t="s">
        <v>132</v>
      </c>
      <c r="G169" s="3" t="s">
        <v>98</v>
      </c>
      <c r="H169" s="14">
        <v>17137</v>
      </c>
      <c r="I169" s="18">
        <f>(EHR[[#This Row],[Encounter_Date]]-EHR[[#This Row],[Patient_DOB]])/365</f>
        <v>76.890410958904113</v>
      </c>
      <c r="J169" s="18" t="str" cm="1">
        <f t="array" ref="J16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69" s="3" t="s">
        <v>1573</v>
      </c>
      <c r="L169" s="3" t="s">
        <v>90</v>
      </c>
      <c r="M169" s="3" t="s">
        <v>43</v>
      </c>
      <c r="N169" s="3" t="s">
        <v>1574</v>
      </c>
      <c r="O169" s="3" t="s">
        <v>182</v>
      </c>
      <c r="P169" s="3" t="s">
        <v>126</v>
      </c>
      <c r="Q169" s="3" t="str">
        <f>_xlfn.XLOOKUP(EHR[[#This Row],[Primary_ICD11_Code]],'03_ICD11_Reference'!A:A,'03_ICD11_Reference'!D:D,,0)</f>
        <v>Neurological</v>
      </c>
      <c r="R169" s="3" t="s">
        <v>127</v>
      </c>
      <c r="S169" s="3" t="s">
        <v>69</v>
      </c>
      <c r="T169" s="3" t="s">
        <v>712</v>
      </c>
      <c r="U169" s="3">
        <v>2</v>
      </c>
      <c r="V169" s="3" t="str">
        <f>_xlfn.XLOOKUP(EHR[[#This Row],[Encounter_ID]],'02_Lab_Results'!B:B,'02_Lab_Results'!D:D,,0)</f>
        <v>2951-2</v>
      </c>
      <c r="W169" s="3" t="str">
        <f>_xlfn.XLOOKUP(EHR[[#This Row],[LOINC Code]],'04_LOINC_Reference'!A:A,'04_LOINC_Reference'!F:F,,0)</f>
        <v>Biochemistry</v>
      </c>
      <c r="X169" s="3" t="str">
        <f>_xlfn.XLOOKUP(EHR[[#This Row],[LOINC Code]],'02_Lab_Results'!D:D,'02_Lab_Results'!E:E,,0)</f>
        <v>Serum sodium</v>
      </c>
      <c r="Y169" s="3" t="str">
        <f>_xlfn.XLOOKUP(EHR[[#This Row],[LOINC Code]],'02_Lab_Results'!D:D,'02_Lab_Results'!J:J,,0)</f>
        <v>Low</v>
      </c>
      <c r="Z169" s="3" t="str" cm="1">
        <f t="array" ref="Z169">_xlfn.XLOOKUP(1,(B169=B$2:B$500)*(V$2:V$500="4548-4"),Y$2:Y$500,"Not Tested")</f>
        <v>Not Tested</v>
      </c>
      <c r="AA169" s="4">
        <v>146</v>
      </c>
      <c r="AB169" s="4">
        <v>64</v>
      </c>
      <c r="AC169" s="4" t="str">
        <f>IF(AND(EHR[[#This Row],[BP_Systolic_mmHg]]&lt;140,EHR[[#This Row],[BP_Diastolic_mmHg]]&lt;90),"Controlled",IF(OR(EHR[[#This Row],[BP_Systolic_mmHg]]="Not Recorded",EHR[[#This Row],[BP_Diastolic_mmHg]]="Not Recorded"),"No Reading","Uncontrolled"))</f>
        <v>Uncontrolled</v>
      </c>
      <c r="AD169" s="4" t="str">
        <f>_xlfn.CONCAT(EHR[[#This Row],[BP_Systolic_mmHg]],"/",EHR[[#This Row],[BP_Diastolic_mmHg]])</f>
        <v>146/64</v>
      </c>
      <c r="AE169" s="3">
        <v>102</v>
      </c>
      <c r="AF169" s="3">
        <v>14</v>
      </c>
      <c r="AG169" s="3">
        <v>38.1</v>
      </c>
      <c r="AH169" s="4">
        <v>40.5</v>
      </c>
      <c r="AI169" s="4" t="str">
        <f>IF(EHR[[#This Row],[BMI_kg_m2]]&gt;=30,"Obese","Non-Obese")</f>
        <v>Obese</v>
      </c>
      <c r="AJ169" s="3">
        <v>92</v>
      </c>
      <c r="AK169" s="3" t="s">
        <v>50</v>
      </c>
      <c r="AL169" s="3" t="s">
        <v>51</v>
      </c>
      <c r="AM169" s="3" t="s">
        <v>52</v>
      </c>
      <c r="AN169" s="3" t="s">
        <v>53</v>
      </c>
      <c r="AO169" s="3" t="s">
        <v>54</v>
      </c>
    </row>
    <row r="170" spans="1:41" x14ac:dyDescent="0.2">
      <c r="A170" s="6" t="s">
        <v>704</v>
      </c>
      <c r="B170" s="2" t="s">
        <v>713</v>
      </c>
      <c r="C170" s="15">
        <v>45441</v>
      </c>
      <c r="D170" s="2" t="s">
        <v>103</v>
      </c>
      <c r="E170" s="2" t="s">
        <v>37</v>
      </c>
      <c r="F170" s="2" t="s">
        <v>132</v>
      </c>
      <c r="G170" s="2" t="s">
        <v>63</v>
      </c>
      <c r="H170" s="13">
        <v>17137</v>
      </c>
      <c r="I170" s="4">
        <v>79</v>
      </c>
      <c r="J170" s="4" t="str" cm="1">
        <f t="array" ref="J17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70" s="2" t="s">
        <v>1573</v>
      </c>
      <c r="L170" s="2" t="s">
        <v>116</v>
      </c>
      <c r="M170" s="2" t="s">
        <v>43</v>
      </c>
      <c r="N170" s="2" t="s">
        <v>1574</v>
      </c>
      <c r="O170" s="2" t="s">
        <v>182</v>
      </c>
      <c r="P170" s="2" t="s">
        <v>126</v>
      </c>
      <c r="Q170" s="2" t="str">
        <f>_xlfn.XLOOKUP(EHR[[#This Row],[Primary_ICD11_Code]],'03_ICD11_Reference'!A:A,'03_ICD11_Reference'!D:D,,0)</f>
        <v>Neurological</v>
      </c>
      <c r="R170" s="2" t="s">
        <v>127</v>
      </c>
      <c r="S170" s="2" t="s">
        <v>69</v>
      </c>
      <c r="T170" s="2" t="s">
        <v>714</v>
      </c>
      <c r="U170" s="2">
        <v>2</v>
      </c>
      <c r="V170" s="2" t="str">
        <f>_xlfn.XLOOKUP(EHR[[#This Row],[Encounter_ID]],'02_Lab_Results'!B:B,'02_Lab_Results'!D:D,,0)</f>
        <v>17861-6</v>
      </c>
      <c r="W170" s="2" t="str">
        <f>_xlfn.XLOOKUP(EHR[[#This Row],[LOINC Code]],'04_LOINC_Reference'!A:A,'04_LOINC_Reference'!F:F,,0)</f>
        <v>Biochemistry</v>
      </c>
      <c r="X170" s="2" t="str">
        <f>_xlfn.XLOOKUP(EHR[[#This Row],[LOINC Code]],'02_Lab_Results'!D:D,'02_Lab_Results'!E:E,,0)</f>
        <v>Serum calcium</v>
      </c>
      <c r="Y170" s="2" t="str">
        <f>_xlfn.XLOOKUP(EHR[[#This Row],[LOINC Code]],'02_Lab_Results'!D:D,'02_Lab_Results'!J:J,,0)</f>
        <v>High</v>
      </c>
      <c r="Z170" s="2" t="str" cm="1">
        <f t="array" ref="Z170">_xlfn.XLOOKUP(1,(B170=B$2:B$500)*(V$2:V$500="4548-4"),Y$2:Y$500,"Not Tested")</f>
        <v>Not Tested</v>
      </c>
      <c r="AA170" s="4">
        <v>146</v>
      </c>
      <c r="AB170" s="4">
        <v>86</v>
      </c>
      <c r="AC170" s="4" t="str">
        <f>IF(AND(EHR[[#This Row],[BP_Systolic_mmHg]]&lt;140,EHR[[#This Row],[BP_Diastolic_mmHg]]&lt;90),"Controlled",IF(OR(EHR[[#This Row],[BP_Systolic_mmHg]]="Not Recorded",EHR[[#This Row],[BP_Diastolic_mmHg]]="Not Recorded"),"No Reading","Uncontrolled"))</f>
        <v>Uncontrolled</v>
      </c>
      <c r="AD170" s="4" t="str">
        <f>_xlfn.CONCAT(EHR[[#This Row],[BP_Systolic_mmHg]],"/",EHR[[#This Row],[BP_Diastolic_mmHg]])</f>
        <v>146/86</v>
      </c>
      <c r="AE170" s="2">
        <v>93</v>
      </c>
      <c r="AF170" s="2">
        <v>28</v>
      </c>
      <c r="AG170" s="2">
        <v>36.5</v>
      </c>
      <c r="AH170" s="4" t="s">
        <v>1576</v>
      </c>
      <c r="AI170" s="4" t="str">
        <f>IF(EHR[[#This Row],[BMI_kg_m2]]&gt;=30,"Obese","Non-Obese")</f>
        <v>Obese</v>
      </c>
      <c r="AJ170" s="2">
        <v>93</v>
      </c>
      <c r="AK170" s="2" t="s">
        <v>50</v>
      </c>
      <c r="AL170" s="2" t="s">
        <v>51</v>
      </c>
      <c r="AM170" s="2" t="s">
        <v>52</v>
      </c>
      <c r="AN170" s="2" t="s">
        <v>53</v>
      </c>
      <c r="AO170" s="2" t="s">
        <v>54</v>
      </c>
    </row>
    <row r="171" spans="1:41" x14ac:dyDescent="0.2">
      <c r="A171" s="7" t="s">
        <v>704</v>
      </c>
      <c r="B171" s="3" t="s">
        <v>715</v>
      </c>
      <c r="C171" s="15">
        <v>45671</v>
      </c>
      <c r="D171" s="3" t="s">
        <v>88</v>
      </c>
      <c r="E171" s="3" t="s">
        <v>89</v>
      </c>
      <c r="F171" s="3" t="s">
        <v>132</v>
      </c>
      <c r="G171" s="3" t="s">
        <v>63</v>
      </c>
      <c r="H171" s="14">
        <v>17137</v>
      </c>
      <c r="I171" s="4">
        <v>79</v>
      </c>
      <c r="J171" s="4" t="str" cm="1">
        <f t="array" ref="J17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71" s="3" t="s">
        <v>1573</v>
      </c>
      <c r="L171" s="3" t="s">
        <v>78</v>
      </c>
      <c r="M171" s="3" t="s">
        <v>43</v>
      </c>
      <c r="N171" s="3" t="s">
        <v>1574</v>
      </c>
      <c r="O171" s="3" t="s">
        <v>182</v>
      </c>
      <c r="P171" s="3" t="s">
        <v>126</v>
      </c>
      <c r="Q171" s="3" t="str">
        <f>_xlfn.XLOOKUP(EHR[[#This Row],[Primary_ICD11_Code]],'03_ICD11_Reference'!A:A,'03_ICD11_Reference'!D:D,,0)</f>
        <v>Neurological</v>
      </c>
      <c r="R171" s="3" t="s">
        <v>127</v>
      </c>
      <c r="S171" s="3" t="s">
        <v>69</v>
      </c>
      <c r="T171" s="3" t="s">
        <v>45</v>
      </c>
      <c r="U171" s="3">
        <v>1</v>
      </c>
      <c r="V171" s="3" t="str">
        <f>_xlfn.XLOOKUP(EHR[[#This Row],[Encounter_ID]],'02_Lab_Results'!B:B,'02_Lab_Results'!D:D,,0)</f>
        <v>2085-9</v>
      </c>
      <c r="W171" s="3" t="str">
        <f>_xlfn.XLOOKUP(EHR[[#This Row],[LOINC Code]],'04_LOINC_Reference'!A:A,'04_LOINC_Reference'!F:F,,0)</f>
        <v>Biochemistry</v>
      </c>
      <c r="X171" s="3" t="str">
        <f>_xlfn.XLOOKUP(EHR[[#This Row],[LOINC Code]],'02_Lab_Results'!D:D,'02_Lab_Results'!E:E,,0)</f>
        <v>HDL cholesterol</v>
      </c>
      <c r="Y171" s="3" t="str">
        <f>_xlfn.XLOOKUP(EHR[[#This Row],[LOINC Code]],'02_Lab_Results'!D:D,'02_Lab_Results'!J:J,,0)</f>
        <v>Normal</v>
      </c>
      <c r="Z171" s="3" t="str" cm="1">
        <f t="array" ref="Z171">_xlfn.XLOOKUP(1,(B171=B$2:B$500)*(V$2:V$500="4548-4"),Y$2:Y$500,"Not Tested")</f>
        <v>Not Tested</v>
      </c>
      <c r="AA171" s="4" t="s">
        <v>1570</v>
      </c>
      <c r="AB171" s="4">
        <v>59</v>
      </c>
      <c r="AC171" s="4" t="str">
        <f>IF(AND(EHR[[#This Row],[BP_Systolic_mmHg]]&lt;140,EHR[[#This Row],[BP_Diastolic_mmHg]]&lt;90),"Controlled",IF(OR(EHR[[#This Row],[BP_Systolic_mmHg]]="Not Recorded",EHR[[#This Row],[BP_Diastolic_mmHg]]="Not Recorded"),"No Reading","Uncontrolled"))</f>
        <v>No Reading</v>
      </c>
      <c r="AD171" s="4" t="str">
        <f>_xlfn.CONCAT(EHR[[#This Row],[BP_Systolic_mmHg]],"/",EHR[[#This Row],[BP_Diastolic_mmHg]])</f>
        <v>Not Recorded/59</v>
      </c>
      <c r="AE171" s="3">
        <v>79</v>
      </c>
      <c r="AF171" s="3">
        <v>18</v>
      </c>
      <c r="AG171" s="3">
        <v>37</v>
      </c>
      <c r="AH171" s="4" t="s">
        <v>1576</v>
      </c>
      <c r="AI171" s="4" t="str">
        <f>IF(EHR[[#This Row],[BMI_kg_m2]]&gt;=30,"Obese","Non-Obese")</f>
        <v>Obese</v>
      </c>
      <c r="AJ171" s="3">
        <v>93</v>
      </c>
      <c r="AK171" s="3" t="s">
        <v>50</v>
      </c>
      <c r="AL171" s="3" t="s">
        <v>51</v>
      </c>
      <c r="AM171" s="3" t="s">
        <v>52</v>
      </c>
      <c r="AN171" s="3" t="s">
        <v>53</v>
      </c>
      <c r="AO171" s="3" t="s">
        <v>54</v>
      </c>
    </row>
    <row r="172" spans="1:41" x14ac:dyDescent="0.2">
      <c r="A172" s="6" t="s">
        <v>704</v>
      </c>
      <c r="B172" s="2" t="s">
        <v>716</v>
      </c>
      <c r="C172" s="15">
        <f>EHR[[#This Row],[Patient_DOB]]+(EHR[[#This Row],[Age_at_Encounter]]*365)</f>
        <v>45972</v>
      </c>
      <c r="D172" s="2" t="s">
        <v>36</v>
      </c>
      <c r="E172" s="2" t="s">
        <v>96</v>
      </c>
      <c r="F172" s="2" t="s">
        <v>38</v>
      </c>
      <c r="G172" s="2" t="s">
        <v>39</v>
      </c>
      <c r="H172" s="13">
        <v>17137</v>
      </c>
      <c r="I172" s="4">
        <v>79</v>
      </c>
      <c r="J172" s="4" t="str" cm="1">
        <f t="array" ref="J17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72" s="2" t="s">
        <v>1573</v>
      </c>
      <c r="L172" s="2" t="s">
        <v>110</v>
      </c>
      <c r="M172" s="2" t="s">
        <v>43</v>
      </c>
      <c r="N172" s="2" t="s">
        <v>1574</v>
      </c>
      <c r="O172" s="2" t="s">
        <v>182</v>
      </c>
      <c r="P172" s="2" t="s">
        <v>126</v>
      </c>
      <c r="Q172" s="2" t="str">
        <f>_xlfn.XLOOKUP(EHR[[#This Row],[Primary_ICD11_Code]],'03_ICD11_Reference'!A:A,'03_ICD11_Reference'!D:D,,0)</f>
        <v>Neurological</v>
      </c>
      <c r="R172" s="2" t="s">
        <v>127</v>
      </c>
      <c r="S172" s="2" t="s">
        <v>69</v>
      </c>
      <c r="T172" s="2" t="s">
        <v>717</v>
      </c>
      <c r="U172" s="2">
        <v>4</v>
      </c>
      <c r="V172" s="2" t="str">
        <f>_xlfn.XLOOKUP(EHR[[#This Row],[Encounter_ID]],'02_Lab_Results'!B:B,'02_Lab_Results'!D:D,,0)</f>
        <v>4548-4</v>
      </c>
      <c r="W172" s="2" t="str">
        <f>_xlfn.XLOOKUP(EHR[[#This Row],[LOINC Code]],'04_LOINC_Reference'!A:A,'04_LOINC_Reference'!F:F,,0)</f>
        <v>Biochemistry</v>
      </c>
      <c r="X172" s="2" t="str">
        <f>_xlfn.XLOOKUP(EHR[[#This Row],[LOINC Code]],'02_Lab_Results'!D:D,'02_Lab_Results'!E:E,,0)</f>
        <v>HbA1c</v>
      </c>
      <c r="Y172" s="2" t="str">
        <f>_xlfn.XLOOKUP(EHR[[#This Row],[LOINC Code]],'02_Lab_Results'!D:D,'02_Lab_Results'!J:J,,0)</f>
        <v>High</v>
      </c>
      <c r="Z172" s="2" t="str" cm="1">
        <f t="array" ref="Z172">_xlfn.XLOOKUP(1,(B172=B$2:B$500)*(V$2:V$500="4548-4"),Y$2:Y$500,"Not Tested")</f>
        <v>High</v>
      </c>
      <c r="AA172" s="4" t="s">
        <v>1570</v>
      </c>
      <c r="AB172" s="4">
        <v>61</v>
      </c>
      <c r="AC172" s="4" t="str">
        <f>IF(AND(EHR[[#This Row],[BP_Systolic_mmHg]]&lt;140,EHR[[#This Row],[BP_Diastolic_mmHg]]&lt;90),"Controlled",IF(OR(EHR[[#This Row],[BP_Systolic_mmHg]]="Not Recorded",EHR[[#This Row],[BP_Diastolic_mmHg]]="Not Recorded"),"No Reading","Uncontrolled"))</f>
        <v>No Reading</v>
      </c>
      <c r="AD172" s="4" t="str">
        <f>_xlfn.CONCAT(EHR[[#This Row],[BP_Systolic_mmHg]],"/",EHR[[#This Row],[BP_Diastolic_mmHg]])</f>
        <v>Not Recorded/61</v>
      </c>
      <c r="AE172" s="2">
        <v>71</v>
      </c>
      <c r="AF172" s="2">
        <v>21</v>
      </c>
      <c r="AG172" s="2">
        <v>37.1</v>
      </c>
      <c r="AH172" s="4">
        <v>29.2</v>
      </c>
      <c r="AI172" s="4" t="str">
        <f>IF(EHR[[#This Row],[BMI_kg_m2]]&gt;=30,"Obese","Non-Obese")</f>
        <v>Non-Obese</v>
      </c>
      <c r="AJ172" s="2">
        <v>92</v>
      </c>
      <c r="AK172" s="2" t="s">
        <v>50</v>
      </c>
      <c r="AL172" s="2" t="s">
        <v>51</v>
      </c>
      <c r="AM172" s="2" t="s">
        <v>52</v>
      </c>
      <c r="AN172" s="2" t="s">
        <v>53</v>
      </c>
      <c r="AO172" s="2" t="s">
        <v>54</v>
      </c>
    </row>
    <row r="173" spans="1:41" x14ac:dyDescent="0.2">
      <c r="A173" s="7" t="s">
        <v>718</v>
      </c>
      <c r="B173" s="3" t="s">
        <v>719</v>
      </c>
      <c r="C173" s="14">
        <v>45160</v>
      </c>
      <c r="D173" s="3" t="s">
        <v>95</v>
      </c>
      <c r="E173" s="3" t="s">
        <v>96</v>
      </c>
      <c r="F173" s="3" t="s">
        <v>148</v>
      </c>
      <c r="G173" s="3" t="s">
        <v>76</v>
      </c>
      <c r="H173" s="14">
        <v>21926</v>
      </c>
      <c r="I173" s="3">
        <v>65</v>
      </c>
      <c r="J173" s="3" t="str" cm="1">
        <f t="array" ref="J17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73" s="3" t="s">
        <v>1573</v>
      </c>
      <c r="L173" s="3" t="s">
        <v>66</v>
      </c>
      <c r="M173" s="3" t="s">
        <v>79</v>
      </c>
      <c r="N173" s="3" t="s">
        <v>1574</v>
      </c>
      <c r="O173" s="3" t="s">
        <v>45</v>
      </c>
      <c r="P173" s="3" t="s">
        <v>183</v>
      </c>
      <c r="Q173" s="3" t="str">
        <f>_xlfn.XLOOKUP(EHR[[#This Row],[Primary_ICD11_Code]],'03_ICD11_Reference'!A:A,'03_ICD11_Reference'!D:D,,0)</f>
        <v>Genitourinary</v>
      </c>
      <c r="R173" s="3" t="s">
        <v>184</v>
      </c>
      <c r="S173" s="3" t="s">
        <v>48</v>
      </c>
      <c r="T173" s="3" t="s">
        <v>722</v>
      </c>
      <c r="U173" s="3">
        <v>2</v>
      </c>
      <c r="V173" s="3" t="str">
        <f>_xlfn.XLOOKUP(EHR[[#This Row],[Encounter_ID]],'02_Lab_Results'!B:B,'02_Lab_Results'!D:D,,0)</f>
        <v>2160-0</v>
      </c>
      <c r="W173" s="3" t="str">
        <f>_xlfn.XLOOKUP(EHR[[#This Row],[LOINC Code]],'04_LOINC_Reference'!A:A,'04_LOINC_Reference'!F:F,,0)</f>
        <v>Biochemistry</v>
      </c>
      <c r="X173" s="3" t="str">
        <f>_xlfn.XLOOKUP(EHR[[#This Row],[LOINC Code]],'02_Lab_Results'!D:D,'02_Lab_Results'!E:E,,0)</f>
        <v>Serum creatinine</v>
      </c>
      <c r="Y173" s="3" t="str">
        <f>_xlfn.XLOOKUP(EHR[[#This Row],[LOINC Code]],'02_Lab_Results'!D:D,'02_Lab_Results'!J:J,,0)</f>
        <v>Normal</v>
      </c>
      <c r="Z173" s="3" t="str" cm="1">
        <f t="array" ref="Z173">_xlfn.XLOOKUP(1,(B173=B$2:B$500)*(V$2:V$500="4548-4"),Y$2:Y$500,"Not Tested")</f>
        <v>Not Tested</v>
      </c>
      <c r="AA173" s="3">
        <v>107</v>
      </c>
      <c r="AB173" s="3">
        <v>113</v>
      </c>
      <c r="AC173" s="3" t="str">
        <f>IF(AND(EHR[[#This Row],[BP_Systolic_mmHg]]&lt;140,EHR[[#This Row],[BP_Diastolic_mmHg]]&lt;90),"Controlled",IF(OR(EHR[[#This Row],[BP_Systolic_mmHg]]="Not Recorded",EHR[[#This Row],[BP_Diastolic_mmHg]]="Not Recorded"),"No Reading","Uncontrolled"))</f>
        <v>Uncontrolled</v>
      </c>
      <c r="AD173" s="3" t="str">
        <f>_xlfn.CONCAT(EHR[[#This Row],[BP_Systolic_mmHg]],"/",EHR[[#This Row],[BP_Diastolic_mmHg]])</f>
        <v>107/113</v>
      </c>
      <c r="AE173" s="3">
        <v>83</v>
      </c>
      <c r="AF173" s="3">
        <v>25</v>
      </c>
      <c r="AG173" s="3">
        <v>36.9</v>
      </c>
      <c r="AH173" s="3">
        <v>29.4</v>
      </c>
      <c r="AI173" s="3" t="str">
        <f>IF(EHR[[#This Row],[BMI_kg_m2]]&gt;=30,"Obese","Non-Obese")</f>
        <v>Non-Obese</v>
      </c>
      <c r="AJ173" s="3">
        <v>95</v>
      </c>
      <c r="AK173" s="3" t="s">
        <v>50</v>
      </c>
      <c r="AL173" s="3" t="s">
        <v>51</v>
      </c>
      <c r="AM173" s="3" t="s">
        <v>52</v>
      </c>
      <c r="AN173" s="3" t="s">
        <v>53</v>
      </c>
      <c r="AO173" s="3" t="s">
        <v>54</v>
      </c>
    </row>
    <row r="174" spans="1:41" x14ac:dyDescent="0.2">
      <c r="A174" s="6" t="s">
        <v>718</v>
      </c>
      <c r="B174" s="2" t="s">
        <v>723</v>
      </c>
      <c r="C174" s="13">
        <v>44984</v>
      </c>
      <c r="D174" s="2" t="s">
        <v>103</v>
      </c>
      <c r="E174" s="2" t="s">
        <v>61</v>
      </c>
      <c r="F174" s="2" t="s">
        <v>75</v>
      </c>
      <c r="G174" s="2" t="s">
        <v>138</v>
      </c>
      <c r="H174" s="13">
        <v>21926</v>
      </c>
      <c r="I174" s="2">
        <v>65</v>
      </c>
      <c r="J174" s="2" t="str" cm="1">
        <f t="array" ref="J17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74" s="2" t="s">
        <v>1573</v>
      </c>
      <c r="L174" s="2" t="s">
        <v>110</v>
      </c>
      <c r="M174" s="2" t="s">
        <v>79</v>
      </c>
      <c r="N174" s="2" t="s">
        <v>1574</v>
      </c>
      <c r="O174" s="2" t="s">
        <v>45</v>
      </c>
      <c r="P174" s="2" t="s">
        <v>183</v>
      </c>
      <c r="Q174" s="2" t="str">
        <f>_xlfn.XLOOKUP(EHR[[#This Row],[Primary_ICD11_Code]],'03_ICD11_Reference'!A:A,'03_ICD11_Reference'!D:D,,0)</f>
        <v>Genitourinary</v>
      </c>
      <c r="R174" s="2" t="s">
        <v>184</v>
      </c>
      <c r="S174" s="2" t="s">
        <v>48</v>
      </c>
      <c r="T174" s="2" t="s">
        <v>725</v>
      </c>
      <c r="U174" s="2">
        <v>1</v>
      </c>
      <c r="V174" s="2" t="str">
        <f>_xlfn.XLOOKUP(EHR[[#This Row],[Encounter_ID]],'02_Lab_Results'!B:B,'02_Lab_Results'!D:D,,0)</f>
        <v>2345-7</v>
      </c>
      <c r="W174" s="2" t="str">
        <f>_xlfn.XLOOKUP(EHR[[#This Row],[LOINC Code]],'04_LOINC_Reference'!A:A,'04_LOINC_Reference'!F:F,,0)</f>
        <v>Biochemistry</v>
      </c>
      <c r="X174" s="2" t="str">
        <f>_xlfn.XLOOKUP(EHR[[#This Row],[LOINC Code]],'02_Lab_Results'!D:D,'02_Lab_Results'!E:E,,0)</f>
        <v>Serum glucose (fasting)</v>
      </c>
      <c r="Y174" s="2" t="str">
        <f>_xlfn.XLOOKUP(EHR[[#This Row],[LOINC Code]],'02_Lab_Results'!D:D,'02_Lab_Results'!J:J,,0)</f>
        <v>Normal</v>
      </c>
      <c r="Z174" s="2" t="str" cm="1">
        <f t="array" ref="Z174">_xlfn.XLOOKUP(1,(B174=B$2:B$500)*(V$2:V$500="4548-4"),Y$2:Y$500,"Not Tested")</f>
        <v>Not Tested</v>
      </c>
      <c r="AA174" s="2">
        <v>141</v>
      </c>
      <c r="AB174" s="2">
        <v>65</v>
      </c>
      <c r="AC174" s="2" t="str">
        <f>IF(AND(EHR[[#This Row],[BP_Systolic_mmHg]]&lt;140,EHR[[#This Row],[BP_Diastolic_mmHg]]&lt;90),"Controlled",IF(OR(EHR[[#This Row],[BP_Systolic_mmHg]]="Not Recorded",EHR[[#This Row],[BP_Diastolic_mmHg]]="Not Recorded"),"No Reading","Uncontrolled"))</f>
        <v>Uncontrolled</v>
      </c>
      <c r="AD174" s="2" t="str">
        <f>_xlfn.CONCAT(EHR[[#This Row],[BP_Systolic_mmHg]],"/",EHR[[#This Row],[BP_Diastolic_mmHg]])</f>
        <v>141/65</v>
      </c>
      <c r="AE174" s="2">
        <v>73</v>
      </c>
      <c r="AF174" s="2">
        <v>20</v>
      </c>
      <c r="AG174" s="2">
        <v>36.4</v>
      </c>
      <c r="AH174" s="2">
        <v>41.8</v>
      </c>
      <c r="AI174" s="2" t="str">
        <f>IF(EHR[[#This Row],[BMI_kg_m2]]&gt;=30,"Obese","Non-Obese")</f>
        <v>Obese</v>
      </c>
      <c r="AJ174" s="2">
        <v>98</v>
      </c>
      <c r="AK174" s="2" t="s">
        <v>50</v>
      </c>
      <c r="AL174" s="2" t="s">
        <v>51</v>
      </c>
      <c r="AM174" s="2" t="s">
        <v>52</v>
      </c>
      <c r="AN174" s="2" t="s">
        <v>53</v>
      </c>
      <c r="AO174" s="2" t="s">
        <v>54</v>
      </c>
    </row>
    <row r="175" spans="1:41" x14ac:dyDescent="0.2">
      <c r="A175" s="7" t="s">
        <v>726</v>
      </c>
      <c r="B175" s="3" t="s">
        <v>727</v>
      </c>
      <c r="C175" s="14">
        <v>45053</v>
      </c>
      <c r="D175" s="3" t="s">
        <v>36</v>
      </c>
      <c r="E175" s="3" t="s">
        <v>37</v>
      </c>
      <c r="F175" s="3" t="s">
        <v>132</v>
      </c>
      <c r="G175" s="3" t="s">
        <v>123</v>
      </c>
      <c r="H175" s="14">
        <v>37065</v>
      </c>
      <c r="I175" s="3">
        <v>24</v>
      </c>
      <c r="J175" s="3" t="str" cm="1">
        <f t="array" ref="J17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75" s="3" t="s">
        <v>1573</v>
      </c>
      <c r="L175" s="3" t="s">
        <v>140</v>
      </c>
      <c r="M175" s="3" t="s">
        <v>79</v>
      </c>
      <c r="N175" s="3" t="s">
        <v>1574</v>
      </c>
      <c r="O175" s="3" t="s">
        <v>1574</v>
      </c>
      <c r="P175" s="3" t="s">
        <v>211</v>
      </c>
      <c r="Q175" s="3" t="str">
        <f>_xlfn.XLOOKUP(EHR[[#This Row],[Primary_ICD11_Code]],'03_ICD11_Reference'!A:A,'03_ICD11_Reference'!D:D,,0)</f>
        <v>Neurological</v>
      </c>
      <c r="R175" s="3" t="s">
        <v>212</v>
      </c>
      <c r="S175" s="3" t="s">
        <v>48</v>
      </c>
      <c r="T175" s="3" t="s">
        <v>730</v>
      </c>
      <c r="U175" s="3">
        <v>3</v>
      </c>
      <c r="V175" s="3" t="str">
        <f>_xlfn.XLOOKUP(EHR[[#This Row],[Encounter_ID]],'02_Lab_Results'!B:B,'02_Lab_Results'!D:D,,0)</f>
        <v>13457-7</v>
      </c>
      <c r="W175" s="3" t="str">
        <f>_xlfn.XLOOKUP(EHR[[#This Row],[LOINC Code]],'04_LOINC_Reference'!A:A,'04_LOINC_Reference'!F:F,,0)</f>
        <v>Biochemistry</v>
      </c>
      <c r="X175" s="3" t="str">
        <f>_xlfn.XLOOKUP(EHR[[#This Row],[LOINC Code]],'02_Lab_Results'!D:D,'02_Lab_Results'!E:E,,0)</f>
        <v>LDL cholesterol</v>
      </c>
      <c r="Y175" s="3" t="str">
        <f>_xlfn.XLOOKUP(EHR[[#This Row],[LOINC Code]],'02_Lab_Results'!D:D,'02_Lab_Results'!J:J,,0)</f>
        <v>High</v>
      </c>
      <c r="Z175" s="3" t="str" cm="1">
        <f t="array" ref="Z175">_xlfn.XLOOKUP(1,(B175=B$2:B$500)*(V$2:V$500="4548-4"),Y$2:Y$500,"Not Tested")</f>
        <v>Not Tested</v>
      </c>
      <c r="AA175" s="3">
        <v>156</v>
      </c>
      <c r="AB175" s="3">
        <v>70</v>
      </c>
      <c r="AC175" s="3" t="str">
        <f>IF(AND(EHR[[#This Row],[BP_Systolic_mmHg]]&lt;140,EHR[[#This Row],[BP_Diastolic_mmHg]]&lt;90),"Controlled",IF(OR(EHR[[#This Row],[BP_Systolic_mmHg]]="Not Recorded",EHR[[#This Row],[BP_Diastolic_mmHg]]="Not Recorded"),"No Reading","Uncontrolled"))</f>
        <v>Uncontrolled</v>
      </c>
      <c r="AD175" s="3" t="str">
        <f>_xlfn.CONCAT(EHR[[#This Row],[BP_Systolic_mmHg]],"/",EHR[[#This Row],[BP_Diastolic_mmHg]])</f>
        <v>156/70</v>
      </c>
      <c r="AE175" s="3">
        <v>87</v>
      </c>
      <c r="AF175" s="3">
        <v>19</v>
      </c>
      <c r="AG175" s="3">
        <v>39.1</v>
      </c>
      <c r="AH175" s="3">
        <v>31</v>
      </c>
      <c r="AI175" s="3" t="str">
        <f>IF(EHR[[#This Row],[BMI_kg_m2]]&gt;=30,"Obese","Non-Obese")</f>
        <v>Obese</v>
      </c>
      <c r="AJ175" s="3">
        <v>94</v>
      </c>
      <c r="AK175" s="3" t="s">
        <v>50</v>
      </c>
      <c r="AL175" s="3" t="s">
        <v>51</v>
      </c>
      <c r="AM175" s="3" t="s">
        <v>52</v>
      </c>
      <c r="AN175" s="3" t="s">
        <v>53</v>
      </c>
      <c r="AO175" s="3" t="s">
        <v>54</v>
      </c>
    </row>
    <row r="176" spans="1:41" x14ac:dyDescent="0.2">
      <c r="A176" s="6" t="s">
        <v>726</v>
      </c>
      <c r="B176" s="2" t="s">
        <v>731</v>
      </c>
      <c r="C176" s="13">
        <v>45512</v>
      </c>
      <c r="D176" s="2" t="s">
        <v>103</v>
      </c>
      <c r="E176" s="2" t="s">
        <v>61</v>
      </c>
      <c r="F176" s="2" t="s">
        <v>97</v>
      </c>
      <c r="G176" s="2" t="s">
        <v>123</v>
      </c>
      <c r="H176" s="13">
        <v>37065</v>
      </c>
      <c r="I176" s="2">
        <v>24</v>
      </c>
      <c r="J176" s="2" t="str" cm="1">
        <f t="array" ref="J17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76" s="2" t="s">
        <v>1573</v>
      </c>
      <c r="L176" s="2" t="s">
        <v>140</v>
      </c>
      <c r="M176" s="2" t="s">
        <v>79</v>
      </c>
      <c r="N176" s="2" t="s">
        <v>1574</v>
      </c>
      <c r="O176" s="2" t="s">
        <v>1574</v>
      </c>
      <c r="P176" s="2" t="s">
        <v>211</v>
      </c>
      <c r="Q176" s="2" t="str">
        <f>_xlfn.XLOOKUP(EHR[[#This Row],[Primary_ICD11_Code]],'03_ICD11_Reference'!A:A,'03_ICD11_Reference'!D:D,,0)</f>
        <v>Neurological</v>
      </c>
      <c r="R176" s="2" t="s">
        <v>212</v>
      </c>
      <c r="S176" s="2" t="s">
        <v>48</v>
      </c>
      <c r="T176" s="2" t="s">
        <v>117</v>
      </c>
      <c r="U176" s="2">
        <v>1</v>
      </c>
      <c r="V176" s="2" t="str">
        <f>_xlfn.XLOOKUP(EHR[[#This Row],[Encounter_ID]],'02_Lab_Results'!B:B,'02_Lab_Results'!D:D,,0)</f>
        <v>2345-7</v>
      </c>
      <c r="W176" s="2" t="str">
        <f>_xlfn.XLOOKUP(EHR[[#This Row],[LOINC Code]],'04_LOINC_Reference'!A:A,'04_LOINC_Reference'!F:F,,0)</f>
        <v>Biochemistry</v>
      </c>
      <c r="X176" s="2" t="str">
        <f>_xlfn.XLOOKUP(EHR[[#This Row],[LOINC Code]],'02_Lab_Results'!D:D,'02_Lab_Results'!E:E,,0)</f>
        <v>Serum glucose (fasting)</v>
      </c>
      <c r="Y176" s="2" t="str">
        <f>_xlfn.XLOOKUP(EHR[[#This Row],[LOINC Code]],'02_Lab_Results'!D:D,'02_Lab_Results'!J:J,,0)</f>
        <v>Normal</v>
      </c>
      <c r="Z176" s="2" t="str" cm="1">
        <f t="array" ref="Z176">_xlfn.XLOOKUP(1,(B176=B$2:B$500)*(V$2:V$500="4548-4"),Y$2:Y$500,"Not Tested")</f>
        <v>Not Tested</v>
      </c>
      <c r="AA176" s="2">
        <v>165</v>
      </c>
      <c r="AB176" s="2">
        <v>68</v>
      </c>
      <c r="AC176" s="2" t="str">
        <f>IF(AND(EHR[[#This Row],[BP_Systolic_mmHg]]&lt;140,EHR[[#This Row],[BP_Diastolic_mmHg]]&lt;90),"Controlled",IF(OR(EHR[[#This Row],[BP_Systolic_mmHg]]="Not Recorded",EHR[[#This Row],[BP_Diastolic_mmHg]]="Not Recorded"),"No Reading","Uncontrolled"))</f>
        <v>Uncontrolled</v>
      </c>
      <c r="AD176" s="2" t="str">
        <f>_xlfn.CONCAT(EHR[[#This Row],[BP_Systolic_mmHg]],"/",EHR[[#This Row],[BP_Diastolic_mmHg]])</f>
        <v>165/68</v>
      </c>
      <c r="AE176" s="2">
        <v>67</v>
      </c>
      <c r="AF176" s="2">
        <v>16</v>
      </c>
      <c r="AG176" s="2">
        <v>36.700000000000003</v>
      </c>
      <c r="AH176" s="2">
        <v>36.1</v>
      </c>
      <c r="AI176" s="2" t="str">
        <f>IF(EHR[[#This Row],[BMI_kg_m2]]&gt;=30,"Obese","Non-Obese")</f>
        <v>Obese</v>
      </c>
      <c r="AJ176" s="2">
        <v>94</v>
      </c>
      <c r="AK176" s="2" t="s">
        <v>50</v>
      </c>
      <c r="AL176" s="2" t="s">
        <v>51</v>
      </c>
      <c r="AM176" s="2" t="s">
        <v>52</v>
      </c>
      <c r="AN176" s="2" t="s">
        <v>53</v>
      </c>
      <c r="AO176" s="2" t="s">
        <v>54</v>
      </c>
    </row>
    <row r="177" spans="1:41" x14ac:dyDescent="0.2">
      <c r="A177" s="7" t="s">
        <v>732</v>
      </c>
      <c r="B177" s="3" t="s">
        <v>733</v>
      </c>
      <c r="C177" s="14">
        <v>45404</v>
      </c>
      <c r="D177" s="3" t="s">
        <v>60</v>
      </c>
      <c r="E177" s="3" t="s">
        <v>96</v>
      </c>
      <c r="F177" s="3" t="s">
        <v>122</v>
      </c>
      <c r="G177" s="3" t="s">
        <v>76</v>
      </c>
      <c r="H177" s="14">
        <v>25195</v>
      </c>
      <c r="I177" s="3">
        <v>57</v>
      </c>
      <c r="J177" s="3" t="str" cm="1">
        <f t="array" ref="J17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77" s="3" t="s">
        <v>1573</v>
      </c>
      <c r="L177" s="3" t="s">
        <v>42</v>
      </c>
      <c r="M177" s="3" t="s">
        <v>141</v>
      </c>
      <c r="N177" s="3" t="s">
        <v>125</v>
      </c>
      <c r="O177" s="3" t="s">
        <v>1574</v>
      </c>
      <c r="P177" s="3" t="s">
        <v>254</v>
      </c>
      <c r="Q177" s="3" t="str">
        <f>_xlfn.XLOOKUP(EHR[[#This Row],[Primary_ICD11_Code]],'03_ICD11_Reference'!A:A,'03_ICD11_Reference'!D:D,,0)</f>
        <v>Respiratory</v>
      </c>
      <c r="R177" s="3" t="s">
        <v>255</v>
      </c>
      <c r="S177" s="3" t="s">
        <v>69</v>
      </c>
      <c r="T177" s="3" t="s">
        <v>736</v>
      </c>
      <c r="U177" s="3">
        <v>3</v>
      </c>
      <c r="V177" s="3" t="str">
        <f>_xlfn.XLOOKUP(EHR[[#This Row],[Encounter_ID]],'02_Lab_Results'!B:B,'02_Lab_Results'!D:D,,0)</f>
        <v>718-7</v>
      </c>
      <c r="W177" s="3" t="str">
        <f>_xlfn.XLOOKUP(EHR[[#This Row],[LOINC Code]],'04_LOINC_Reference'!A:A,'04_LOINC_Reference'!F:F,,0)</f>
        <v>Biochemistry</v>
      </c>
      <c r="X177" s="3" t="str">
        <f>_xlfn.XLOOKUP(EHR[[#This Row],[LOINC Code]],'02_Lab_Results'!D:D,'02_Lab_Results'!E:E,,0)</f>
        <v>Haemoglobin</v>
      </c>
      <c r="Y177" s="3" t="str">
        <f>_xlfn.XLOOKUP(EHR[[#This Row],[LOINC Code]],'02_Lab_Results'!D:D,'02_Lab_Results'!J:J,,0)</f>
        <v>Normal</v>
      </c>
      <c r="Z177" s="3" t="str" cm="1">
        <f t="array" ref="Z177">_xlfn.XLOOKUP(1,(B177=B$2:B$500)*(V$2:V$500="4548-4"),Y$2:Y$500,"Not Tested")</f>
        <v>Not Tested</v>
      </c>
      <c r="AA177" s="3">
        <v>122</v>
      </c>
      <c r="AB177" s="3">
        <v>86</v>
      </c>
      <c r="AC177" s="3" t="str">
        <f>IF(AND(EHR[[#This Row],[BP_Systolic_mmHg]]&lt;140,EHR[[#This Row],[BP_Diastolic_mmHg]]&lt;90),"Controlled",IF(OR(EHR[[#This Row],[BP_Systolic_mmHg]]="Not Recorded",EHR[[#This Row],[BP_Diastolic_mmHg]]="Not Recorded"),"No Reading","Uncontrolled"))</f>
        <v>Controlled</v>
      </c>
      <c r="AD177" s="3" t="str">
        <f>_xlfn.CONCAT(EHR[[#This Row],[BP_Systolic_mmHg]],"/",EHR[[#This Row],[BP_Diastolic_mmHg]])</f>
        <v>122/86</v>
      </c>
      <c r="AE177" s="3">
        <v>97</v>
      </c>
      <c r="AF177" s="3">
        <v>21</v>
      </c>
      <c r="AG177" s="3">
        <v>36</v>
      </c>
      <c r="AH177" s="3">
        <v>46</v>
      </c>
      <c r="AI177" s="3" t="str">
        <f>IF(EHR[[#This Row],[BMI_kg_m2]]&gt;=30,"Obese","Non-Obese")</f>
        <v>Obese</v>
      </c>
      <c r="AJ177" s="3">
        <v>100</v>
      </c>
      <c r="AK177" s="3" t="s">
        <v>50</v>
      </c>
      <c r="AL177" s="3" t="s">
        <v>51</v>
      </c>
      <c r="AM177" s="3" t="s">
        <v>52</v>
      </c>
      <c r="AN177" s="3" t="s">
        <v>53</v>
      </c>
      <c r="AO177" s="3" t="s">
        <v>54</v>
      </c>
    </row>
    <row r="178" spans="1:41" x14ac:dyDescent="0.2">
      <c r="A178" s="6" t="s">
        <v>732</v>
      </c>
      <c r="B178" s="2" t="s">
        <v>737</v>
      </c>
      <c r="C178" s="13">
        <v>45582</v>
      </c>
      <c r="D178" s="2" t="s">
        <v>36</v>
      </c>
      <c r="E178" s="2" t="s">
        <v>61</v>
      </c>
      <c r="F178" s="2" t="s">
        <v>75</v>
      </c>
      <c r="G178" s="2" t="s">
        <v>98</v>
      </c>
      <c r="H178" s="13">
        <v>25195</v>
      </c>
      <c r="I178" s="2">
        <v>57</v>
      </c>
      <c r="J178" s="2" t="str" cm="1">
        <f t="array" ref="J17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78" s="2" t="s">
        <v>1573</v>
      </c>
      <c r="L178" s="2" t="s">
        <v>42</v>
      </c>
      <c r="M178" s="2" t="s">
        <v>141</v>
      </c>
      <c r="N178" s="2" t="s">
        <v>125</v>
      </c>
      <c r="O178" s="2" t="s">
        <v>1574</v>
      </c>
      <c r="P178" s="2" t="s">
        <v>254</v>
      </c>
      <c r="Q178" s="2" t="str">
        <f>_xlfn.XLOOKUP(EHR[[#This Row],[Primary_ICD11_Code]],'03_ICD11_Reference'!A:A,'03_ICD11_Reference'!D:D,,0)</f>
        <v>Respiratory</v>
      </c>
      <c r="R178" s="2" t="s">
        <v>255</v>
      </c>
      <c r="S178" s="2" t="s">
        <v>69</v>
      </c>
      <c r="T178" s="2" t="s">
        <v>739</v>
      </c>
      <c r="U178" s="2">
        <v>2</v>
      </c>
      <c r="V178" s="2" t="str">
        <f>_xlfn.XLOOKUP(EHR[[#This Row],[Encounter_ID]],'02_Lab_Results'!B:B,'02_Lab_Results'!D:D,,0)</f>
        <v>2823-3</v>
      </c>
      <c r="W178" s="2" t="str">
        <f>_xlfn.XLOOKUP(EHR[[#This Row],[LOINC Code]],'04_LOINC_Reference'!A:A,'04_LOINC_Reference'!F:F,,0)</f>
        <v>Biochemistry</v>
      </c>
      <c r="X178" s="2" t="str">
        <f>_xlfn.XLOOKUP(EHR[[#This Row],[LOINC Code]],'02_Lab_Results'!D:D,'02_Lab_Results'!E:E,,0)</f>
        <v>Serum potassium</v>
      </c>
      <c r="Y178" s="2" t="str">
        <f>_xlfn.XLOOKUP(EHR[[#This Row],[LOINC Code]],'02_Lab_Results'!D:D,'02_Lab_Results'!J:J,,0)</f>
        <v>Normal</v>
      </c>
      <c r="Z178" s="2" t="str" cm="1">
        <f t="array" ref="Z178">_xlfn.XLOOKUP(1,(B178=B$2:B$500)*(V$2:V$500="4548-4"),Y$2:Y$500,"Not Tested")</f>
        <v>Not Tested</v>
      </c>
      <c r="AA178" s="2">
        <v>124</v>
      </c>
      <c r="AB178" s="2">
        <v>72</v>
      </c>
      <c r="AC178" s="2" t="str">
        <f>IF(AND(EHR[[#This Row],[BP_Systolic_mmHg]]&lt;140,EHR[[#This Row],[BP_Diastolic_mmHg]]&lt;90),"Controlled",IF(OR(EHR[[#This Row],[BP_Systolic_mmHg]]="Not Recorded",EHR[[#This Row],[BP_Diastolic_mmHg]]="Not Recorded"),"No Reading","Uncontrolled"))</f>
        <v>Controlled</v>
      </c>
      <c r="AD178" s="2" t="str">
        <f>_xlfn.CONCAT(EHR[[#This Row],[BP_Systolic_mmHg]],"/",EHR[[#This Row],[BP_Diastolic_mmHg]])</f>
        <v>124/72</v>
      </c>
      <c r="AE178" s="2">
        <v>99</v>
      </c>
      <c r="AF178" s="2">
        <v>27</v>
      </c>
      <c r="AG178" s="2">
        <v>38.1</v>
      </c>
      <c r="AH178" s="2">
        <v>22.9</v>
      </c>
      <c r="AI178" s="2" t="str">
        <f>IF(EHR[[#This Row],[BMI_kg_m2]]&gt;=30,"Obese","Non-Obese")</f>
        <v>Non-Obese</v>
      </c>
      <c r="AJ178" s="2">
        <v>94</v>
      </c>
      <c r="AK178" s="2" t="s">
        <v>50</v>
      </c>
      <c r="AL178" s="2" t="s">
        <v>51</v>
      </c>
      <c r="AM178" s="2" t="s">
        <v>52</v>
      </c>
      <c r="AN178" s="2" t="s">
        <v>53</v>
      </c>
      <c r="AO178" s="2" t="s">
        <v>54</v>
      </c>
    </row>
    <row r="179" spans="1:41" x14ac:dyDescent="0.2">
      <c r="A179" s="7" t="s">
        <v>732</v>
      </c>
      <c r="B179" s="3" t="s">
        <v>740</v>
      </c>
      <c r="C179" s="14">
        <v>45192</v>
      </c>
      <c r="D179" s="3" t="s">
        <v>36</v>
      </c>
      <c r="E179" s="3" t="s">
        <v>89</v>
      </c>
      <c r="F179" s="3" t="s">
        <v>62</v>
      </c>
      <c r="G179" s="3" t="s">
        <v>115</v>
      </c>
      <c r="H179" s="14">
        <v>25195</v>
      </c>
      <c r="I179" s="3">
        <v>57</v>
      </c>
      <c r="J179" s="3" t="str" cm="1">
        <f t="array" ref="J17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79" s="3" t="s">
        <v>1573</v>
      </c>
      <c r="L179" s="3" t="s">
        <v>66</v>
      </c>
      <c r="M179" s="3" t="s">
        <v>141</v>
      </c>
      <c r="N179" s="3" t="s">
        <v>125</v>
      </c>
      <c r="O179" s="3" t="s">
        <v>1574</v>
      </c>
      <c r="P179" s="3" t="s">
        <v>254</v>
      </c>
      <c r="Q179" s="3" t="str">
        <f>_xlfn.XLOOKUP(EHR[[#This Row],[Primary_ICD11_Code]],'03_ICD11_Reference'!A:A,'03_ICD11_Reference'!D:D,,0)</f>
        <v>Respiratory</v>
      </c>
      <c r="R179" s="3" t="s">
        <v>255</v>
      </c>
      <c r="S179" s="3" t="s">
        <v>69</v>
      </c>
      <c r="T179" s="3" t="s">
        <v>742</v>
      </c>
      <c r="U179" s="3">
        <v>2</v>
      </c>
      <c r="V179" s="3" t="str">
        <f>_xlfn.XLOOKUP(EHR[[#This Row],[Encounter_ID]],'02_Lab_Results'!B:B,'02_Lab_Results'!D:D,,0)</f>
        <v>2951-2</v>
      </c>
      <c r="W179" s="3" t="str">
        <f>_xlfn.XLOOKUP(EHR[[#This Row],[LOINC Code]],'04_LOINC_Reference'!A:A,'04_LOINC_Reference'!F:F,,0)</f>
        <v>Biochemistry</v>
      </c>
      <c r="X179" s="3" t="str">
        <f>_xlfn.XLOOKUP(EHR[[#This Row],[LOINC Code]],'02_Lab_Results'!D:D,'02_Lab_Results'!E:E,,0)</f>
        <v>Serum sodium</v>
      </c>
      <c r="Y179" s="3" t="str">
        <f>_xlfn.XLOOKUP(EHR[[#This Row],[LOINC Code]],'02_Lab_Results'!D:D,'02_Lab_Results'!J:J,,0)</f>
        <v>Low</v>
      </c>
      <c r="Z179" s="3" t="str" cm="1">
        <f t="array" ref="Z179">_xlfn.XLOOKUP(1,(B179=B$2:B$500)*(V$2:V$500="4548-4"),Y$2:Y$500,"Not Tested")</f>
        <v>Not Tested</v>
      </c>
      <c r="AA179" s="3">
        <v>177</v>
      </c>
      <c r="AB179" s="3">
        <v>79</v>
      </c>
      <c r="AC179" s="3" t="str">
        <f>IF(AND(EHR[[#This Row],[BP_Systolic_mmHg]]&lt;140,EHR[[#This Row],[BP_Diastolic_mmHg]]&lt;90),"Controlled",IF(OR(EHR[[#This Row],[BP_Systolic_mmHg]]="Not Recorded",EHR[[#This Row],[BP_Diastolic_mmHg]]="Not Recorded"),"No Reading","Uncontrolled"))</f>
        <v>Uncontrolled</v>
      </c>
      <c r="AD179" s="3" t="str">
        <f>_xlfn.CONCAT(EHR[[#This Row],[BP_Systolic_mmHg]],"/",EHR[[#This Row],[BP_Diastolic_mmHg]])</f>
        <v>177/79</v>
      </c>
      <c r="AE179" s="3">
        <v>105</v>
      </c>
      <c r="AF179" s="3">
        <v>21</v>
      </c>
      <c r="AG179" s="3">
        <v>39.200000000000003</v>
      </c>
      <c r="AH179" s="3">
        <v>40.799999999999997</v>
      </c>
      <c r="AI179" s="3" t="str">
        <f>IF(EHR[[#This Row],[BMI_kg_m2]]&gt;=30,"Obese","Non-Obese")</f>
        <v>Obese</v>
      </c>
      <c r="AJ179" s="3">
        <v>91</v>
      </c>
      <c r="AK179" s="3" t="s">
        <v>50</v>
      </c>
      <c r="AL179" s="3" t="s">
        <v>51</v>
      </c>
      <c r="AM179" s="3" t="s">
        <v>52</v>
      </c>
      <c r="AN179" s="3" t="s">
        <v>53</v>
      </c>
      <c r="AO179" s="3" t="s">
        <v>54</v>
      </c>
    </row>
    <row r="180" spans="1:41" x14ac:dyDescent="0.2">
      <c r="A180" s="6" t="s">
        <v>732</v>
      </c>
      <c r="B180" s="2" t="s">
        <v>743</v>
      </c>
      <c r="C180" s="13">
        <v>45600</v>
      </c>
      <c r="D180" s="2" t="s">
        <v>103</v>
      </c>
      <c r="E180" s="2" t="s">
        <v>167</v>
      </c>
      <c r="F180" s="2" t="s">
        <v>189</v>
      </c>
      <c r="G180" s="2" t="s">
        <v>104</v>
      </c>
      <c r="H180" s="13">
        <v>25195</v>
      </c>
      <c r="I180" s="2">
        <v>57</v>
      </c>
      <c r="J180" s="2" t="str" cm="1">
        <f t="array" ref="J18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80" s="2" t="s">
        <v>1573</v>
      </c>
      <c r="L180" s="2" t="s">
        <v>78</v>
      </c>
      <c r="M180" s="2" t="s">
        <v>141</v>
      </c>
      <c r="N180" s="2" t="s">
        <v>125</v>
      </c>
      <c r="O180" s="2" t="s">
        <v>1574</v>
      </c>
      <c r="P180" s="2" t="s">
        <v>254</v>
      </c>
      <c r="Q180" s="2" t="str">
        <f>_xlfn.XLOOKUP(EHR[[#This Row],[Primary_ICD11_Code]],'03_ICD11_Reference'!A:A,'03_ICD11_Reference'!D:D,,0)</f>
        <v>Respiratory</v>
      </c>
      <c r="R180" s="2" t="s">
        <v>255</v>
      </c>
      <c r="S180" s="2" t="s">
        <v>69</v>
      </c>
      <c r="T180" s="2" t="s">
        <v>745</v>
      </c>
      <c r="U180" s="2">
        <v>2</v>
      </c>
      <c r="V180" s="2" t="str">
        <f>_xlfn.XLOOKUP(EHR[[#This Row],[Encounter_ID]],'02_Lab_Results'!B:B,'02_Lab_Results'!D:D,,0)</f>
        <v>4548-4</v>
      </c>
      <c r="W180" s="2" t="str">
        <f>_xlfn.XLOOKUP(EHR[[#This Row],[LOINC Code]],'04_LOINC_Reference'!A:A,'04_LOINC_Reference'!F:F,,0)</f>
        <v>Biochemistry</v>
      </c>
      <c r="X180" s="2" t="str">
        <f>_xlfn.XLOOKUP(EHR[[#This Row],[LOINC Code]],'02_Lab_Results'!D:D,'02_Lab_Results'!E:E,,0)</f>
        <v>HbA1c</v>
      </c>
      <c r="Y180" s="2" t="str">
        <f>_xlfn.XLOOKUP(EHR[[#This Row],[LOINC Code]],'02_Lab_Results'!D:D,'02_Lab_Results'!J:J,,0)</f>
        <v>High</v>
      </c>
      <c r="Z180" s="2" t="str" cm="1">
        <f t="array" ref="Z180">_xlfn.XLOOKUP(1,(B180=B$2:B$500)*(V$2:V$500="4548-4"),Y$2:Y$500,"Not Tested")</f>
        <v>High</v>
      </c>
      <c r="AA180" s="2">
        <v>174</v>
      </c>
      <c r="AB180" s="2">
        <v>66</v>
      </c>
      <c r="AC180" s="2" t="str">
        <f>IF(AND(EHR[[#This Row],[BP_Systolic_mmHg]]&lt;140,EHR[[#This Row],[BP_Diastolic_mmHg]]&lt;90),"Controlled",IF(OR(EHR[[#This Row],[BP_Systolic_mmHg]]="Not Recorded",EHR[[#This Row],[BP_Diastolic_mmHg]]="Not Recorded"),"No Reading","Uncontrolled"))</f>
        <v>Uncontrolled</v>
      </c>
      <c r="AD180" s="2" t="str">
        <f>_xlfn.CONCAT(EHR[[#This Row],[BP_Systolic_mmHg]],"/",EHR[[#This Row],[BP_Diastolic_mmHg]])</f>
        <v>174/66</v>
      </c>
      <c r="AE180" s="2">
        <v>57</v>
      </c>
      <c r="AF180" s="2">
        <v>14</v>
      </c>
      <c r="AG180" s="2">
        <v>36.799999999999997</v>
      </c>
      <c r="AH180" s="2">
        <v>40.5</v>
      </c>
      <c r="AI180" s="2" t="str">
        <f>IF(EHR[[#This Row],[BMI_kg_m2]]&gt;=30,"Obese","Non-Obese")</f>
        <v>Obese</v>
      </c>
      <c r="AJ180" s="2">
        <v>97</v>
      </c>
      <c r="AK180" s="2" t="s">
        <v>50</v>
      </c>
      <c r="AL180" s="2" t="s">
        <v>51</v>
      </c>
      <c r="AM180" s="2" t="s">
        <v>52</v>
      </c>
      <c r="AN180" s="2" t="s">
        <v>53</v>
      </c>
      <c r="AO180" s="2" t="s">
        <v>54</v>
      </c>
    </row>
    <row r="181" spans="1:41" x14ac:dyDescent="0.2">
      <c r="A181" s="7" t="s">
        <v>746</v>
      </c>
      <c r="B181" s="3" t="s">
        <v>747</v>
      </c>
      <c r="C181" s="14">
        <v>45524</v>
      </c>
      <c r="D181" s="3" t="s">
        <v>36</v>
      </c>
      <c r="E181" s="3" t="s">
        <v>96</v>
      </c>
      <c r="F181" s="3" t="s">
        <v>97</v>
      </c>
      <c r="G181" s="3" t="s">
        <v>98</v>
      </c>
      <c r="H181" s="14">
        <v>22055</v>
      </c>
      <c r="I181" s="3">
        <v>65</v>
      </c>
      <c r="J181" s="3" t="str" cm="1">
        <f t="array" ref="J18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81" s="3" t="s">
        <v>1573</v>
      </c>
      <c r="L181" s="3" t="s">
        <v>140</v>
      </c>
      <c r="M181" s="3" t="s">
        <v>45</v>
      </c>
      <c r="N181" s="3" t="s">
        <v>1574</v>
      </c>
      <c r="O181" s="3" t="s">
        <v>45</v>
      </c>
      <c r="P181" s="3" t="s">
        <v>183</v>
      </c>
      <c r="Q181" s="3" t="str">
        <f>_xlfn.XLOOKUP(EHR[[#This Row],[Primary_ICD11_Code]],'03_ICD11_Reference'!A:A,'03_ICD11_Reference'!D:D,,0)</f>
        <v>Genitourinary</v>
      </c>
      <c r="R181" s="3" t="s">
        <v>184</v>
      </c>
      <c r="S181" s="3" t="s">
        <v>48</v>
      </c>
      <c r="T181" s="3" t="s">
        <v>750</v>
      </c>
      <c r="U181" s="3">
        <v>4</v>
      </c>
      <c r="V181" s="3" t="str">
        <f>_xlfn.XLOOKUP(EHR[[#This Row],[Encounter_ID]],'02_Lab_Results'!B:B,'02_Lab_Results'!D:D,,0)</f>
        <v>789-8</v>
      </c>
      <c r="W181" s="3" t="str">
        <f>_xlfn.XLOOKUP(EHR[[#This Row],[LOINC Code]],'04_LOINC_Reference'!A:A,'04_LOINC_Reference'!F:F,,0)</f>
        <v>Biochemistry</v>
      </c>
      <c r="X181" s="3" t="str">
        <f>_xlfn.XLOOKUP(EHR[[#This Row],[LOINC Code]],'02_Lab_Results'!D:D,'02_Lab_Results'!E:E,,0)</f>
        <v>RBC count</v>
      </c>
      <c r="Y181" s="3" t="str">
        <f>_xlfn.XLOOKUP(EHR[[#This Row],[LOINC Code]],'02_Lab_Results'!D:D,'02_Lab_Results'!J:J,,0)</f>
        <v>High</v>
      </c>
      <c r="Z181" s="3" t="str" cm="1">
        <f t="array" ref="Z181">_xlfn.XLOOKUP(1,(B181=B$2:B$500)*(V$2:V$500="4548-4"),Y$2:Y$500,"Not Tested")</f>
        <v>Not Tested</v>
      </c>
      <c r="AA181" s="3">
        <v>147</v>
      </c>
      <c r="AB181" s="3">
        <v>92</v>
      </c>
      <c r="AC181" s="3" t="str">
        <f>IF(AND(EHR[[#This Row],[BP_Systolic_mmHg]]&lt;140,EHR[[#This Row],[BP_Diastolic_mmHg]]&lt;90),"Controlled",IF(OR(EHR[[#This Row],[BP_Systolic_mmHg]]="Not Recorded",EHR[[#This Row],[BP_Diastolic_mmHg]]="Not Recorded"),"No Reading","Uncontrolled"))</f>
        <v>Uncontrolled</v>
      </c>
      <c r="AD181" s="3" t="str">
        <f>_xlfn.CONCAT(EHR[[#This Row],[BP_Systolic_mmHg]],"/",EHR[[#This Row],[BP_Diastolic_mmHg]])</f>
        <v>147/92</v>
      </c>
      <c r="AE181" s="3">
        <v>85</v>
      </c>
      <c r="AF181" s="3">
        <v>15</v>
      </c>
      <c r="AG181" s="3">
        <v>36.4</v>
      </c>
      <c r="AH181" s="3">
        <v>36.9</v>
      </c>
      <c r="AI181" s="3" t="str">
        <f>IF(EHR[[#This Row],[BMI_kg_m2]]&gt;=30,"Obese","Non-Obese")</f>
        <v>Obese</v>
      </c>
      <c r="AJ181" s="3">
        <v>94</v>
      </c>
      <c r="AK181" s="3" t="s">
        <v>50</v>
      </c>
      <c r="AL181" s="3" t="s">
        <v>51</v>
      </c>
      <c r="AM181" s="3" t="s">
        <v>52</v>
      </c>
      <c r="AN181" s="3" t="s">
        <v>53</v>
      </c>
      <c r="AO181" s="3" t="s">
        <v>54</v>
      </c>
    </row>
    <row r="182" spans="1:41" x14ac:dyDescent="0.2">
      <c r="A182" s="6" t="s">
        <v>746</v>
      </c>
      <c r="B182" s="2" t="s">
        <v>751</v>
      </c>
      <c r="C182" s="13">
        <v>45250</v>
      </c>
      <c r="D182" s="2" t="s">
        <v>95</v>
      </c>
      <c r="E182" s="2" t="s">
        <v>37</v>
      </c>
      <c r="F182" s="2" t="s">
        <v>38</v>
      </c>
      <c r="G182" s="2" t="s">
        <v>39</v>
      </c>
      <c r="H182" s="13">
        <v>22055</v>
      </c>
      <c r="I182" s="2">
        <v>65</v>
      </c>
      <c r="J182" s="2" t="str" cm="1">
        <f t="array" ref="J18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82" s="2" t="s">
        <v>1573</v>
      </c>
      <c r="L182" s="2" t="s">
        <v>116</v>
      </c>
      <c r="M182" s="2" t="s">
        <v>45</v>
      </c>
      <c r="N182" s="2" t="s">
        <v>1574</v>
      </c>
      <c r="O182" s="2" t="s">
        <v>45</v>
      </c>
      <c r="P182" s="2" t="s">
        <v>183</v>
      </c>
      <c r="Q182" s="2" t="str">
        <f>_xlfn.XLOOKUP(EHR[[#This Row],[Primary_ICD11_Code]],'03_ICD11_Reference'!A:A,'03_ICD11_Reference'!D:D,,0)</f>
        <v>Genitourinary</v>
      </c>
      <c r="R182" s="2" t="s">
        <v>184</v>
      </c>
      <c r="S182" s="2" t="s">
        <v>48</v>
      </c>
      <c r="T182" s="2" t="s">
        <v>753</v>
      </c>
      <c r="U182" s="2">
        <v>4</v>
      </c>
      <c r="V182" s="2" t="str">
        <f>_xlfn.XLOOKUP(EHR[[#This Row],[Encounter_ID]],'02_Lab_Results'!B:B,'02_Lab_Results'!D:D,,0)</f>
        <v>2160-0</v>
      </c>
      <c r="W182" s="2" t="str">
        <f>_xlfn.XLOOKUP(EHR[[#This Row],[LOINC Code]],'04_LOINC_Reference'!A:A,'04_LOINC_Reference'!F:F,,0)</f>
        <v>Biochemistry</v>
      </c>
      <c r="X182" s="2" t="str">
        <f>_xlfn.XLOOKUP(EHR[[#This Row],[LOINC Code]],'02_Lab_Results'!D:D,'02_Lab_Results'!E:E,,0)</f>
        <v>Serum creatinine</v>
      </c>
      <c r="Y182" s="2" t="str">
        <f>_xlfn.XLOOKUP(EHR[[#This Row],[LOINC Code]],'02_Lab_Results'!D:D,'02_Lab_Results'!J:J,,0)</f>
        <v>Normal</v>
      </c>
      <c r="Z182" s="2" t="str" cm="1">
        <f t="array" ref="Z182">_xlfn.XLOOKUP(1,(B182=B$2:B$500)*(V$2:V$500="4548-4"),Y$2:Y$500,"Not Tested")</f>
        <v>Not Tested</v>
      </c>
      <c r="AA182" s="2">
        <v>173</v>
      </c>
      <c r="AB182" s="2">
        <v>66</v>
      </c>
      <c r="AC182" s="2" t="str">
        <f>IF(AND(EHR[[#This Row],[BP_Systolic_mmHg]]&lt;140,EHR[[#This Row],[BP_Diastolic_mmHg]]&lt;90),"Controlled",IF(OR(EHR[[#This Row],[BP_Systolic_mmHg]]="Not Recorded",EHR[[#This Row],[BP_Diastolic_mmHg]]="Not Recorded"),"No Reading","Uncontrolled"))</f>
        <v>Uncontrolled</v>
      </c>
      <c r="AD182" s="2" t="str">
        <f>_xlfn.CONCAT(EHR[[#This Row],[BP_Systolic_mmHg]],"/",EHR[[#This Row],[BP_Diastolic_mmHg]])</f>
        <v>173/66</v>
      </c>
      <c r="AE182" s="2">
        <v>56</v>
      </c>
      <c r="AF182" s="2">
        <v>17</v>
      </c>
      <c r="AG182" s="2">
        <v>39.200000000000003</v>
      </c>
      <c r="AH182" s="2">
        <v>26.4</v>
      </c>
      <c r="AI182" s="2" t="str">
        <f>IF(EHR[[#This Row],[BMI_kg_m2]]&gt;=30,"Obese","Non-Obese")</f>
        <v>Non-Obese</v>
      </c>
      <c r="AJ182" s="2">
        <v>88</v>
      </c>
      <c r="AK182" s="2" t="s">
        <v>50</v>
      </c>
      <c r="AL182" s="2" t="s">
        <v>51</v>
      </c>
      <c r="AM182" s="2" t="s">
        <v>52</v>
      </c>
      <c r="AN182" s="2" t="s">
        <v>53</v>
      </c>
      <c r="AO182" s="2" t="s">
        <v>54</v>
      </c>
    </row>
    <row r="183" spans="1:41" x14ac:dyDescent="0.2">
      <c r="A183" s="7" t="s">
        <v>754</v>
      </c>
      <c r="B183" s="3" t="s">
        <v>755</v>
      </c>
      <c r="C183" s="14">
        <v>45256</v>
      </c>
      <c r="D183" s="3" t="s">
        <v>88</v>
      </c>
      <c r="E183" s="3" t="s">
        <v>89</v>
      </c>
      <c r="F183" s="3" t="s">
        <v>62</v>
      </c>
      <c r="G183" s="3" t="s">
        <v>115</v>
      </c>
      <c r="H183" s="14">
        <v>20652</v>
      </c>
      <c r="I183" s="3">
        <v>69</v>
      </c>
      <c r="J183" s="3" t="str" cm="1">
        <f t="array" ref="J18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83" s="3" t="s">
        <v>1573</v>
      </c>
      <c r="L183" s="3" t="s">
        <v>110</v>
      </c>
      <c r="M183" s="3" t="s">
        <v>45</v>
      </c>
      <c r="N183" s="3" t="s">
        <v>80</v>
      </c>
      <c r="O183" s="3" t="s">
        <v>81</v>
      </c>
      <c r="P183" s="3" t="s">
        <v>150</v>
      </c>
      <c r="Q183" s="3" t="str">
        <f>_xlfn.XLOOKUP(EHR[[#This Row],[Primary_ICD11_Code]],'03_ICD11_Reference'!A:A,'03_ICD11_Reference'!D:D,,0)</f>
        <v>Gastroenterology</v>
      </c>
      <c r="R183" s="3" t="s">
        <v>151</v>
      </c>
      <c r="S183" s="3" t="s">
        <v>69</v>
      </c>
      <c r="T183" s="3" t="s">
        <v>758</v>
      </c>
      <c r="U183" s="3">
        <v>3</v>
      </c>
      <c r="V183" s="3" t="str">
        <f>_xlfn.XLOOKUP(EHR[[#This Row],[Encounter_ID]],'02_Lab_Results'!B:B,'02_Lab_Results'!D:D,,0)</f>
        <v>13457-7</v>
      </c>
      <c r="W183" s="3" t="str">
        <f>_xlfn.XLOOKUP(EHR[[#This Row],[LOINC Code]],'04_LOINC_Reference'!A:A,'04_LOINC_Reference'!F:F,,0)</f>
        <v>Biochemistry</v>
      </c>
      <c r="X183" s="3" t="str">
        <f>_xlfn.XLOOKUP(EHR[[#This Row],[LOINC Code]],'02_Lab_Results'!D:D,'02_Lab_Results'!E:E,,0)</f>
        <v>LDL cholesterol</v>
      </c>
      <c r="Y183" s="3" t="str">
        <f>_xlfn.XLOOKUP(EHR[[#This Row],[LOINC Code]],'02_Lab_Results'!D:D,'02_Lab_Results'!J:J,,0)</f>
        <v>High</v>
      </c>
      <c r="Z183" s="3" t="str" cm="1">
        <f t="array" ref="Z183">_xlfn.XLOOKUP(1,(B183=B$2:B$500)*(V$2:V$500="4548-4"),Y$2:Y$500,"Not Tested")</f>
        <v>Not Tested</v>
      </c>
      <c r="AA183" s="3">
        <v>163</v>
      </c>
      <c r="AB183" s="3">
        <v>87</v>
      </c>
      <c r="AC183" s="3" t="str">
        <f>IF(AND(EHR[[#This Row],[BP_Systolic_mmHg]]&lt;140,EHR[[#This Row],[BP_Diastolic_mmHg]]&lt;90),"Controlled",IF(OR(EHR[[#This Row],[BP_Systolic_mmHg]]="Not Recorded",EHR[[#This Row],[BP_Diastolic_mmHg]]="Not Recorded"),"No Reading","Uncontrolled"))</f>
        <v>Uncontrolled</v>
      </c>
      <c r="AD183" s="3" t="str">
        <f>_xlfn.CONCAT(EHR[[#This Row],[BP_Systolic_mmHg]],"/",EHR[[#This Row],[BP_Diastolic_mmHg]])</f>
        <v>163/87</v>
      </c>
      <c r="AE183" s="3">
        <v>51</v>
      </c>
      <c r="AF183" s="3">
        <v>12</v>
      </c>
      <c r="AG183" s="3">
        <v>38.299999999999997</v>
      </c>
      <c r="AH183" s="3">
        <v>23.9</v>
      </c>
      <c r="AI183" s="3" t="str">
        <f>IF(EHR[[#This Row],[BMI_kg_m2]]&gt;=30,"Obese","Non-Obese")</f>
        <v>Non-Obese</v>
      </c>
      <c r="AJ183" s="3">
        <v>98</v>
      </c>
      <c r="AK183" s="3" t="s">
        <v>50</v>
      </c>
      <c r="AL183" s="3" t="s">
        <v>51</v>
      </c>
      <c r="AM183" s="3" t="s">
        <v>52</v>
      </c>
      <c r="AN183" s="3" t="s">
        <v>53</v>
      </c>
      <c r="AO183" s="3" t="s">
        <v>54</v>
      </c>
    </row>
    <row r="184" spans="1:41" x14ac:dyDescent="0.2">
      <c r="A184" s="6" t="s">
        <v>759</v>
      </c>
      <c r="B184" s="2" t="s">
        <v>760</v>
      </c>
      <c r="C184" s="13">
        <v>45428</v>
      </c>
      <c r="D184" s="2" t="s">
        <v>88</v>
      </c>
      <c r="E184" s="2" t="s">
        <v>89</v>
      </c>
      <c r="F184" s="2" t="s">
        <v>38</v>
      </c>
      <c r="G184" s="2" t="s">
        <v>63</v>
      </c>
      <c r="H184" s="13">
        <v>25338</v>
      </c>
      <c r="I184" s="2">
        <v>56</v>
      </c>
      <c r="J184" s="2" t="str" cm="1">
        <f t="array" ref="J18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84" s="2" t="s">
        <v>1572</v>
      </c>
      <c r="L184" s="2" t="s">
        <v>42</v>
      </c>
      <c r="M184" s="2" t="s">
        <v>79</v>
      </c>
      <c r="N184" s="2" t="s">
        <v>1574</v>
      </c>
      <c r="O184" s="2" t="s">
        <v>182</v>
      </c>
      <c r="P184" s="2" t="s">
        <v>283</v>
      </c>
      <c r="Q184" s="2" t="str">
        <f>_xlfn.XLOOKUP(EHR[[#This Row],[Primary_ICD11_Code]],'03_ICD11_Reference'!A:A,'03_ICD11_Reference'!D:D,,0)</f>
        <v>Multi-system</v>
      </c>
      <c r="R184" s="2" t="s">
        <v>284</v>
      </c>
      <c r="S184" s="2" t="s">
        <v>69</v>
      </c>
      <c r="T184" s="2" t="s">
        <v>763</v>
      </c>
      <c r="U184" s="2">
        <v>2</v>
      </c>
      <c r="V184" s="2" t="str">
        <f>_xlfn.XLOOKUP(EHR[[#This Row],[Encounter_ID]],'02_Lab_Results'!B:B,'02_Lab_Results'!D:D,,0)</f>
        <v>17861-6</v>
      </c>
      <c r="W184" s="2" t="str">
        <f>_xlfn.XLOOKUP(EHR[[#This Row],[LOINC Code]],'04_LOINC_Reference'!A:A,'04_LOINC_Reference'!F:F,,0)</f>
        <v>Biochemistry</v>
      </c>
      <c r="X184" s="2" t="str">
        <f>_xlfn.XLOOKUP(EHR[[#This Row],[LOINC Code]],'02_Lab_Results'!D:D,'02_Lab_Results'!E:E,,0)</f>
        <v>Serum calcium</v>
      </c>
      <c r="Y184" s="2" t="str">
        <f>_xlfn.XLOOKUP(EHR[[#This Row],[LOINC Code]],'02_Lab_Results'!D:D,'02_Lab_Results'!J:J,,0)</f>
        <v>High</v>
      </c>
      <c r="Z184" s="2" t="str" cm="1">
        <f t="array" ref="Z184">_xlfn.XLOOKUP(1,(B184=B$2:B$500)*(V$2:V$500="4548-4"),Y$2:Y$500,"Not Tested")</f>
        <v>Not Tested</v>
      </c>
      <c r="AA184" s="2">
        <v>127</v>
      </c>
      <c r="AB184" s="2">
        <v>66</v>
      </c>
      <c r="AC184" s="2" t="str">
        <f>IF(AND(EHR[[#This Row],[BP_Systolic_mmHg]]&lt;140,EHR[[#This Row],[BP_Diastolic_mmHg]]&lt;90),"Controlled",IF(OR(EHR[[#This Row],[BP_Systolic_mmHg]]="Not Recorded",EHR[[#This Row],[BP_Diastolic_mmHg]]="Not Recorded"),"No Reading","Uncontrolled"))</f>
        <v>Controlled</v>
      </c>
      <c r="AD184" s="2" t="str">
        <f>_xlfn.CONCAT(EHR[[#This Row],[BP_Systolic_mmHg]],"/",EHR[[#This Row],[BP_Diastolic_mmHg]])</f>
        <v>127/66</v>
      </c>
      <c r="AE184" s="2">
        <v>121</v>
      </c>
      <c r="AF184" s="2">
        <v>27</v>
      </c>
      <c r="AG184" s="2">
        <v>37.299999999999997</v>
      </c>
      <c r="AH184" s="2">
        <v>24</v>
      </c>
      <c r="AI184" s="2" t="str">
        <f>IF(EHR[[#This Row],[BMI_kg_m2]]&gt;=30,"Obese","Non-Obese")</f>
        <v>Non-Obese</v>
      </c>
      <c r="AJ184" s="2">
        <v>96</v>
      </c>
      <c r="AK184" s="2" t="s">
        <v>50</v>
      </c>
      <c r="AL184" s="2" t="s">
        <v>51</v>
      </c>
      <c r="AM184" s="2" t="s">
        <v>52</v>
      </c>
      <c r="AN184" s="2" t="s">
        <v>53</v>
      </c>
      <c r="AO184" s="2" t="s">
        <v>54</v>
      </c>
    </row>
    <row r="185" spans="1:41" x14ac:dyDescent="0.2">
      <c r="A185" s="7" t="s">
        <v>759</v>
      </c>
      <c r="B185" s="3" t="s">
        <v>764</v>
      </c>
      <c r="C185" s="14">
        <v>45655</v>
      </c>
      <c r="D185" s="3" t="s">
        <v>60</v>
      </c>
      <c r="E185" s="3" t="s">
        <v>37</v>
      </c>
      <c r="F185" s="3" t="s">
        <v>132</v>
      </c>
      <c r="G185" s="3" t="s">
        <v>98</v>
      </c>
      <c r="H185" s="14">
        <v>25338</v>
      </c>
      <c r="I185" s="3">
        <v>56</v>
      </c>
      <c r="J185" s="3" t="str" cm="1">
        <f t="array" ref="J18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85" s="3" t="s">
        <v>1572</v>
      </c>
      <c r="L185" s="3" t="s">
        <v>78</v>
      </c>
      <c r="M185" s="3" t="s">
        <v>79</v>
      </c>
      <c r="N185" s="3" t="s">
        <v>1574</v>
      </c>
      <c r="O185" s="3" t="s">
        <v>182</v>
      </c>
      <c r="P185" s="3" t="s">
        <v>283</v>
      </c>
      <c r="Q185" s="3" t="str">
        <f>_xlfn.XLOOKUP(EHR[[#This Row],[Primary_ICD11_Code]],'03_ICD11_Reference'!A:A,'03_ICD11_Reference'!D:D,,0)</f>
        <v>Multi-system</v>
      </c>
      <c r="R185" s="3" t="s">
        <v>284</v>
      </c>
      <c r="S185" s="3" t="s">
        <v>69</v>
      </c>
      <c r="T185" s="3" t="s">
        <v>163</v>
      </c>
      <c r="U185" s="3">
        <v>1</v>
      </c>
      <c r="V185" s="3" t="str">
        <f>_xlfn.XLOOKUP(EHR[[#This Row],[Encounter_ID]],'02_Lab_Results'!B:B,'02_Lab_Results'!D:D,,0)</f>
        <v>17861-6</v>
      </c>
      <c r="W185" s="3" t="str">
        <f>_xlfn.XLOOKUP(EHR[[#This Row],[LOINC Code]],'04_LOINC_Reference'!A:A,'04_LOINC_Reference'!F:F,,0)</f>
        <v>Biochemistry</v>
      </c>
      <c r="X185" s="3" t="str">
        <f>_xlfn.XLOOKUP(EHR[[#This Row],[LOINC Code]],'02_Lab_Results'!D:D,'02_Lab_Results'!E:E,,0)</f>
        <v>Serum calcium</v>
      </c>
      <c r="Y185" s="3" t="str">
        <f>_xlfn.XLOOKUP(EHR[[#This Row],[LOINC Code]],'02_Lab_Results'!D:D,'02_Lab_Results'!J:J,,0)</f>
        <v>High</v>
      </c>
      <c r="Z185" s="3" t="str" cm="1">
        <f t="array" ref="Z185">_xlfn.XLOOKUP(1,(B185=B$2:B$500)*(V$2:V$500="4548-4"),Y$2:Y$500,"Not Tested")</f>
        <v>Not Tested</v>
      </c>
      <c r="AA185" s="3">
        <v>154</v>
      </c>
      <c r="AB185" s="3">
        <v>57</v>
      </c>
      <c r="AC185" s="3" t="str">
        <f>IF(AND(EHR[[#This Row],[BP_Systolic_mmHg]]&lt;140,EHR[[#This Row],[BP_Diastolic_mmHg]]&lt;90),"Controlled",IF(OR(EHR[[#This Row],[BP_Systolic_mmHg]]="Not Recorded",EHR[[#This Row],[BP_Diastolic_mmHg]]="Not Recorded"),"No Reading","Uncontrolled"))</f>
        <v>Uncontrolled</v>
      </c>
      <c r="AD185" s="3" t="str">
        <f>_xlfn.CONCAT(EHR[[#This Row],[BP_Systolic_mmHg]],"/",EHR[[#This Row],[BP_Diastolic_mmHg]])</f>
        <v>154/57</v>
      </c>
      <c r="AE185" s="3">
        <v>116</v>
      </c>
      <c r="AF185" s="3">
        <v>16</v>
      </c>
      <c r="AG185" s="3">
        <v>37.700000000000003</v>
      </c>
      <c r="AH185" s="3">
        <v>18.899999999999999</v>
      </c>
      <c r="AI185" s="3" t="str">
        <f>IF(EHR[[#This Row],[BMI_kg_m2]]&gt;=30,"Obese","Non-Obese")</f>
        <v>Non-Obese</v>
      </c>
      <c r="AJ185" s="3">
        <v>100</v>
      </c>
      <c r="AK185" s="3" t="s">
        <v>50</v>
      </c>
      <c r="AL185" s="3" t="s">
        <v>51</v>
      </c>
      <c r="AM185" s="3" t="s">
        <v>52</v>
      </c>
      <c r="AN185" s="3" t="s">
        <v>53</v>
      </c>
      <c r="AO185" s="3" t="s">
        <v>54</v>
      </c>
    </row>
    <row r="186" spans="1:41" x14ac:dyDescent="0.2">
      <c r="A186" s="6" t="s">
        <v>759</v>
      </c>
      <c r="B186" s="2" t="s">
        <v>766</v>
      </c>
      <c r="C186" s="13">
        <v>45053</v>
      </c>
      <c r="D186" s="2" t="s">
        <v>60</v>
      </c>
      <c r="E186" s="2" t="s">
        <v>89</v>
      </c>
      <c r="F186" s="2" t="s">
        <v>97</v>
      </c>
      <c r="G186" s="2" t="s">
        <v>63</v>
      </c>
      <c r="H186" s="13">
        <v>25338</v>
      </c>
      <c r="I186" s="2">
        <v>56</v>
      </c>
      <c r="J186" s="2" t="str" cm="1">
        <f t="array" ref="J18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86" s="2" t="s">
        <v>1572</v>
      </c>
      <c r="L186" s="2" t="s">
        <v>42</v>
      </c>
      <c r="M186" s="2" t="s">
        <v>79</v>
      </c>
      <c r="N186" s="2" t="s">
        <v>1574</v>
      </c>
      <c r="O186" s="2" t="s">
        <v>182</v>
      </c>
      <c r="P186" s="2" t="s">
        <v>283</v>
      </c>
      <c r="Q186" s="2" t="str">
        <f>_xlfn.XLOOKUP(EHR[[#This Row],[Primary_ICD11_Code]],'03_ICD11_Reference'!A:A,'03_ICD11_Reference'!D:D,,0)</f>
        <v>Multi-system</v>
      </c>
      <c r="R186" s="2" t="s">
        <v>284</v>
      </c>
      <c r="S186" s="2" t="s">
        <v>69</v>
      </c>
      <c r="T186" s="2" t="s">
        <v>767</v>
      </c>
      <c r="U186" s="2">
        <v>3</v>
      </c>
      <c r="V186" s="2" t="str">
        <f>_xlfn.XLOOKUP(EHR[[#This Row],[Encounter_ID]],'02_Lab_Results'!B:B,'02_Lab_Results'!D:D,,0)</f>
        <v>2823-3</v>
      </c>
      <c r="W186" s="2" t="str">
        <f>_xlfn.XLOOKUP(EHR[[#This Row],[LOINC Code]],'04_LOINC_Reference'!A:A,'04_LOINC_Reference'!F:F,,0)</f>
        <v>Biochemistry</v>
      </c>
      <c r="X186" s="2" t="str">
        <f>_xlfn.XLOOKUP(EHR[[#This Row],[LOINC Code]],'02_Lab_Results'!D:D,'02_Lab_Results'!E:E,,0)</f>
        <v>Serum potassium</v>
      </c>
      <c r="Y186" s="2" t="str">
        <f>_xlfn.XLOOKUP(EHR[[#This Row],[LOINC Code]],'02_Lab_Results'!D:D,'02_Lab_Results'!J:J,,0)</f>
        <v>Normal</v>
      </c>
      <c r="Z186" s="2" t="str" cm="1">
        <f t="array" ref="Z186">_xlfn.XLOOKUP(1,(B186=B$2:B$500)*(V$2:V$500="4548-4"),Y$2:Y$500,"Not Tested")</f>
        <v>Not Tested</v>
      </c>
      <c r="AA186" s="2">
        <v>144</v>
      </c>
      <c r="AB186" s="2">
        <v>83</v>
      </c>
      <c r="AC186" s="2" t="str">
        <f>IF(AND(EHR[[#This Row],[BP_Systolic_mmHg]]&lt;140,EHR[[#This Row],[BP_Diastolic_mmHg]]&lt;90),"Controlled",IF(OR(EHR[[#This Row],[BP_Systolic_mmHg]]="Not Recorded",EHR[[#This Row],[BP_Diastolic_mmHg]]="Not Recorded"),"No Reading","Uncontrolled"))</f>
        <v>Uncontrolled</v>
      </c>
      <c r="AD186" s="2" t="str">
        <f>_xlfn.CONCAT(EHR[[#This Row],[BP_Systolic_mmHg]],"/",EHR[[#This Row],[BP_Diastolic_mmHg]])</f>
        <v>144/83</v>
      </c>
      <c r="AE186" s="2">
        <v>61</v>
      </c>
      <c r="AF186" s="2">
        <v>23</v>
      </c>
      <c r="AG186" s="2">
        <v>38</v>
      </c>
      <c r="AH186" s="2">
        <v>26.1</v>
      </c>
      <c r="AI186" s="2" t="str">
        <f>IF(EHR[[#This Row],[BMI_kg_m2]]&gt;=30,"Obese","Non-Obese")</f>
        <v>Non-Obese</v>
      </c>
      <c r="AJ186" s="2">
        <v>96</v>
      </c>
      <c r="AK186" s="2" t="s">
        <v>50</v>
      </c>
      <c r="AL186" s="2" t="s">
        <v>51</v>
      </c>
      <c r="AM186" s="2" t="s">
        <v>52</v>
      </c>
      <c r="AN186" s="2" t="s">
        <v>53</v>
      </c>
      <c r="AO186" s="2" t="s">
        <v>54</v>
      </c>
    </row>
    <row r="187" spans="1:41" x14ac:dyDescent="0.2">
      <c r="A187" s="7" t="s">
        <v>759</v>
      </c>
      <c r="B187" s="3" t="s">
        <v>768</v>
      </c>
      <c r="C187" s="14">
        <v>45043</v>
      </c>
      <c r="D187" s="3" t="s">
        <v>103</v>
      </c>
      <c r="E187" s="3" t="s">
        <v>96</v>
      </c>
      <c r="F187" s="3" t="s">
        <v>109</v>
      </c>
      <c r="G187" s="3" t="s">
        <v>138</v>
      </c>
      <c r="H187" s="14">
        <v>25338</v>
      </c>
      <c r="I187" s="3">
        <v>56</v>
      </c>
      <c r="J187" s="3" t="str" cm="1">
        <f t="array" ref="J18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87" s="3" t="s">
        <v>1572</v>
      </c>
      <c r="L187" s="3" t="s">
        <v>110</v>
      </c>
      <c r="M187" s="3" t="s">
        <v>79</v>
      </c>
      <c r="N187" s="3" t="s">
        <v>1574</v>
      </c>
      <c r="O187" s="3" t="s">
        <v>182</v>
      </c>
      <c r="P187" s="3" t="s">
        <v>283</v>
      </c>
      <c r="Q187" s="3" t="str">
        <f>_xlfn.XLOOKUP(EHR[[#This Row],[Primary_ICD11_Code]],'03_ICD11_Reference'!A:A,'03_ICD11_Reference'!D:D,,0)</f>
        <v>Multi-system</v>
      </c>
      <c r="R187" s="3" t="s">
        <v>284</v>
      </c>
      <c r="S187" s="3" t="s">
        <v>69</v>
      </c>
      <c r="T187" s="3" t="s">
        <v>770</v>
      </c>
      <c r="U187" s="3">
        <v>4</v>
      </c>
      <c r="V187" s="3" t="str">
        <f>_xlfn.XLOOKUP(EHR[[#This Row],[Encounter_ID]],'02_Lab_Results'!B:B,'02_Lab_Results'!D:D,,0)</f>
        <v>2951-2</v>
      </c>
      <c r="W187" s="3" t="str">
        <f>_xlfn.XLOOKUP(EHR[[#This Row],[LOINC Code]],'04_LOINC_Reference'!A:A,'04_LOINC_Reference'!F:F,,0)</f>
        <v>Biochemistry</v>
      </c>
      <c r="X187" s="3" t="str">
        <f>_xlfn.XLOOKUP(EHR[[#This Row],[LOINC Code]],'02_Lab_Results'!D:D,'02_Lab_Results'!E:E,,0)</f>
        <v>Serum sodium</v>
      </c>
      <c r="Y187" s="3" t="str">
        <f>_xlfn.XLOOKUP(EHR[[#This Row],[LOINC Code]],'02_Lab_Results'!D:D,'02_Lab_Results'!J:J,,0)</f>
        <v>Low</v>
      </c>
      <c r="Z187" s="3" t="str" cm="1">
        <f t="array" ref="Z187">_xlfn.XLOOKUP(1,(B187=B$2:B$500)*(V$2:V$500="4548-4"),Y$2:Y$500,"Not Tested")</f>
        <v>Not Tested</v>
      </c>
      <c r="AA187" s="3">
        <v>166</v>
      </c>
      <c r="AB187" s="3">
        <v>85</v>
      </c>
      <c r="AC187" s="3" t="str">
        <f>IF(AND(EHR[[#This Row],[BP_Systolic_mmHg]]&lt;140,EHR[[#This Row],[BP_Diastolic_mmHg]]&lt;90),"Controlled",IF(OR(EHR[[#This Row],[BP_Systolic_mmHg]]="Not Recorded",EHR[[#This Row],[BP_Diastolic_mmHg]]="Not Recorded"),"No Reading","Uncontrolled"))</f>
        <v>Uncontrolled</v>
      </c>
      <c r="AD187" s="3" t="str">
        <f>_xlfn.CONCAT(EHR[[#This Row],[BP_Systolic_mmHg]],"/",EHR[[#This Row],[BP_Diastolic_mmHg]])</f>
        <v>166/85</v>
      </c>
      <c r="AE187" s="3">
        <v>96</v>
      </c>
      <c r="AF187" s="3">
        <v>24</v>
      </c>
      <c r="AG187" s="3">
        <v>38.700000000000003</v>
      </c>
      <c r="AH187" s="3">
        <v>45.2</v>
      </c>
      <c r="AI187" s="3" t="str">
        <f>IF(EHR[[#This Row],[BMI_kg_m2]]&gt;=30,"Obese","Non-Obese")</f>
        <v>Obese</v>
      </c>
      <c r="AJ187" s="3">
        <v>92</v>
      </c>
      <c r="AK187" s="3" t="s">
        <v>50</v>
      </c>
      <c r="AL187" s="3" t="s">
        <v>51</v>
      </c>
      <c r="AM187" s="3" t="s">
        <v>52</v>
      </c>
      <c r="AN187" s="3" t="s">
        <v>53</v>
      </c>
      <c r="AO187" s="3" t="s">
        <v>54</v>
      </c>
    </row>
    <row r="188" spans="1:41" x14ac:dyDescent="0.2">
      <c r="A188" s="6" t="s">
        <v>759</v>
      </c>
      <c r="B188" s="2" t="s">
        <v>771</v>
      </c>
      <c r="C188" s="13">
        <v>44940</v>
      </c>
      <c r="D188" s="2" t="s">
        <v>103</v>
      </c>
      <c r="E188" s="2" t="s">
        <v>96</v>
      </c>
      <c r="F188" s="2" t="s">
        <v>62</v>
      </c>
      <c r="G188" s="2" t="s">
        <v>104</v>
      </c>
      <c r="H188" s="13">
        <v>25338</v>
      </c>
      <c r="I188" s="2">
        <v>56</v>
      </c>
      <c r="J188" s="2" t="str" cm="1">
        <f t="array" ref="J18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88" s="2" t="s">
        <v>1572</v>
      </c>
      <c r="L188" s="2" t="s">
        <v>78</v>
      </c>
      <c r="M188" s="2" t="s">
        <v>79</v>
      </c>
      <c r="N188" s="2" t="s">
        <v>1574</v>
      </c>
      <c r="O188" s="2" t="s">
        <v>182</v>
      </c>
      <c r="P188" s="2" t="s">
        <v>283</v>
      </c>
      <c r="Q188" s="2" t="str">
        <f>_xlfn.XLOOKUP(EHR[[#This Row],[Primary_ICD11_Code]],'03_ICD11_Reference'!A:A,'03_ICD11_Reference'!D:D,,0)</f>
        <v>Multi-system</v>
      </c>
      <c r="R188" s="2" t="s">
        <v>284</v>
      </c>
      <c r="S188" s="2" t="s">
        <v>69</v>
      </c>
      <c r="T188" s="2" t="s">
        <v>234</v>
      </c>
      <c r="U188" s="2">
        <v>1</v>
      </c>
      <c r="V188" s="2" t="str">
        <f>_xlfn.XLOOKUP(EHR[[#This Row],[Encounter_ID]],'02_Lab_Results'!B:B,'02_Lab_Results'!D:D,,0)</f>
        <v>789-8</v>
      </c>
      <c r="W188" s="2" t="str">
        <f>_xlfn.XLOOKUP(EHR[[#This Row],[LOINC Code]],'04_LOINC_Reference'!A:A,'04_LOINC_Reference'!F:F,,0)</f>
        <v>Biochemistry</v>
      </c>
      <c r="X188" s="2" t="str">
        <f>_xlfn.XLOOKUP(EHR[[#This Row],[LOINC Code]],'02_Lab_Results'!D:D,'02_Lab_Results'!E:E,,0)</f>
        <v>RBC count</v>
      </c>
      <c r="Y188" s="2" t="str">
        <f>_xlfn.XLOOKUP(EHR[[#This Row],[LOINC Code]],'02_Lab_Results'!D:D,'02_Lab_Results'!J:J,,0)</f>
        <v>High</v>
      </c>
      <c r="Z188" s="2" t="str" cm="1">
        <f t="array" ref="Z188">_xlfn.XLOOKUP(1,(B188=B$2:B$500)*(V$2:V$500="4548-4"),Y$2:Y$500,"Not Tested")</f>
        <v>Not Tested</v>
      </c>
      <c r="AA188" s="2">
        <v>155</v>
      </c>
      <c r="AB188" s="2">
        <v>109</v>
      </c>
      <c r="AC188" s="2" t="str">
        <f>IF(AND(EHR[[#This Row],[BP_Systolic_mmHg]]&lt;140,EHR[[#This Row],[BP_Diastolic_mmHg]]&lt;90),"Controlled",IF(OR(EHR[[#This Row],[BP_Systolic_mmHg]]="Not Recorded",EHR[[#This Row],[BP_Diastolic_mmHg]]="Not Recorded"),"No Reading","Uncontrolled"))</f>
        <v>Uncontrolled</v>
      </c>
      <c r="AD188" s="2" t="str">
        <f>_xlfn.CONCAT(EHR[[#This Row],[BP_Systolic_mmHg]],"/",EHR[[#This Row],[BP_Diastolic_mmHg]])</f>
        <v>155/109</v>
      </c>
      <c r="AE188" s="2">
        <v>113</v>
      </c>
      <c r="AF188" s="2">
        <v>23</v>
      </c>
      <c r="AG188" s="2">
        <v>36.5</v>
      </c>
      <c r="AH188" s="2">
        <v>20.100000000000001</v>
      </c>
      <c r="AI188" s="2" t="str">
        <f>IF(EHR[[#This Row],[BMI_kg_m2]]&gt;=30,"Obese","Non-Obese")</f>
        <v>Non-Obese</v>
      </c>
      <c r="AJ188" s="2">
        <v>94</v>
      </c>
      <c r="AK188" s="2" t="s">
        <v>50</v>
      </c>
      <c r="AL188" s="2" t="s">
        <v>51</v>
      </c>
      <c r="AM188" s="2" t="s">
        <v>52</v>
      </c>
      <c r="AN188" s="2" t="s">
        <v>53</v>
      </c>
      <c r="AO188" s="2" t="s">
        <v>54</v>
      </c>
    </row>
    <row r="189" spans="1:41" x14ac:dyDescent="0.2">
      <c r="A189" s="7" t="s">
        <v>773</v>
      </c>
      <c r="B189" s="3" t="s">
        <v>774</v>
      </c>
      <c r="C189" s="14">
        <v>45024</v>
      </c>
      <c r="D189" s="3" t="s">
        <v>103</v>
      </c>
      <c r="E189" s="3" t="s">
        <v>37</v>
      </c>
      <c r="F189" s="3" t="s">
        <v>132</v>
      </c>
      <c r="G189" s="3" t="s">
        <v>39</v>
      </c>
      <c r="H189" s="14">
        <v>34786</v>
      </c>
      <c r="I189" s="3">
        <v>30</v>
      </c>
      <c r="J189" s="3" t="str" cm="1">
        <f t="array" ref="J18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89" s="3" t="s">
        <v>1572</v>
      </c>
      <c r="L189" s="3" t="s">
        <v>78</v>
      </c>
      <c r="M189" s="3" t="s">
        <v>79</v>
      </c>
      <c r="N189" s="3" t="s">
        <v>125</v>
      </c>
      <c r="O189" s="3" t="s">
        <v>1574</v>
      </c>
      <c r="P189" s="3" t="s">
        <v>315</v>
      </c>
      <c r="Q189" s="3" t="str">
        <f>_xlfn.XLOOKUP(EHR[[#This Row],[Primary_ICD11_Code]],'03_ICD11_Reference'!A:A,'03_ICD11_Reference'!D:D,,0)</f>
        <v>Endocrine</v>
      </c>
      <c r="R189" s="3" t="s">
        <v>316</v>
      </c>
      <c r="S189" s="3" t="s">
        <v>69</v>
      </c>
      <c r="T189" s="3" t="s">
        <v>777</v>
      </c>
      <c r="U189" s="3">
        <v>3</v>
      </c>
      <c r="V189" s="3" t="str">
        <f>_xlfn.XLOOKUP(EHR[[#This Row],[Encounter_ID]],'02_Lab_Results'!B:B,'02_Lab_Results'!D:D,,0)</f>
        <v>14627-4</v>
      </c>
      <c r="W189" s="3" t="str">
        <f>_xlfn.XLOOKUP(EHR[[#This Row],[LOINC Code]],'04_LOINC_Reference'!A:A,'04_LOINC_Reference'!F:F,,0)</f>
        <v>Biochemistry</v>
      </c>
      <c r="X189" s="3" t="str">
        <f>_xlfn.XLOOKUP(EHR[[#This Row],[LOINC Code]],'02_Lab_Results'!D:D,'02_Lab_Results'!E:E,,0)</f>
        <v>eGFR (CKD-EPI)</v>
      </c>
      <c r="Y189" s="3" t="str">
        <f>_xlfn.XLOOKUP(EHR[[#This Row],[LOINC Code]],'02_Lab_Results'!D:D,'02_Lab_Results'!J:J,,0)</f>
        <v>High</v>
      </c>
      <c r="Z189" s="3" t="str" cm="1">
        <f t="array" ref="Z189">_xlfn.XLOOKUP(1,(B189=B$2:B$500)*(V$2:V$500="4548-4"),Y$2:Y$500,"Not Tested")</f>
        <v>Not Tested</v>
      </c>
      <c r="AA189" s="3">
        <v>172</v>
      </c>
      <c r="AB189" s="3">
        <v>108</v>
      </c>
      <c r="AC189" s="3" t="str">
        <f>IF(AND(EHR[[#This Row],[BP_Systolic_mmHg]]&lt;140,EHR[[#This Row],[BP_Diastolic_mmHg]]&lt;90),"Controlled",IF(OR(EHR[[#This Row],[BP_Systolic_mmHg]]="Not Recorded",EHR[[#This Row],[BP_Diastolic_mmHg]]="Not Recorded"),"No Reading","Uncontrolled"))</f>
        <v>Uncontrolled</v>
      </c>
      <c r="AD189" s="3" t="str">
        <f>_xlfn.CONCAT(EHR[[#This Row],[BP_Systolic_mmHg]],"/",EHR[[#This Row],[BP_Diastolic_mmHg]])</f>
        <v>172/108</v>
      </c>
      <c r="AE189" s="3">
        <v>51</v>
      </c>
      <c r="AF189" s="3">
        <v>14</v>
      </c>
      <c r="AG189" s="3">
        <v>38.1</v>
      </c>
      <c r="AH189" s="3">
        <v>26.9</v>
      </c>
      <c r="AI189" s="3" t="str">
        <f>IF(EHR[[#This Row],[BMI_kg_m2]]&gt;=30,"Obese","Non-Obese")</f>
        <v>Non-Obese</v>
      </c>
      <c r="AJ189" s="3">
        <v>99</v>
      </c>
      <c r="AK189" s="3" t="s">
        <v>50</v>
      </c>
      <c r="AL189" s="3" t="s">
        <v>51</v>
      </c>
      <c r="AM189" s="3" t="s">
        <v>52</v>
      </c>
      <c r="AN189" s="3" t="s">
        <v>53</v>
      </c>
      <c r="AO189" s="3" t="s">
        <v>54</v>
      </c>
    </row>
    <row r="190" spans="1:41" x14ac:dyDescent="0.2">
      <c r="A190" s="6" t="s">
        <v>773</v>
      </c>
      <c r="B190" s="2" t="s">
        <v>778</v>
      </c>
      <c r="C190" s="13">
        <v>45205</v>
      </c>
      <c r="D190" s="2" t="s">
        <v>60</v>
      </c>
      <c r="E190" s="2" t="s">
        <v>96</v>
      </c>
      <c r="F190" s="2" t="s">
        <v>97</v>
      </c>
      <c r="G190" s="2" t="s">
        <v>98</v>
      </c>
      <c r="H190" s="13">
        <v>34786</v>
      </c>
      <c r="I190" s="2">
        <v>30</v>
      </c>
      <c r="J190" s="2" t="str" cm="1">
        <f t="array" ref="J19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90" s="2" t="s">
        <v>1572</v>
      </c>
      <c r="L190" s="2" t="s">
        <v>66</v>
      </c>
      <c r="M190" s="2" t="s">
        <v>79</v>
      </c>
      <c r="N190" s="2" t="s">
        <v>125</v>
      </c>
      <c r="O190" s="2" t="s">
        <v>1574</v>
      </c>
      <c r="P190" s="2" t="s">
        <v>315</v>
      </c>
      <c r="Q190" s="2" t="str">
        <f>_xlfn.XLOOKUP(EHR[[#This Row],[Primary_ICD11_Code]],'03_ICD11_Reference'!A:A,'03_ICD11_Reference'!D:D,,0)</f>
        <v>Endocrine</v>
      </c>
      <c r="R190" s="2" t="s">
        <v>316</v>
      </c>
      <c r="S190" s="2" t="s">
        <v>69</v>
      </c>
      <c r="T190" s="2" t="s">
        <v>725</v>
      </c>
      <c r="U190" s="2">
        <v>1</v>
      </c>
      <c r="V190" s="2" t="str">
        <f>_xlfn.XLOOKUP(EHR[[#This Row],[Encounter_ID]],'02_Lab_Results'!B:B,'02_Lab_Results'!D:D,,0)</f>
        <v>14627-4</v>
      </c>
      <c r="W190" s="2" t="str">
        <f>_xlfn.XLOOKUP(EHR[[#This Row],[LOINC Code]],'04_LOINC_Reference'!A:A,'04_LOINC_Reference'!F:F,,0)</f>
        <v>Biochemistry</v>
      </c>
      <c r="X190" s="2" t="str">
        <f>_xlfn.XLOOKUP(EHR[[#This Row],[LOINC Code]],'02_Lab_Results'!D:D,'02_Lab_Results'!E:E,,0)</f>
        <v>eGFR (CKD-EPI)</v>
      </c>
      <c r="Y190" s="2" t="str">
        <f>_xlfn.XLOOKUP(EHR[[#This Row],[LOINC Code]],'02_Lab_Results'!D:D,'02_Lab_Results'!J:J,,0)</f>
        <v>High</v>
      </c>
      <c r="Z190" s="2" t="str" cm="1">
        <f t="array" ref="Z190">_xlfn.XLOOKUP(1,(B190=B$2:B$500)*(V$2:V$500="4548-4"),Y$2:Y$500,"Not Tested")</f>
        <v>Not Tested</v>
      </c>
      <c r="AA190" s="2">
        <v>170</v>
      </c>
      <c r="AB190" s="2">
        <v>96</v>
      </c>
      <c r="AC190" s="2" t="str">
        <f>IF(AND(EHR[[#This Row],[BP_Systolic_mmHg]]&lt;140,EHR[[#This Row],[BP_Diastolic_mmHg]]&lt;90),"Controlled",IF(OR(EHR[[#This Row],[BP_Systolic_mmHg]]="Not Recorded",EHR[[#This Row],[BP_Diastolic_mmHg]]="Not Recorded"),"No Reading","Uncontrolled"))</f>
        <v>Uncontrolled</v>
      </c>
      <c r="AD190" s="2" t="str">
        <f>_xlfn.CONCAT(EHR[[#This Row],[BP_Systolic_mmHg]],"/",EHR[[#This Row],[BP_Diastolic_mmHg]])</f>
        <v>170/96</v>
      </c>
      <c r="AE190" s="2">
        <v>86</v>
      </c>
      <c r="AF190" s="2">
        <v>19</v>
      </c>
      <c r="AG190" s="2">
        <v>38.799999999999997</v>
      </c>
      <c r="AH190" s="2">
        <v>22.3</v>
      </c>
      <c r="AI190" s="2" t="str">
        <f>IF(EHR[[#This Row],[BMI_kg_m2]]&gt;=30,"Obese","Non-Obese")</f>
        <v>Non-Obese</v>
      </c>
      <c r="AJ190" s="2">
        <v>89</v>
      </c>
      <c r="AK190" s="2" t="s">
        <v>50</v>
      </c>
      <c r="AL190" s="2" t="s">
        <v>51</v>
      </c>
      <c r="AM190" s="2" t="s">
        <v>52</v>
      </c>
      <c r="AN190" s="2" t="s">
        <v>53</v>
      </c>
      <c r="AO190" s="2" t="s">
        <v>54</v>
      </c>
    </row>
    <row r="191" spans="1:41" x14ac:dyDescent="0.2">
      <c r="A191" s="7" t="s">
        <v>773</v>
      </c>
      <c r="B191" s="3" t="s">
        <v>780</v>
      </c>
      <c r="C191" s="14">
        <v>45509</v>
      </c>
      <c r="D191" s="3" t="s">
        <v>60</v>
      </c>
      <c r="E191" s="3" t="s">
        <v>96</v>
      </c>
      <c r="F191" s="3" t="s">
        <v>219</v>
      </c>
      <c r="G191" s="3" t="s">
        <v>123</v>
      </c>
      <c r="H191" s="14">
        <v>34786</v>
      </c>
      <c r="I191" s="3">
        <v>30</v>
      </c>
      <c r="J191" s="3" t="str" cm="1">
        <f t="array" ref="J19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191" s="3" t="s">
        <v>1572</v>
      </c>
      <c r="L191" s="3" t="s">
        <v>110</v>
      </c>
      <c r="M191" s="3" t="s">
        <v>79</v>
      </c>
      <c r="N191" s="3" t="s">
        <v>125</v>
      </c>
      <c r="O191" s="3" t="s">
        <v>1574</v>
      </c>
      <c r="P191" s="3" t="s">
        <v>315</v>
      </c>
      <c r="Q191" s="3" t="str">
        <f>_xlfn.XLOOKUP(EHR[[#This Row],[Primary_ICD11_Code]],'03_ICD11_Reference'!A:A,'03_ICD11_Reference'!D:D,,0)</f>
        <v>Endocrine</v>
      </c>
      <c r="R191" s="3" t="s">
        <v>316</v>
      </c>
      <c r="S191" s="3" t="s">
        <v>69</v>
      </c>
      <c r="T191" s="3" t="s">
        <v>782</v>
      </c>
      <c r="U191" s="3">
        <v>2</v>
      </c>
      <c r="V191" s="3" t="str">
        <f>_xlfn.XLOOKUP(EHR[[#This Row],[Encounter_ID]],'02_Lab_Results'!B:B,'02_Lab_Results'!D:D,,0)</f>
        <v>2777-1</v>
      </c>
      <c r="W191" s="3" t="str">
        <f>_xlfn.XLOOKUP(EHR[[#This Row],[LOINC Code]],'04_LOINC_Reference'!A:A,'04_LOINC_Reference'!F:F,,0)</f>
        <v>Biochemistry</v>
      </c>
      <c r="X191" s="3" t="str">
        <f>_xlfn.XLOOKUP(EHR[[#This Row],[LOINC Code]],'02_Lab_Results'!D:D,'02_Lab_Results'!E:E,,0)</f>
        <v>Serum phosphate</v>
      </c>
      <c r="Y191" s="3" t="str">
        <f>_xlfn.XLOOKUP(EHR[[#This Row],[LOINC Code]],'02_Lab_Results'!D:D,'02_Lab_Results'!J:J,,0)</f>
        <v>Normal</v>
      </c>
      <c r="Z191" s="3" t="str" cm="1">
        <f t="array" ref="Z191">_xlfn.XLOOKUP(1,(B191=B$2:B$500)*(V$2:V$500="4548-4"),Y$2:Y$500,"Not Tested")</f>
        <v>Not Tested</v>
      </c>
      <c r="AA191" s="3">
        <v>156</v>
      </c>
      <c r="AB191" s="3">
        <v>66</v>
      </c>
      <c r="AC191" s="3" t="str">
        <f>IF(AND(EHR[[#This Row],[BP_Systolic_mmHg]]&lt;140,EHR[[#This Row],[BP_Diastolic_mmHg]]&lt;90),"Controlled",IF(OR(EHR[[#This Row],[BP_Systolic_mmHg]]="Not Recorded",EHR[[#This Row],[BP_Diastolic_mmHg]]="Not Recorded"),"No Reading","Uncontrolled"))</f>
        <v>Uncontrolled</v>
      </c>
      <c r="AD191" s="3" t="str">
        <f>_xlfn.CONCAT(EHR[[#This Row],[BP_Systolic_mmHg]],"/",EHR[[#This Row],[BP_Diastolic_mmHg]])</f>
        <v>156/66</v>
      </c>
      <c r="AE191" s="3">
        <v>78</v>
      </c>
      <c r="AF191" s="3">
        <v>18</v>
      </c>
      <c r="AG191" s="3">
        <v>36.1</v>
      </c>
      <c r="AH191" s="3">
        <v>37</v>
      </c>
      <c r="AI191" s="3" t="str">
        <f>IF(EHR[[#This Row],[BMI_kg_m2]]&gt;=30,"Obese","Non-Obese")</f>
        <v>Obese</v>
      </c>
      <c r="AJ191" s="3">
        <v>98</v>
      </c>
      <c r="AK191" s="3" t="s">
        <v>50</v>
      </c>
      <c r="AL191" s="3" t="s">
        <v>51</v>
      </c>
      <c r="AM191" s="3" t="s">
        <v>52</v>
      </c>
      <c r="AN191" s="3" t="s">
        <v>53</v>
      </c>
      <c r="AO191" s="3" t="s">
        <v>54</v>
      </c>
    </row>
    <row r="192" spans="1:41" x14ac:dyDescent="0.2">
      <c r="A192" s="6" t="s">
        <v>783</v>
      </c>
      <c r="B192" s="2" t="s">
        <v>784</v>
      </c>
      <c r="C192" s="13">
        <v>45671</v>
      </c>
      <c r="D192" s="2" t="s">
        <v>103</v>
      </c>
      <c r="E192" s="2" t="s">
        <v>89</v>
      </c>
      <c r="F192" s="2" t="s">
        <v>219</v>
      </c>
      <c r="G192" s="2" t="s">
        <v>98</v>
      </c>
      <c r="H192" s="13">
        <v>24495</v>
      </c>
      <c r="I192" s="2">
        <v>58</v>
      </c>
      <c r="J192" s="2" t="str" cm="1">
        <f t="array" ref="J19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92" s="2" t="s">
        <v>1573</v>
      </c>
      <c r="L192" s="2" t="s">
        <v>66</v>
      </c>
      <c r="M192" s="2" t="s">
        <v>43</v>
      </c>
      <c r="N192" s="2" t="s">
        <v>125</v>
      </c>
      <c r="O192" s="2" t="s">
        <v>45</v>
      </c>
      <c r="P192" s="2" t="s">
        <v>283</v>
      </c>
      <c r="Q192" s="2" t="str">
        <f>_xlfn.XLOOKUP(EHR[[#This Row],[Primary_ICD11_Code]],'03_ICD11_Reference'!A:A,'03_ICD11_Reference'!D:D,,0)</f>
        <v>Multi-system</v>
      </c>
      <c r="R192" s="2" t="s">
        <v>284</v>
      </c>
      <c r="S192" s="2" t="s">
        <v>69</v>
      </c>
      <c r="T192" s="2" t="s">
        <v>163</v>
      </c>
      <c r="U192" s="2">
        <v>1</v>
      </c>
      <c r="V192" s="2" t="str">
        <f>_xlfn.XLOOKUP(EHR[[#This Row],[Encounter_ID]],'02_Lab_Results'!B:B,'02_Lab_Results'!D:D,,0)</f>
        <v>4548-4</v>
      </c>
      <c r="W192" s="2" t="str">
        <f>_xlfn.XLOOKUP(EHR[[#This Row],[LOINC Code]],'04_LOINC_Reference'!A:A,'04_LOINC_Reference'!F:F,,0)</f>
        <v>Biochemistry</v>
      </c>
      <c r="X192" s="2" t="str">
        <f>_xlfn.XLOOKUP(EHR[[#This Row],[LOINC Code]],'02_Lab_Results'!D:D,'02_Lab_Results'!E:E,,0)</f>
        <v>HbA1c</v>
      </c>
      <c r="Y192" s="2" t="str">
        <f>_xlfn.XLOOKUP(EHR[[#This Row],[LOINC Code]],'02_Lab_Results'!D:D,'02_Lab_Results'!J:J,,0)</f>
        <v>High</v>
      </c>
      <c r="Z192" s="2" t="str" cm="1">
        <f t="array" ref="Z192">_xlfn.XLOOKUP(1,(B192=B$2:B$500)*(V$2:V$500="4548-4"),Y$2:Y$500,"Not Tested")</f>
        <v>High</v>
      </c>
      <c r="AA192" s="2">
        <v>117</v>
      </c>
      <c r="AB192" s="2">
        <v>76</v>
      </c>
      <c r="AC192" s="2" t="str">
        <f>IF(AND(EHR[[#This Row],[BP_Systolic_mmHg]]&lt;140,EHR[[#This Row],[BP_Diastolic_mmHg]]&lt;90),"Controlled",IF(OR(EHR[[#This Row],[BP_Systolic_mmHg]]="Not Recorded",EHR[[#This Row],[BP_Diastolic_mmHg]]="Not Recorded"),"No Reading","Uncontrolled"))</f>
        <v>Controlled</v>
      </c>
      <c r="AD192" s="2" t="str">
        <f>_xlfn.CONCAT(EHR[[#This Row],[BP_Systolic_mmHg]],"/",EHR[[#This Row],[BP_Diastolic_mmHg]])</f>
        <v>117/76</v>
      </c>
      <c r="AE192" s="2">
        <v>101</v>
      </c>
      <c r="AF192" s="2">
        <v>18</v>
      </c>
      <c r="AG192" s="2">
        <v>38.700000000000003</v>
      </c>
      <c r="AH192" s="2">
        <v>33.4</v>
      </c>
      <c r="AI192" s="2" t="str">
        <f>IF(EHR[[#This Row],[BMI_kg_m2]]&gt;=30,"Obese","Non-Obese")</f>
        <v>Obese</v>
      </c>
      <c r="AJ192" s="2">
        <v>100</v>
      </c>
      <c r="AK192" s="2" t="s">
        <v>50</v>
      </c>
      <c r="AL192" s="2" t="s">
        <v>51</v>
      </c>
      <c r="AM192" s="2" t="s">
        <v>52</v>
      </c>
      <c r="AN192" s="2" t="s">
        <v>53</v>
      </c>
      <c r="AO192" s="2" t="s">
        <v>54</v>
      </c>
    </row>
    <row r="193" spans="1:41" x14ac:dyDescent="0.2">
      <c r="A193" s="7" t="s">
        <v>783</v>
      </c>
      <c r="B193" s="3" t="s">
        <v>786</v>
      </c>
      <c r="C193" s="14">
        <v>45096</v>
      </c>
      <c r="D193" s="3" t="s">
        <v>88</v>
      </c>
      <c r="E193" s="3" t="s">
        <v>96</v>
      </c>
      <c r="F193" s="3" t="s">
        <v>122</v>
      </c>
      <c r="G193" s="3" t="s">
        <v>98</v>
      </c>
      <c r="H193" s="14">
        <v>24495</v>
      </c>
      <c r="I193" s="3">
        <v>58</v>
      </c>
      <c r="J193" s="3" t="str" cm="1">
        <f t="array" ref="J19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93" s="3" t="s">
        <v>1573</v>
      </c>
      <c r="L193" s="3" t="s">
        <v>78</v>
      </c>
      <c r="M193" s="3" t="s">
        <v>43</v>
      </c>
      <c r="N193" s="3" t="s">
        <v>125</v>
      </c>
      <c r="O193" s="3" t="s">
        <v>45</v>
      </c>
      <c r="P193" s="3" t="s">
        <v>283</v>
      </c>
      <c r="Q193" s="3" t="str">
        <f>_xlfn.XLOOKUP(EHR[[#This Row],[Primary_ICD11_Code]],'03_ICD11_Reference'!A:A,'03_ICD11_Reference'!D:D,,0)</f>
        <v>Multi-system</v>
      </c>
      <c r="R193" s="3" t="s">
        <v>284</v>
      </c>
      <c r="S193" s="3" t="s">
        <v>69</v>
      </c>
      <c r="T193" s="3" t="s">
        <v>788</v>
      </c>
      <c r="U193" s="3">
        <v>4</v>
      </c>
      <c r="V193" s="3" t="str">
        <f>_xlfn.XLOOKUP(EHR[[#This Row],[Encounter_ID]],'02_Lab_Results'!B:B,'02_Lab_Results'!D:D,,0)</f>
        <v>14627-4</v>
      </c>
      <c r="W193" s="3" t="str">
        <f>_xlfn.XLOOKUP(EHR[[#This Row],[LOINC Code]],'04_LOINC_Reference'!A:A,'04_LOINC_Reference'!F:F,,0)</f>
        <v>Biochemistry</v>
      </c>
      <c r="X193" s="3" t="str">
        <f>_xlfn.XLOOKUP(EHR[[#This Row],[LOINC Code]],'02_Lab_Results'!D:D,'02_Lab_Results'!E:E,,0)</f>
        <v>eGFR (CKD-EPI)</v>
      </c>
      <c r="Y193" s="3" t="str">
        <f>_xlfn.XLOOKUP(EHR[[#This Row],[LOINC Code]],'02_Lab_Results'!D:D,'02_Lab_Results'!J:J,,0)</f>
        <v>High</v>
      </c>
      <c r="Z193" s="3" t="str" cm="1">
        <f t="array" ref="Z193">_xlfn.XLOOKUP(1,(B193=B$2:B$500)*(V$2:V$500="4548-4"),Y$2:Y$500,"Not Tested")</f>
        <v>Not Tested</v>
      </c>
      <c r="AA193" s="3">
        <v>102</v>
      </c>
      <c r="AB193" s="3">
        <v>84</v>
      </c>
      <c r="AC193" s="3" t="str">
        <f>IF(AND(EHR[[#This Row],[BP_Systolic_mmHg]]&lt;140,EHR[[#This Row],[BP_Diastolic_mmHg]]&lt;90),"Controlled",IF(OR(EHR[[#This Row],[BP_Systolic_mmHg]]="Not Recorded",EHR[[#This Row],[BP_Diastolic_mmHg]]="Not Recorded"),"No Reading","Uncontrolled"))</f>
        <v>Controlled</v>
      </c>
      <c r="AD193" s="3" t="str">
        <f>_xlfn.CONCAT(EHR[[#This Row],[BP_Systolic_mmHg]],"/",EHR[[#This Row],[BP_Diastolic_mmHg]])</f>
        <v>102/84</v>
      </c>
      <c r="AE193" s="3">
        <v>68</v>
      </c>
      <c r="AF193" s="3">
        <v>28</v>
      </c>
      <c r="AG193" s="3">
        <v>36.200000000000003</v>
      </c>
      <c r="AH193" s="3">
        <v>23.8</v>
      </c>
      <c r="AI193" s="3" t="str">
        <f>IF(EHR[[#This Row],[BMI_kg_m2]]&gt;=30,"Obese","Non-Obese")</f>
        <v>Non-Obese</v>
      </c>
      <c r="AJ193" s="3">
        <v>95</v>
      </c>
      <c r="AK193" s="3" t="s">
        <v>50</v>
      </c>
      <c r="AL193" s="3" t="s">
        <v>51</v>
      </c>
      <c r="AM193" s="3" t="s">
        <v>52</v>
      </c>
      <c r="AN193" s="3" t="s">
        <v>53</v>
      </c>
      <c r="AO193" s="3" t="s">
        <v>54</v>
      </c>
    </row>
    <row r="194" spans="1:41" x14ac:dyDescent="0.2">
      <c r="A194" s="6" t="s">
        <v>783</v>
      </c>
      <c r="B194" s="2" t="s">
        <v>789</v>
      </c>
      <c r="C194" s="13">
        <v>45250</v>
      </c>
      <c r="D194" s="2" t="s">
        <v>88</v>
      </c>
      <c r="E194" s="2" t="s">
        <v>167</v>
      </c>
      <c r="F194" s="2" t="s">
        <v>148</v>
      </c>
      <c r="G194" s="2" t="s">
        <v>138</v>
      </c>
      <c r="H194" s="13">
        <v>24495</v>
      </c>
      <c r="I194" s="2">
        <v>58</v>
      </c>
      <c r="J194" s="2" t="str" cm="1">
        <f t="array" ref="J19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94" s="2" t="s">
        <v>1573</v>
      </c>
      <c r="L194" s="2" t="s">
        <v>116</v>
      </c>
      <c r="M194" s="2" t="s">
        <v>43</v>
      </c>
      <c r="N194" s="2" t="s">
        <v>125</v>
      </c>
      <c r="O194" s="2" t="s">
        <v>45</v>
      </c>
      <c r="P194" s="2" t="s">
        <v>283</v>
      </c>
      <c r="Q194" s="2" t="str">
        <f>_xlfn.XLOOKUP(EHR[[#This Row],[Primary_ICD11_Code]],'03_ICD11_Reference'!A:A,'03_ICD11_Reference'!D:D,,0)</f>
        <v>Multi-system</v>
      </c>
      <c r="R194" s="2" t="s">
        <v>284</v>
      </c>
      <c r="S194" s="2" t="s">
        <v>69</v>
      </c>
      <c r="T194" s="2" t="s">
        <v>45</v>
      </c>
      <c r="U194" s="2">
        <v>1</v>
      </c>
      <c r="V194" s="2" t="str">
        <f>_xlfn.XLOOKUP(EHR[[#This Row],[Encounter_ID]],'02_Lab_Results'!B:B,'02_Lab_Results'!D:D,,0)</f>
        <v>17861-6</v>
      </c>
      <c r="W194" s="2" t="str">
        <f>_xlfn.XLOOKUP(EHR[[#This Row],[LOINC Code]],'04_LOINC_Reference'!A:A,'04_LOINC_Reference'!F:F,,0)</f>
        <v>Biochemistry</v>
      </c>
      <c r="X194" s="2" t="str">
        <f>_xlfn.XLOOKUP(EHR[[#This Row],[LOINC Code]],'02_Lab_Results'!D:D,'02_Lab_Results'!E:E,,0)</f>
        <v>Serum calcium</v>
      </c>
      <c r="Y194" s="2" t="str">
        <f>_xlfn.XLOOKUP(EHR[[#This Row],[LOINC Code]],'02_Lab_Results'!D:D,'02_Lab_Results'!J:J,,0)</f>
        <v>High</v>
      </c>
      <c r="Z194" s="2" t="str" cm="1">
        <f t="array" ref="Z194">_xlfn.XLOOKUP(1,(B194=B$2:B$500)*(V$2:V$500="4548-4"),Y$2:Y$500,"Not Tested")</f>
        <v>Not Tested</v>
      </c>
      <c r="AA194" s="2">
        <v>106</v>
      </c>
      <c r="AB194" s="2">
        <v>85</v>
      </c>
      <c r="AC194" s="2" t="str">
        <f>IF(AND(EHR[[#This Row],[BP_Systolic_mmHg]]&lt;140,EHR[[#This Row],[BP_Diastolic_mmHg]]&lt;90),"Controlled",IF(OR(EHR[[#This Row],[BP_Systolic_mmHg]]="Not Recorded",EHR[[#This Row],[BP_Diastolic_mmHg]]="Not Recorded"),"No Reading","Uncontrolled"))</f>
        <v>Controlled</v>
      </c>
      <c r="AD194" s="2" t="str">
        <f>_xlfn.CONCAT(EHR[[#This Row],[BP_Systolic_mmHg]],"/",EHR[[#This Row],[BP_Diastolic_mmHg]])</f>
        <v>106/85</v>
      </c>
      <c r="AE194" s="2">
        <v>99</v>
      </c>
      <c r="AF194" s="2">
        <v>14</v>
      </c>
      <c r="AG194" s="2">
        <v>37.299999999999997</v>
      </c>
      <c r="AH194" s="2">
        <v>33.4</v>
      </c>
      <c r="AI194" s="2" t="str">
        <f>IF(EHR[[#This Row],[BMI_kg_m2]]&gt;=30,"Obese","Non-Obese")</f>
        <v>Obese</v>
      </c>
      <c r="AJ194" s="2">
        <v>87</v>
      </c>
      <c r="AK194" s="2" t="s">
        <v>50</v>
      </c>
      <c r="AL194" s="2" t="s">
        <v>51</v>
      </c>
      <c r="AM194" s="2" t="s">
        <v>52</v>
      </c>
      <c r="AN194" s="2" t="s">
        <v>53</v>
      </c>
      <c r="AO194" s="2" t="s">
        <v>54</v>
      </c>
    </row>
    <row r="195" spans="1:41" x14ac:dyDescent="0.2">
      <c r="A195" s="7" t="s">
        <v>783</v>
      </c>
      <c r="B195" s="3" t="s">
        <v>790</v>
      </c>
      <c r="C195" s="14">
        <v>45614</v>
      </c>
      <c r="D195" s="3" t="s">
        <v>103</v>
      </c>
      <c r="E195" s="3" t="s">
        <v>37</v>
      </c>
      <c r="F195" s="3" t="s">
        <v>109</v>
      </c>
      <c r="G195" s="3" t="s">
        <v>76</v>
      </c>
      <c r="H195" s="14">
        <v>24495</v>
      </c>
      <c r="I195" s="3">
        <v>58</v>
      </c>
      <c r="J195" s="3" t="str" cm="1">
        <f t="array" ref="J19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95" s="3" t="s">
        <v>1573</v>
      </c>
      <c r="L195" s="3" t="s">
        <v>66</v>
      </c>
      <c r="M195" s="3" t="s">
        <v>43</v>
      </c>
      <c r="N195" s="3" t="s">
        <v>125</v>
      </c>
      <c r="O195" s="3" t="s">
        <v>45</v>
      </c>
      <c r="P195" s="3" t="s">
        <v>283</v>
      </c>
      <c r="Q195" s="3" t="str">
        <f>_xlfn.XLOOKUP(EHR[[#This Row],[Primary_ICD11_Code]],'03_ICD11_Reference'!A:A,'03_ICD11_Reference'!D:D,,0)</f>
        <v>Multi-system</v>
      </c>
      <c r="R195" s="3" t="s">
        <v>284</v>
      </c>
      <c r="S195" s="3" t="s">
        <v>69</v>
      </c>
      <c r="T195" s="3" t="s">
        <v>792</v>
      </c>
      <c r="U195" s="3">
        <v>4</v>
      </c>
      <c r="V195" s="3" t="str">
        <f>_xlfn.XLOOKUP(EHR[[#This Row],[Encounter_ID]],'02_Lab_Results'!B:B,'02_Lab_Results'!D:D,,0)</f>
        <v>2160-0</v>
      </c>
      <c r="W195" s="3" t="str">
        <f>_xlfn.XLOOKUP(EHR[[#This Row],[LOINC Code]],'04_LOINC_Reference'!A:A,'04_LOINC_Reference'!F:F,,0)</f>
        <v>Biochemistry</v>
      </c>
      <c r="X195" s="3" t="str">
        <f>_xlfn.XLOOKUP(EHR[[#This Row],[LOINC Code]],'02_Lab_Results'!D:D,'02_Lab_Results'!E:E,,0)</f>
        <v>Serum creatinine</v>
      </c>
      <c r="Y195" s="3" t="str">
        <f>_xlfn.XLOOKUP(EHR[[#This Row],[LOINC Code]],'02_Lab_Results'!D:D,'02_Lab_Results'!J:J,,0)</f>
        <v>Normal</v>
      </c>
      <c r="Z195" s="3" t="str" cm="1">
        <f t="array" ref="Z195">_xlfn.XLOOKUP(1,(B195=B$2:B$500)*(V$2:V$500="4548-4"),Y$2:Y$500,"Not Tested")</f>
        <v>Not Tested</v>
      </c>
      <c r="AA195" s="3">
        <v>136</v>
      </c>
      <c r="AB195" s="3">
        <v>75</v>
      </c>
      <c r="AC195" s="3" t="str">
        <f>IF(AND(EHR[[#This Row],[BP_Systolic_mmHg]]&lt;140,EHR[[#This Row],[BP_Diastolic_mmHg]]&lt;90),"Controlled",IF(OR(EHR[[#This Row],[BP_Systolic_mmHg]]="Not Recorded",EHR[[#This Row],[BP_Diastolic_mmHg]]="Not Recorded"),"No Reading","Uncontrolled"))</f>
        <v>Controlled</v>
      </c>
      <c r="AD195" s="3" t="str">
        <f>_xlfn.CONCAT(EHR[[#This Row],[BP_Systolic_mmHg]],"/",EHR[[#This Row],[BP_Diastolic_mmHg]])</f>
        <v>136/75</v>
      </c>
      <c r="AE195" s="3">
        <v>112</v>
      </c>
      <c r="AF195" s="3">
        <v>25</v>
      </c>
      <c r="AG195" s="3">
        <v>38.700000000000003</v>
      </c>
      <c r="AH195" s="3">
        <v>27</v>
      </c>
      <c r="AI195" s="3" t="str">
        <f>IF(EHR[[#This Row],[BMI_kg_m2]]&gt;=30,"Obese","Non-Obese")</f>
        <v>Non-Obese</v>
      </c>
      <c r="AJ195" s="3">
        <v>97</v>
      </c>
      <c r="AK195" s="3" t="s">
        <v>50</v>
      </c>
      <c r="AL195" s="3" t="s">
        <v>51</v>
      </c>
      <c r="AM195" s="3" t="s">
        <v>52</v>
      </c>
      <c r="AN195" s="3" t="s">
        <v>53</v>
      </c>
      <c r="AO195" s="3" t="s">
        <v>54</v>
      </c>
    </row>
    <row r="196" spans="1:41" x14ac:dyDescent="0.2">
      <c r="A196" s="6" t="s">
        <v>783</v>
      </c>
      <c r="B196" s="2" t="s">
        <v>793</v>
      </c>
      <c r="C196" s="13">
        <v>45575</v>
      </c>
      <c r="D196" s="2" t="s">
        <v>60</v>
      </c>
      <c r="E196" s="2" t="s">
        <v>96</v>
      </c>
      <c r="F196" s="2" t="s">
        <v>189</v>
      </c>
      <c r="G196" s="2" t="s">
        <v>98</v>
      </c>
      <c r="H196" s="13">
        <v>24495</v>
      </c>
      <c r="I196" s="2">
        <v>58</v>
      </c>
      <c r="J196" s="2" t="str" cm="1">
        <f t="array" ref="J19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96" s="2" t="s">
        <v>1573</v>
      </c>
      <c r="L196" s="2" t="s">
        <v>66</v>
      </c>
      <c r="M196" s="2" t="s">
        <v>43</v>
      </c>
      <c r="N196" s="2" t="s">
        <v>125</v>
      </c>
      <c r="O196" s="2" t="s">
        <v>45</v>
      </c>
      <c r="P196" s="2" t="s">
        <v>283</v>
      </c>
      <c r="Q196" s="2" t="str">
        <f>_xlfn.XLOOKUP(EHR[[#This Row],[Primary_ICD11_Code]],'03_ICD11_Reference'!A:A,'03_ICD11_Reference'!D:D,,0)</f>
        <v>Multi-system</v>
      </c>
      <c r="R196" s="2" t="s">
        <v>284</v>
      </c>
      <c r="S196" s="2" t="s">
        <v>69</v>
      </c>
      <c r="T196" s="2" t="s">
        <v>795</v>
      </c>
      <c r="U196" s="2">
        <v>4</v>
      </c>
      <c r="V196" s="2" t="str">
        <f>_xlfn.XLOOKUP(EHR[[#This Row],[Encounter_ID]],'02_Lab_Results'!B:B,'02_Lab_Results'!D:D,,0)</f>
        <v>2160-0</v>
      </c>
      <c r="W196" s="2" t="str">
        <f>_xlfn.XLOOKUP(EHR[[#This Row],[LOINC Code]],'04_LOINC_Reference'!A:A,'04_LOINC_Reference'!F:F,,0)</f>
        <v>Biochemistry</v>
      </c>
      <c r="X196" s="2" t="str">
        <f>_xlfn.XLOOKUP(EHR[[#This Row],[LOINC Code]],'02_Lab_Results'!D:D,'02_Lab_Results'!E:E,,0)</f>
        <v>Serum creatinine</v>
      </c>
      <c r="Y196" s="2" t="str">
        <f>_xlfn.XLOOKUP(EHR[[#This Row],[LOINC Code]],'02_Lab_Results'!D:D,'02_Lab_Results'!J:J,,0)</f>
        <v>Normal</v>
      </c>
      <c r="Z196" s="2" t="str" cm="1">
        <f t="array" ref="Z196">_xlfn.XLOOKUP(1,(B196=B$2:B$500)*(V$2:V$500="4548-4"),Y$2:Y$500,"Not Tested")</f>
        <v>Not Tested</v>
      </c>
      <c r="AA196" s="2">
        <v>182</v>
      </c>
      <c r="AB196" s="2">
        <v>73</v>
      </c>
      <c r="AC196" s="2" t="str">
        <f>IF(AND(EHR[[#This Row],[BP_Systolic_mmHg]]&lt;140,EHR[[#This Row],[BP_Diastolic_mmHg]]&lt;90),"Controlled",IF(OR(EHR[[#This Row],[BP_Systolic_mmHg]]="Not Recorded",EHR[[#This Row],[BP_Diastolic_mmHg]]="Not Recorded"),"No Reading","Uncontrolled"))</f>
        <v>Uncontrolled</v>
      </c>
      <c r="AD196" s="2" t="str">
        <f>_xlfn.CONCAT(EHR[[#This Row],[BP_Systolic_mmHg]],"/",EHR[[#This Row],[BP_Diastolic_mmHg]])</f>
        <v>182/73</v>
      </c>
      <c r="AE196" s="2">
        <v>89</v>
      </c>
      <c r="AF196" s="2">
        <v>23</v>
      </c>
      <c r="AG196" s="2">
        <v>36.1</v>
      </c>
      <c r="AH196" s="2">
        <v>22.2</v>
      </c>
      <c r="AI196" s="2" t="str">
        <f>IF(EHR[[#This Row],[BMI_kg_m2]]&gt;=30,"Obese","Non-Obese")</f>
        <v>Non-Obese</v>
      </c>
      <c r="AJ196" s="2">
        <v>89</v>
      </c>
      <c r="AK196" s="2" t="s">
        <v>50</v>
      </c>
      <c r="AL196" s="2" t="s">
        <v>51</v>
      </c>
      <c r="AM196" s="2" t="s">
        <v>52</v>
      </c>
      <c r="AN196" s="2" t="s">
        <v>53</v>
      </c>
      <c r="AO196" s="2" t="s">
        <v>54</v>
      </c>
    </row>
    <row r="197" spans="1:41" x14ac:dyDescent="0.2">
      <c r="A197" s="7" t="s">
        <v>783</v>
      </c>
      <c r="B197" s="3" t="s">
        <v>796</v>
      </c>
      <c r="C197" s="14">
        <v>45727</v>
      </c>
      <c r="D197" s="3" t="s">
        <v>95</v>
      </c>
      <c r="E197" s="3" t="s">
        <v>37</v>
      </c>
      <c r="F197" s="3" t="s">
        <v>148</v>
      </c>
      <c r="G197" s="3" t="s">
        <v>123</v>
      </c>
      <c r="H197" s="14">
        <v>24495</v>
      </c>
      <c r="I197" s="3">
        <v>58</v>
      </c>
      <c r="J197" s="3" t="str" cm="1">
        <f t="array" ref="J19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197" s="3" t="s">
        <v>1573</v>
      </c>
      <c r="L197" s="3" t="s">
        <v>90</v>
      </c>
      <c r="M197" s="3" t="s">
        <v>43</v>
      </c>
      <c r="N197" s="3" t="s">
        <v>125</v>
      </c>
      <c r="O197" s="3" t="s">
        <v>45</v>
      </c>
      <c r="P197" s="3" t="s">
        <v>283</v>
      </c>
      <c r="Q197" s="3" t="str">
        <f>_xlfn.XLOOKUP(EHR[[#This Row],[Primary_ICD11_Code]],'03_ICD11_Reference'!A:A,'03_ICD11_Reference'!D:D,,0)</f>
        <v>Multi-system</v>
      </c>
      <c r="R197" s="3" t="s">
        <v>284</v>
      </c>
      <c r="S197" s="3" t="s">
        <v>69</v>
      </c>
      <c r="T197" s="3" t="s">
        <v>798</v>
      </c>
      <c r="U197" s="3">
        <v>4</v>
      </c>
      <c r="V197" s="3" t="str">
        <f>_xlfn.XLOOKUP(EHR[[#This Row],[Encounter_ID]],'02_Lab_Results'!B:B,'02_Lab_Results'!D:D,,0)</f>
        <v>2093-3</v>
      </c>
      <c r="W197" s="3" t="str">
        <f>_xlfn.XLOOKUP(EHR[[#This Row],[LOINC Code]],'04_LOINC_Reference'!A:A,'04_LOINC_Reference'!F:F,,0)</f>
        <v>Biochemistry</v>
      </c>
      <c r="X197" s="3" t="str">
        <f>_xlfn.XLOOKUP(EHR[[#This Row],[LOINC Code]],'02_Lab_Results'!D:D,'02_Lab_Results'!E:E,,0)</f>
        <v>Total cholesterol</v>
      </c>
      <c r="Y197" s="3" t="str">
        <f>_xlfn.XLOOKUP(EHR[[#This Row],[LOINC Code]],'02_Lab_Results'!D:D,'02_Lab_Results'!J:J,,0)</f>
        <v>Normal</v>
      </c>
      <c r="Z197" s="3" t="str" cm="1">
        <f t="array" ref="Z197">_xlfn.XLOOKUP(1,(B197=B$2:B$500)*(V$2:V$500="4548-4"),Y$2:Y$500,"Not Tested")</f>
        <v>Not Tested</v>
      </c>
      <c r="AA197" s="3">
        <v>112</v>
      </c>
      <c r="AB197" s="3">
        <v>75</v>
      </c>
      <c r="AC197" s="3" t="str">
        <f>IF(AND(EHR[[#This Row],[BP_Systolic_mmHg]]&lt;140,EHR[[#This Row],[BP_Diastolic_mmHg]]&lt;90),"Controlled",IF(OR(EHR[[#This Row],[BP_Systolic_mmHg]]="Not Recorded",EHR[[#This Row],[BP_Diastolic_mmHg]]="Not Recorded"),"No Reading","Uncontrolled"))</f>
        <v>Controlled</v>
      </c>
      <c r="AD197" s="3" t="str">
        <f>_xlfn.CONCAT(EHR[[#This Row],[BP_Systolic_mmHg]],"/",EHR[[#This Row],[BP_Diastolic_mmHg]])</f>
        <v>112/75</v>
      </c>
      <c r="AE197" s="3">
        <v>107</v>
      </c>
      <c r="AF197" s="3">
        <v>13</v>
      </c>
      <c r="AG197" s="3">
        <v>38</v>
      </c>
      <c r="AH197" s="3">
        <v>36.700000000000003</v>
      </c>
      <c r="AI197" s="3" t="str">
        <f>IF(EHR[[#This Row],[BMI_kg_m2]]&gt;=30,"Obese","Non-Obese")</f>
        <v>Obese</v>
      </c>
      <c r="AJ197" s="3">
        <v>89</v>
      </c>
      <c r="AK197" s="3" t="s">
        <v>50</v>
      </c>
      <c r="AL197" s="3" t="s">
        <v>51</v>
      </c>
      <c r="AM197" s="3" t="s">
        <v>52</v>
      </c>
      <c r="AN197" s="3" t="s">
        <v>53</v>
      </c>
      <c r="AO197" s="3" t="s">
        <v>54</v>
      </c>
    </row>
    <row r="198" spans="1:41" x14ac:dyDescent="0.2">
      <c r="A198" s="6" t="s">
        <v>799</v>
      </c>
      <c r="B198" s="2" t="s">
        <v>800</v>
      </c>
      <c r="C198" s="13">
        <v>45541</v>
      </c>
      <c r="D198" s="2" t="s">
        <v>103</v>
      </c>
      <c r="E198" s="2" t="s">
        <v>96</v>
      </c>
      <c r="F198" s="2" t="s">
        <v>97</v>
      </c>
      <c r="G198" s="2" t="s">
        <v>104</v>
      </c>
      <c r="H198" s="13">
        <v>17070</v>
      </c>
      <c r="I198" s="2">
        <v>79</v>
      </c>
      <c r="J198" s="2" t="str" cm="1">
        <f t="array" ref="J19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98" s="2" t="s">
        <v>1573</v>
      </c>
      <c r="L198" s="2" t="s">
        <v>66</v>
      </c>
      <c r="M198" s="2" t="s">
        <v>43</v>
      </c>
      <c r="N198" s="2" t="s">
        <v>80</v>
      </c>
      <c r="O198" s="2" t="s">
        <v>45</v>
      </c>
      <c r="P198" s="2" t="s">
        <v>497</v>
      </c>
      <c r="Q198" s="2" t="str">
        <f>_xlfn.XLOOKUP(EHR[[#This Row],[Primary_ICD11_Code]],'03_ICD11_Reference'!A:A,'03_ICD11_Reference'!D:D,,0)</f>
        <v>Endocrine</v>
      </c>
      <c r="R198" s="2" t="s">
        <v>498</v>
      </c>
      <c r="S198" s="2" t="s">
        <v>69</v>
      </c>
      <c r="T198" s="2" t="s">
        <v>803</v>
      </c>
      <c r="U198" s="2">
        <v>4</v>
      </c>
      <c r="V198" s="2" t="str">
        <f>_xlfn.XLOOKUP(EHR[[#This Row],[Encounter_ID]],'02_Lab_Results'!B:B,'02_Lab_Results'!D:D,,0)</f>
        <v>6768-6</v>
      </c>
      <c r="W198" s="2" t="str">
        <f>_xlfn.XLOOKUP(EHR[[#This Row],[LOINC Code]],'04_LOINC_Reference'!A:A,'04_LOINC_Reference'!F:F,,0)</f>
        <v>Biochemistry</v>
      </c>
      <c r="X198" s="2" t="str">
        <f>_xlfn.XLOOKUP(EHR[[#This Row],[LOINC Code]],'02_Lab_Results'!D:D,'02_Lab_Results'!E:E,,0)</f>
        <v>ALP</v>
      </c>
      <c r="Y198" s="2" t="str">
        <f>_xlfn.XLOOKUP(EHR[[#This Row],[LOINC Code]],'02_Lab_Results'!D:D,'02_Lab_Results'!J:J,,0)</f>
        <v>High</v>
      </c>
      <c r="Z198" s="2" t="str" cm="1">
        <f t="array" ref="Z198">_xlfn.XLOOKUP(1,(B198=B$2:B$500)*(V$2:V$500="4548-4"),Y$2:Y$500,"Not Tested")</f>
        <v>Not Tested</v>
      </c>
      <c r="AA198" s="2">
        <v>150</v>
      </c>
      <c r="AB198" s="2">
        <v>74</v>
      </c>
      <c r="AC198" s="2" t="str">
        <f>IF(AND(EHR[[#This Row],[BP_Systolic_mmHg]]&lt;140,EHR[[#This Row],[BP_Diastolic_mmHg]]&lt;90),"Controlled",IF(OR(EHR[[#This Row],[BP_Systolic_mmHg]]="Not Recorded",EHR[[#This Row],[BP_Diastolic_mmHg]]="Not Recorded"),"No Reading","Uncontrolled"))</f>
        <v>Uncontrolled</v>
      </c>
      <c r="AD198" s="2" t="str">
        <f>_xlfn.CONCAT(EHR[[#This Row],[BP_Systolic_mmHg]],"/",EHR[[#This Row],[BP_Diastolic_mmHg]])</f>
        <v>150/74</v>
      </c>
      <c r="AE198" s="2">
        <v>116</v>
      </c>
      <c r="AF198" s="2">
        <v>19</v>
      </c>
      <c r="AG198" s="2">
        <v>37.9</v>
      </c>
      <c r="AH198" s="2">
        <v>37.200000000000003</v>
      </c>
      <c r="AI198" s="2" t="str">
        <f>IF(EHR[[#This Row],[BMI_kg_m2]]&gt;=30,"Obese","Non-Obese")</f>
        <v>Obese</v>
      </c>
      <c r="AJ198" s="2">
        <v>90</v>
      </c>
      <c r="AK198" s="2" t="s">
        <v>50</v>
      </c>
      <c r="AL198" s="2" t="s">
        <v>51</v>
      </c>
      <c r="AM198" s="2" t="s">
        <v>52</v>
      </c>
      <c r="AN198" s="2" t="s">
        <v>53</v>
      </c>
      <c r="AO198" s="2" t="s">
        <v>54</v>
      </c>
    </row>
    <row r="199" spans="1:41" x14ac:dyDescent="0.2">
      <c r="A199" s="7" t="s">
        <v>799</v>
      </c>
      <c r="B199" s="3" t="s">
        <v>804</v>
      </c>
      <c r="C199" s="14">
        <v>45645</v>
      </c>
      <c r="D199" s="3" t="s">
        <v>88</v>
      </c>
      <c r="E199" s="3" t="s">
        <v>167</v>
      </c>
      <c r="F199" s="3" t="s">
        <v>122</v>
      </c>
      <c r="G199" s="3" t="s">
        <v>76</v>
      </c>
      <c r="H199" s="14">
        <v>17070</v>
      </c>
      <c r="I199" s="3">
        <v>79</v>
      </c>
      <c r="J199" s="3" t="str" cm="1">
        <f t="array" ref="J19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199" s="3" t="s">
        <v>1573</v>
      </c>
      <c r="L199" s="3" t="s">
        <v>90</v>
      </c>
      <c r="M199" s="3" t="s">
        <v>43</v>
      </c>
      <c r="N199" s="3" t="s">
        <v>80</v>
      </c>
      <c r="O199" s="3" t="s">
        <v>45</v>
      </c>
      <c r="P199" s="3" t="s">
        <v>497</v>
      </c>
      <c r="Q199" s="3" t="str">
        <f>_xlfn.XLOOKUP(EHR[[#This Row],[Primary_ICD11_Code]],'03_ICD11_Reference'!A:A,'03_ICD11_Reference'!D:D,,0)</f>
        <v>Endocrine</v>
      </c>
      <c r="R199" s="3" t="s">
        <v>498</v>
      </c>
      <c r="S199" s="3" t="s">
        <v>69</v>
      </c>
      <c r="T199" s="3" t="s">
        <v>806</v>
      </c>
      <c r="U199" s="3">
        <v>3</v>
      </c>
      <c r="V199" s="3" t="str">
        <f>_xlfn.XLOOKUP(EHR[[#This Row],[Encounter_ID]],'02_Lab_Results'!B:B,'02_Lab_Results'!D:D,,0)</f>
        <v>2085-9</v>
      </c>
      <c r="W199" s="3" t="str">
        <f>_xlfn.XLOOKUP(EHR[[#This Row],[LOINC Code]],'04_LOINC_Reference'!A:A,'04_LOINC_Reference'!F:F,,0)</f>
        <v>Biochemistry</v>
      </c>
      <c r="X199" s="3" t="str">
        <f>_xlfn.XLOOKUP(EHR[[#This Row],[LOINC Code]],'02_Lab_Results'!D:D,'02_Lab_Results'!E:E,,0)</f>
        <v>HDL cholesterol</v>
      </c>
      <c r="Y199" s="3" t="str">
        <f>_xlfn.XLOOKUP(EHR[[#This Row],[LOINC Code]],'02_Lab_Results'!D:D,'02_Lab_Results'!J:J,,0)</f>
        <v>Normal</v>
      </c>
      <c r="Z199" s="3" t="str" cm="1">
        <f t="array" ref="Z199">_xlfn.XLOOKUP(1,(B199=B$2:B$500)*(V$2:V$500="4548-4"),Y$2:Y$500,"Not Tested")</f>
        <v>Not Tested</v>
      </c>
      <c r="AA199" s="3">
        <v>144</v>
      </c>
      <c r="AB199" s="3">
        <v>74</v>
      </c>
      <c r="AC199" s="3" t="str">
        <f>IF(AND(EHR[[#This Row],[BP_Systolic_mmHg]]&lt;140,EHR[[#This Row],[BP_Diastolic_mmHg]]&lt;90),"Controlled",IF(OR(EHR[[#This Row],[BP_Systolic_mmHg]]="Not Recorded",EHR[[#This Row],[BP_Diastolic_mmHg]]="Not Recorded"),"No Reading","Uncontrolled"))</f>
        <v>Uncontrolled</v>
      </c>
      <c r="AD199" s="3" t="str">
        <f>_xlfn.CONCAT(EHR[[#This Row],[BP_Systolic_mmHg]],"/",EHR[[#This Row],[BP_Diastolic_mmHg]])</f>
        <v>144/74</v>
      </c>
      <c r="AE199" s="3">
        <v>105</v>
      </c>
      <c r="AF199" s="3">
        <v>21</v>
      </c>
      <c r="AG199" s="3">
        <v>36.700000000000003</v>
      </c>
      <c r="AH199" s="3">
        <v>23.5</v>
      </c>
      <c r="AI199" s="3" t="str">
        <f>IF(EHR[[#This Row],[BMI_kg_m2]]&gt;=30,"Obese","Non-Obese")</f>
        <v>Non-Obese</v>
      </c>
      <c r="AJ199" s="3">
        <v>96</v>
      </c>
      <c r="AK199" s="3" t="s">
        <v>50</v>
      </c>
      <c r="AL199" s="3" t="s">
        <v>51</v>
      </c>
      <c r="AM199" s="3" t="s">
        <v>52</v>
      </c>
      <c r="AN199" s="3" t="s">
        <v>53</v>
      </c>
      <c r="AO199" s="3" t="s">
        <v>54</v>
      </c>
    </row>
    <row r="200" spans="1:41" x14ac:dyDescent="0.2">
      <c r="A200" s="6" t="s">
        <v>799</v>
      </c>
      <c r="B200" s="2" t="s">
        <v>807</v>
      </c>
      <c r="C200" s="13">
        <v>45418</v>
      </c>
      <c r="D200" s="2" t="s">
        <v>95</v>
      </c>
      <c r="E200" s="2" t="s">
        <v>61</v>
      </c>
      <c r="F200" s="2" t="s">
        <v>75</v>
      </c>
      <c r="G200" s="2" t="s">
        <v>123</v>
      </c>
      <c r="H200" s="13">
        <v>17070</v>
      </c>
      <c r="I200" s="2">
        <v>79</v>
      </c>
      <c r="J200" s="2" t="str" cm="1">
        <f t="array" ref="J20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0" s="2" t="s">
        <v>1573</v>
      </c>
      <c r="L200" s="2" t="s">
        <v>140</v>
      </c>
      <c r="M200" s="2" t="s">
        <v>43</v>
      </c>
      <c r="N200" s="2" t="s">
        <v>80</v>
      </c>
      <c r="O200" s="2" t="s">
        <v>45</v>
      </c>
      <c r="P200" s="2" t="s">
        <v>497</v>
      </c>
      <c r="Q200" s="2" t="str">
        <f>_xlfn.XLOOKUP(EHR[[#This Row],[Primary_ICD11_Code]],'03_ICD11_Reference'!A:A,'03_ICD11_Reference'!D:D,,0)</f>
        <v>Endocrine</v>
      </c>
      <c r="R200" s="2" t="s">
        <v>498</v>
      </c>
      <c r="S200" s="2" t="s">
        <v>69</v>
      </c>
      <c r="T200" s="2" t="s">
        <v>808</v>
      </c>
      <c r="U200" s="2">
        <v>4</v>
      </c>
      <c r="V200" s="2" t="str">
        <f>_xlfn.XLOOKUP(EHR[[#This Row],[Encounter_ID]],'02_Lab_Results'!B:B,'02_Lab_Results'!D:D,,0)</f>
        <v>13457-7</v>
      </c>
      <c r="W200" s="2" t="str">
        <f>_xlfn.XLOOKUP(EHR[[#This Row],[LOINC Code]],'04_LOINC_Reference'!A:A,'04_LOINC_Reference'!F:F,,0)</f>
        <v>Biochemistry</v>
      </c>
      <c r="X200" s="2" t="str">
        <f>_xlfn.XLOOKUP(EHR[[#This Row],[LOINC Code]],'02_Lab_Results'!D:D,'02_Lab_Results'!E:E,,0)</f>
        <v>LDL cholesterol</v>
      </c>
      <c r="Y200" s="2" t="str">
        <f>_xlfn.XLOOKUP(EHR[[#This Row],[LOINC Code]],'02_Lab_Results'!D:D,'02_Lab_Results'!J:J,,0)</f>
        <v>High</v>
      </c>
      <c r="Z200" s="2" t="str" cm="1">
        <f t="array" ref="Z200">_xlfn.XLOOKUP(1,(B200=B$2:B$500)*(V$2:V$500="4548-4"),Y$2:Y$500,"Not Tested")</f>
        <v>Not Tested</v>
      </c>
      <c r="AA200" s="2">
        <v>147</v>
      </c>
      <c r="AB200" s="2">
        <v>112</v>
      </c>
      <c r="AC200" s="2" t="str">
        <f>IF(AND(EHR[[#This Row],[BP_Systolic_mmHg]]&lt;140,EHR[[#This Row],[BP_Diastolic_mmHg]]&lt;90),"Controlled",IF(OR(EHR[[#This Row],[BP_Systolic_mmHg]]="Not Recorded",EHR[[#This Row],[BP_Diastolic_mmHg]]="Not Recorded"),"No Reading","Uncontrolled"))</f>
        <v>Uncontrolled</v>
      </c>
      <c r="AD200" s="2" t="str">
        <f>_xlfn.CONCAT(EHR[[#This Row],[BP_Systolic_mmHg]],"/",EHR[[#This Row],[BP_Diastolic_mmHg]])</f>
        <v>147/112</v>
      </c>
      <c r="AE200" s="2">
        <v>103</v>
      </c>
      <c r="AF200" s="2">
        <v>23</v>
      </c>
      <c r="AG200" s="2">
        <v>38.9</v>
      </c>
      <c r="AH200" s="2">
        <v>32.700000000000003</v>
      </c>
      <c r="AI200" s="2" t="str">
        <f>IF(EHR[[#This Row],[BMI_kg_m2]]&gt;=30,"Obese","Non-Obese")</f>
        <v>Obese</v>
      </c>
      <c r="AJ200" s="2">
        <v>98</v>
      </c>
      <c r="AK200" s="2" t="s">
        <v>50</v>
      </c>
      <c r="AL200" s="2" t="s">
        <v>51</v>
      </c>
      <c r="AM200" s="2" t="s">
        <v>52</v>
      </c>
      <c r="AN200" s="2" t="s">
        <v>53</v>
      </c>
      <c r="AO200" s="2" t="s">
        <v>54</v>
      </c>
    </row>
    <row r="201" spans="1:41" x14ac:dyDescent="0.2">
      <c r="A201" s="7" t="s">
        <v>799</v>
      </c>
      <c r="B201" s="3" t="s">
        <v>809</v>
      </c>
      <c r="C201" s="14">
        <v>45200</v>
      </c>
      <c r="D201" s="3" t="s">
        <v>95</v>
      </c>
      <c r="E201" s="3" t="s">
        <v>37</v>
      </c>
      <c r="F201" s="3" t="s">
        <v>97</v>
      </c>
      <c r="G201" s="3" t="s">
        <v>138</v>
      </c>
      <c r="H201" s="14">
        <v>17070</v>
      </c>
      <c r="I201" s="3">
        <v>79</v>
      </c>
      <c r="J201" s="3" t="str" cm="1">
        <f t="array" ref="J20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1" s="3" t="s">
        <v>1573</v>
      </c>
      <c r="L201" s="3" t="s">
        <v>116</v>
      </c>
      <c r="M201" s="3" t="s">
        <v>43</v>
      </c>
      <c r="N201" s="3" t="s">
        <v>80</v>
      </c>
      <c r="O201" s="3" t="s">
        <v>45</v>
      </c>
      <c r="P201" s="3" t="s">
        <v>497</v>
      </c>
      <c r="Q201" s="3" t="str">
        <f>_xlfn.XLOOKUP(EHR[[#This Row],[Primary_ICD11_Code]],'03_ICD11_Reference'!A:A,'03_ICD11_Reference'!D:D,,0)</f>
        <v>Endocrine</v>
      </c>
      <c r="R201" s="3" t="s">
        <v>498</v>
      </c>
      <c r="S201" s="3" t="s">
        <v>69</v>
      </c>
      <c r="T201" s="3" t="s">
        <v>237</v>
      </c>
      <c r="U201" s="3">
        <v>1</v>
      </c>
      <c r="V201" s="3" t="str">
        <f>_xlfn.XLOOKUP(EHR[[#This Row],[Encounter_ID]],'02_Lab_Results'!B:B,'02_Lab_Results'!D:D,,0)</f>
        <v>2951-2</v>
      </c>
      <c r="W201" s="3" t="str">
        <f>_xlfn.XLOOKUP(EHR[[#This Row],[LOINC Code]],'04_LOINC_Reference'!A:A,'04_LOINC_Reference'!F:F,,0)</f>
        <v>Biochemistry</v>
      </c>
      <c r="X201" s="3" t="str">
        <f>_xlfn.XLOOKUP(EHR[[#This Row],[LOINC Code]],'02_Lab_Results'!D:D,'02_Lab_Results'!E:E,,0)</f>
        <v>Serum sodium</v>
      </c>
      <c r="Y201" s="3" t="str">
        <f>_xlfn.XLOOKUP(EHR[[#This Row],[LOINC Code]],'02_Lab_Results'!D:D,'02_Lab_Results'!J:J,,0)</f>
        <v>Low</v>
      </c>
      <c r="Z201" s="3" t="str" cm="1">
        <f t="array" ref="Z201">_xlfn.XLOOKUP(1,(B201=B$2:B$500)*(V$2:V$500="4548-4"),Y$2:Y$500,"Not Tested")</f>
        <v>Not Tested</v>
      </c>
      <c r="AA201" s="3">
        <v>163</v>
      </c>
      <c r="AB201" s="3">
        <v>65</v>
      </c>
      <c r="AC201" s="3" t="str">
        <f>IF(AND(EHR[[#This Row],[BP_Systolic_mmHg]]&lt;140,EHR[[#This Row],[BP_Diastolic_mmHg]]&lt;90),"Controlled",IF(OR(EHR[[#This Row],[BP_Systolic_mmHg]]="Not Recorded",EHR[[#This Row],[BP_Diastolic_mmHg]]="Not Recorded"),"No Reading","Uncontrolled"))</f>
        <v>Uncontrolled</v>
      </c>
      <c r="AD201" s="3" t="str">
        <f>_xlfn.CONCAT(EHR[[#This Row],[BP_Systolic_mmHg]],"/",EHR[[#This Row],[BP_Diastolic_mmHg]])</f>
        <v>163/65</v>
      </c>
      <c r="AE201" s="3">
        <v>71</v>
      </c>
      <c r="AF201" s="3">
        <v>16</v>
      </c>
      <c r="AG201" s="3">
        <v>38.700000000000003</v>
      </c>
      <c r="AH201" s="3">
        <v>37.200000000000003</v>
      </c>
      <c r="AI201" s="3" t="str">
        <f>IF(EHR[[#This Row],[BMI_kg_m2]]&gt;=30,"Obese","Non-Obese")</f>
        <v>Obese</v>
      </c>
      <c r="AJ201" s="3">
        <v>91</v>
      </c>
      <c r="AK201" s="3" t="s">
        <v>50</v>
      </c>
      <c r="AL201" s="3" t="s">
        <v>51</v>
      </c>
      <c r="AM201" s="3" t="s">
        <v>52</v>
      </c>
      <c r="AN201" s="3" t="s">
        <v>53</v>
      </c>
      <c r="AO201" s="3" t="s">
        <v>54</v>
      </c>
    </row>
    <row r="202" spans="1:41" x14ac:dyDescent="0.2">
      <c r="A202" s="6" t="s">
        <v>799</v>
      </c>
      <c r="B202" s="2" t="s">
        <v>811</v>
      </c>
      <c r="C202" s="13">
        <v>45589</v>
      </c>
      <c r="D202" s="2" t="s">
        <v>60</v>
      </c>
      <c r="E202" s="2" t="s">
        <v>167</v>
      </c>
      <c r="F202" s="2" t="s">
        <v>189</v>
      </c>
      <c r="G202" s="2" t="s">
        <v>98</v>
      </c>
      <c r="H202" s="13">
        <v>17070</v>
      </c>
      <c r="I202" s="2">
        <v>79</v>
      </c>
      <c r="J202" s="2" t="str" cm="1">
        <f t="array" ref="J20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2" s="2" t="s">
        <v>1573</v>
      </c>
      <c r="L202" s="2" t="s">
        <v>66</v>
      </c>
      <c r="M202" s="2" t="s">
        <v>43</v>
      </c>
      <c r="N202" s="2" t="s">
        <v>80</v>
      </c>
      <c r="O202" s="2" t="s">
        <v>45</v>
      </c>
      <c r="P202" s="2" t="s">
        <v>497</v>
      </c>
      <c r="Q202" s="2" t="str">
        <f>_xlfn.XLOOKUP(EHR[[#This Row],[Primary_ICD11_Code]],'03_ICD11_Reference'!A:A,'03_ICD11_Reference'!D:D,,0)</f>
        <v>Endocrine</v>
      </c>
      <c r="R202" s="2" t="s">
        <v>498</v>
      </c>
      <c r="S202" s="2" t="s">
        <v>69</v>
      </c>
      <c r="T202" s="2" t="s">
        <v>813</v>
      </c>
      <c r="U202" s="2">
        <v>4</v>
      </c>
      <c r="V202" s="2" t="str">
        <f>_xlfn.XLOOKUP(EHR[[#This Row],[Encounter_ID]],'02_Lab_Results'!B:B,'02_Lab_Results'!D:D,,0)</f>
        <v>17861-6</v>
      </c>
      <c r="W202" s="2" t="str">
        <f>_xlfn.XLOOKUP(EHR[[#This Row],[LOINC Code]],'04_LOINC_Reference'!A:A,'04_LOINC_Reference'!F:F,,0)</f>
        <v>Biochemistry</v>
      </c>
      <c r="X202" s="2" t="str">
        <f>_xlfn.XLOOKUP(EHR[[#This Row],[LOINC Code]],'02_Lab_Results'!D:D,'02_Lab_Results'!E:E,,0)</f>
        <v>Serum calcium</v>
      </c>
      <c r="Y202" s="2" t="str">
        <f>_xlfn.XLOOKUP(EHR[[#This Row],[LOINC Code]],'02_Lab_Results'!D:D,'02_Lab_Results'!J:J,,0)</f>
        <v>High</v>
      </c>
      <c r="Z202" s="2" t="str" cm="1">
        <f t="array" ref="Z202">_xlfn.XLOOKUP(1,(B202=B$2:B$500)*(V$2:V$500="4548-4"),Y$2:Y$500,"Not Tested")</f>
        <v>Not Tested</v>
      </c>
      <c r="AA202" s="2">
        <v>146</v>
      </c>
      <c r="AB202" s="2">
        <v>69</v>
      </c>
      <c r="AC202" s="2" t="str">
        <f>IF(AND(EHR[[#This Row],[BP_Systolic_mmHg]]&lt;140,EHR[[#This Row],[BP_Diastolic_mmHg]]&lt;90),"Controlled",IF(OR(EHR[[#This Row],[BP_Systolic_mmHg]]="Not Recorded",EHR[[#This Row],[BP_Diastolic_mmHg]]="Not Recorded"),"No Reading","Uncontrolled"))</f>
        <v>Uncontrolled</v>
      </c>
      <c r="AD202" s="2" t="str">
        <f>_xlfn.CONCAT(EHR[[#This Row],[BP_Systolic_mmHg]],"/",EHR[[#This Row],[BP_Diastolic_mmHg]])</f>
        <v>146/69</v>
      </c>
      <c r="AE202" s="2">
        <v>109</v>
      </c>
      <c r="AF202" s="2">
        <v>25</v>
      </c>
      <c r="AG202" s="2">
        <v>36.9</v>
      </c>
      <c r="AH202" s="2">
        <v>36.4</v>
      </c>
      <c r="AI202" s="2" t="str">
        <f>IF(EHR[[#This Row],[BMI_kg_m2]]&gt;=30,"Obese","Non-Obese")</f>
        <v>Obese</v>
      </c>
      <c r="AJ202" s="2">
        <v>99</v>
      </c>
      <c r="AK202" s="2" t="s">
        <v>50</v>
      </c>
      <c r="AL202" s="2" t="s">
        <v>51</v>
      </c>
      <c r="AM202" s="2" t="s">
        <v>52</v>
      </c>
      <c r="AN202" s="2" t="s">
        <v>53</v>
      </c>
      <c r="AO202" s="2" t="s">
        <v>54</v>
      </c>
    </row>
    <row r="203" spans="1:41" x14ac:dyDescent="0.2">
      <c r="A203" s="7" t="s">
        <v>799</v>
      </c>
      <c r="B203" s="3" t="s">
        <v>814</v>
      </c>
      <c r="C203" s="14">
        <v>45157</v>
      </c>
      <c r="D203" s="3" t="s">
        <v>103</v>
      </c>
      <c r="E203" s="3" t="s">
        <v>37</v>
      </c>
      <c r="F203" s="3" t="s">
        <v>38</v>
      </c>
      <c r="G203" s="3" t="s">
        <v>115</v>
      </c>
      <c r="H203" s="14">
        <v>17070</v>
      </c>
      <c r="I203" s="3">
        <v>79</v>
      </c>
      <c r="J203" s="3" t="str" cm="1">
        <f t="array" ref="J20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3" s="3" t="s">
        <v>1573</v>
      </c>
      <c r="L203" s="3" t="s">
        <v>116</v>
      </c>
      <c r="M203" s="3" t="s">
        <v>43</v>
      </c>
      <c r="N203" s="3" t="s">
        <v>80</v>
      </c>
      <c r="O203" s="3" t="s">
        <v>45</v>
      </c>
      <c r="P203" s="3" t="s">
        <v>497</v>
      </c>
      <c r="Q203" s="3" t="str">
        <f>_xlfn.XLOOKUP(EHR[[#This Row],[Primary_ICD11_Code]],'03_ICD11_Reference'!A:A,'03_ICD11_Reference'!D:D,,0)</f>
        <v>Endocrine</v>
      </c>
      <c r="R203" s="3" t="s">
        <v>498</v>
      </c>
      <c r="S203" s="3" t="s">
        <v>69</v>
      </c>
      <c r="T203" s="3" t="s">
        <v>815</v>
      </c>
      <c r="U203" s="3">
        <v>2</v>
      </c>
      <c r="V203" s="3" t="str">
        <f>_xlfn.XLOOKUP(EHR[[#This Row],[Encounter_ID]],'02_Lab_Results'!B:B,'02_Lab_Results'!D:D,,0)</f>
        <v>2777-1</v>
      </c>
      <c r="W203" s="3" t="str">
        <f>_xlfn.XLOOKUP(EHR[[#This Row],[LOINC Code]],'04_LOINC_Reference'!A:A,'04_LOINC_Reference'!F:F,,0)</f>
        <v>Biochemistry</v>
      </c>
      <c r="X203" s="3" t="str">
        <f>_xlfn.XLOOKUP(EHR[[#This Row],[LOINC Code]],'02_Lab_Results'!D:D,'02_Lab_Results'!E:E,,0)</f>
        <v>Serum phosphate</v>
      </c>
      <c r="Y203" s="3" t="str">
        <f>_xlfn.XLOOKUP(EHR[[#This Row],[LOINC Code]],'02_Lab_Results'!D:D,'02_Lab_Results'!J:J,,0)</f>
        <v>Normal</v>
      </c>
      <c r="Z203" s="3" t="str" cm="1">
        <f t="array" ref="Z203">_xlfn.XLOOKUP(1,(B203=B$2:B$500)*(V$2:V$500="4548-4"),Y$2:Y$500,"Not Tested")</f>
        <v>Not Tested</v>
      </c>
      <c r="AA203" s="3">
        <v>177</v>
      </c>
      <c r="AB203" s="3">
        <v>97</v>
      </c>
      <c r="AC203" s="3" t="str">
        <f>IF(AND(EHR[[#This Row],[BP_Systolic_mmHg]]&lt;140,EHR[[#This Row],[BP_Diastolic_mmHg]]&lt;90),"Controlled",IF(OR(EHR[[#This Row],[BP_Systolic_mmHg]]="Not Recorded",EHR[[#This Row],[BP_Diastolic_mmHg]]="Not Recorded"),"No Reading","Uncontrolled"))</f>
        <v>Uncontrolled</v>
      </c>
      <c r="AD203" s="3" t="str">
        <f>_xlfn.CONCAT(EHR[[#This Row],[BP_Systolic_mmHg]],"/",EHR[[#This Row],[BP_Diastolic_mmHg]])</f>
        <v>177/97</v>
      </c>
      <c r="AE203" s="3">
        <v>99</v>
      </c>
      <c r="AF203" s="3">
        <v>24</v>
      </c>
      <c r="AG203" s="3">
        <v>37.700000000000003</v>
      </c>
      <c r="AH203" s="3">
        <v>34.700000000000003</v>
      </c>
      <c r="AI203" s="3" t="str">
        <f>IF(EHR[[#This Row],[BMI_kg_m2]]&gt;=30,"Obese","Non-Obese")</f>
        <v>Obese</v>
      </c>
      <c r="AJ203" s="3">
        <v>97</v>
      </c>
      <c r="AK203" s="3" t="s">
        <v>50</v>
      </c>
      <c r="AL203" s="3" t="s">
        <v>51</v>
      </c>
      <c r="AM203" s="3" t="s">
        <v>52</v>
      </c>
      <c r="AN203" s="3" t="s">
        <v>53</v>
      </c>
      <c r="AO203" s="3" t="s">
        <v>54</v>
      </c>
    </row>
    <row r="204" spans="1:41" x14ac:dyDescent="0.2">
      <c r="A204" s="6" t="s">
        <v>816</v>
      </c>
      <c r="B204" s="2" t="s">
        <v>817</v>
      </c>
      <c r="C204" s="13">
        <v>45188</v>
      </c>
      <c r="D204" s="2" t="s">
        <v>36</v>
      </c>
      <c r="E204" s="2" t="s">
        <v>37</v>
      </c>
      <c r="F204" s="2" t="s">
        <v>109</v>
      </c>
      <c r="G204" s="2" t="s">
        <v>138</v>
      </c>
      <c r="H204" s="13">
        <v>21564</v>
      </c>
      <c r="I204" s="2">
        <v>66</v>
      </c>
      <c r="J204" s="2" t="str" cm="1">
        <f t="array" ref="J20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4" s="2" t="s">
        <v>1572</v>
      </c>
      <c r="L204" s="2" t="s">
        <v>140</v>
      </c>
      <c r="M204" s="2" t="s">
        <v>79</v>
      </c>
      <c r="N204" s="2" t="s">
        <v>80</v>
      </c>
      <c r="O204" s="2" t="s">
        <v>182</v>
      </c>
      <c r="P204" s="2" t="s">
        <v>254</v>
      </c>
      <c r="Q204" s="2" t="str">
        <f>_xlfn.XLOOKUP(EHR[[#This Row],[Primary_ICD11_Code]],'03_ICD11_Reference'!A:A,'03_ICD11_Reference'!D:D,,0)</f>
        <v>Respiratory</v>
      </c>
      <c r="R204" s="2" t="s">
        <v>255</v>
      </c>
      <c r="S204" s="2" t="s">
        <v>69</v>
      </c>
      <c r="T204" s="2" t="s">
        <v>820</v>
      </c>
      <c r="U204" s="2">
        <v>3</v>
      </c>
      <c r="V204" s="2" t="str">
        <f>_xlfn.XLOOKUP(EHR[[#This Row],[Encounter_ID]],'02_Lab_Results'!B:B,'02_Lab_Results'!D:D,,0)</f>
        <v>2345-7</v>
      </c>
      <c r="W204" s="2" t="str">
        <f>_xlfn.XLOOKUP(EHR[[#This Row],[LOINC Code]],'04_LOINC_Reference'!A:A,'04_LOINC_Reference'!F:F,,0)</f>
        <v>Biochemistry</v>
      </c>
      <c r="X204" s="2" t="str">
        <f>_xlfn.XLOOKUP(EHR[[#This Row],[LOINC Code]],'02_Lab_Results'!D:D,'02_Lab_Results'!E:E,,0)</f>
        <v>Serum glucose (fasting)</v>
      </c>
      <c r="Y204" s="2" t="str">
        <f>_xlfn.XLOOKUP(EHR[[#This Row],[LOINC Code]],'02_Lab_Results'!D:D,'02_Lab_Results'!J:J,,0)</f>
        <v>Normal</v>
      </c>
      <c r="Z204" s="2" t="str" cm="1">
        <f t="array" ref="Z204">_xlfn.XLOOKUP(1,(B204=B$2:B$500)*(V$2:V$500="4548-4"),Y$2:Y$500,"Not Tested")</f>
        <v>Not Tested</v>
      </c>
      <c r="AA204" s="2">
        <v>96</v>
      </c>
      <c r="AB204" s="2">
        <v>83</v>
      </c>
      <c r="AC204" s="2" t="str">
        <f>IF(AND(EHR[[#This Row],[BP_Systolic_mmHg]]&lt;140,EHR[[#This Row],[BP_Diastolic_mmHg]]&lt;90),"Controlled",IF(OR(EHR[[#This Row],[BP_Systolic_mmHg]]="Not Recorded",EHR[[#This Row],[BP_Diastolic_mmHg]]="Not Recorded"),"No Reading","Uncontrolled"))</f>
        <v>Controlled</v>
      </c>
      <c r="AD204" s="2" t="str">
        <f>_xlfn.CONCAT(EHR[[#This Row],[BP_Systolic_mmHg]],"/",EHR[[#This Row],[BP_Diastolic_mmHg]])</f>
        <v>96/83</v>
      </c>
      <c r="AE204" s="2">
        <v>120</v>
      </c>
      <c r="AF204" s="2">
        <v>13</v>
      </c>
      <c r="AG204" s="2">
        <v>39</v>
      </c>
      <c r="AH204" s="2">
        <v>34.5</v>
      </c>
      <c r="AI204" s="2" t="str">
        <f>IF(EHR[[#This Row],[BMI_kg_m2]]&gt;=30,"Obese","Non-Obese")</f>
        <v>Obese</v>
      </c>
      <c r="AJ204" s="2">
        <v>97</v>
      </c>
      <c r="AK204" s="2" t="s">
        <v>50</v>
      </c>
      <c r="AL204" s="2" t="s">
        <v>51</v>
      </c>
      <c r="AM204" s="2" t="s">
        <v>52</v>
      </c>
      <c r="AN204" s="2" t="s">
        <v>53</v>
      </c>
      <c r="AO204" s="2" t="s">
        <v>54</v>
      </c>
    </row>
    <row r="205" spans="1:41" x14ac:dyDescent="0.2">
      <c r="A205" s="7" t="s">
        <v>816</v>
      </c>
      <c r="B205" s="3" t="s">
        <v>821</v>
      </c>
      <c r="C205" s="14">
        <v>45460</v>
      </c>
      <c r="D205" s="3" t="s">
        <v>103</v>
      </c>
      <c r="E205" s="3" t="s">
        <v>89</v>
      </c>
      <c r="F205" s="3" t="s">
        <v>148</v>
      </c>
      <c r="G205" s="3" t="s">
        <v>98</v>
      </c>
      <c r="H205" s="14">
        <v>21564</v>
      </c>
      <c r="I205" s="3">
        <v>66</v>
      </c>
      <c r="J205" s="3" t="str" cm="1">
        <f t="array" ref="J20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5" s="3" t="s">
        <v>1572</v>
      </c>
      <c r="L205" s="3" t="s">
        <v>90</v>
      </c>
      <c r="M205" s="3" t="s">
        <v>79</v>
      </c>
      <c r="N205" s="3" t="s">
        <v>80</v>
      </c>
      <c r="O205" s="3" t="s">
        <v>182</v>
      </c>
      <c r="P205" s="3" t="s">
        <v>254</v>
      </c>
      <c r="Q205" s="3" t="str">
        <f>_xlfn.XLOOKUP(EHR[[#This Row],[Primary_ICD11_Code]],'03_ICD11_Reference'!A:A,'03_ICD11_Reference'!D:D,,0)</f>
        <v>Respiratory</v>
      </c>
      <c r="R205" s="3" t="s">
        <v>255</v>
      </c>
      <c r="S205" s="3" t="s">
        <v>69</v>
      </c>
      <c r="T205" s="3" t="s">
        <v>823</v>
      </c>
      <c r="U205" s="3">
        <v>3</v>
      </c>
      <c r="V205" s="3" t="str">
        <f>_xlfn.XLOOKUP(EHR[[#This Row],[Encounter_ID]],'02_Lab_Results'!B:B,'02_Lab_Results'!D:D,,0)</f>
        <v>718-7</v>
      </c>
      <c r="W205" s="3" t="str">
        <f>_xlfn.XLOOKUP(EHR[[#This Row],[LOINC Code]],'04_LOINC_Reference'!A:A,'04_LOINC_Reference'!F:F,,0)</f>
        <v>Biochemistry</v>
      </c>
      <c r="X205" s="3" t="str">
        <f>_xlfn.XLOOKUP(EHR[[#This Row],[LOINC Code]],'02_Lab_Results'!D:D,'02_Lab_Results'!E:E,,0)</f>
        <v>Haemoglobin</v>
      </c>
      <c r="Y205" s="3" t="str">
        <f>_xlfn.XLOOKUP(EHR[[#This Row],[LOINC Code]],'02_Lab_Results'!D:D,'02_Lab_Results'!J:J,,0)</f>
        <v>Normal</v>
      </c>
      <c r="Z205" s="3" t="str" cm="1">
        <f t="array" ref="Z205">_xlfn.XLOOKUP(1,(B205=B$2:B$500)*(V$2:V$500="4548-4"),Y$2:Y$500,"Not Tested")</f>
        <v>Not Tested</v>
      </c>
      <c r="AA205" s="3">
        <v>101</v>
      </c>
      <c r="AB205" s="3">
        <v>85</v>
      </c>
      <c r="AC205" s="3" t="str">
        <f>IF(AND(EHR[[#This Row],[BP_Systolic_mmHg]]&lt;140,EHR[[#This Row],[BP_Diastolic_mmHg]]&lt;90),"Controlled",IF(OR(EHR[[#This Row],[BP_Systolic_mmHg]]="Not Recorded",EHR[[#This Row],[BP_Diastolic_mmHg]]="Not Recorded"),"No Reading","Uncontrolled"))</f>
        <v>Controlled</v>
      </c>
      <c r="AD205" s="3" t="str">
        <f>_xlfn.CONCAT(EHR[[#This Row],[BP_Systolic_mmHg]],"/",EHR[[#This Row],[BP_Diastolic_mmHg]])</f>
        <v>101/85</v>
      </c>
      <c r="AE205" s="3">
        <v>81</v>
      </c>
      <c r="AF205" s="3">
        <v>21</v>
      </c>
      <c r="AG205" s="3">
        <v>36.299999999999997</v>
      </c>
      <c r="AH205" s="3">
        <v>23.8</v>
      </c>
      <c r="AI205" s="3" t="str">
        <f>IF(EHR[[#This Row],[BMI_kg_m2]]&gt;=30,"Obese","Non-Obese")</f>
        <v>Non-Obese</v>
      </c>
      <c r="AJ205" s="3">
        <v>90</v>
      </c>
      <c r="AK205" s="3" t="s">
        <v>50</v>
      </c>
      <c r="AL205" s="3" t="s">
        <v>51</v>
      </c>
      <c r="AM205" s="3" t="s">
        <v>52</v>
      </c>
      <c r="AN205" s="3" t="s">
        <v>53</v>
      </c>
      <c r="AO205" s="3" t="s">
        <v>54</v>
      </c>
    </row>
    <row r="206" spans="1:41" x14ac:dyDescent="0.2">
      <c r="A206" s="6" t="s">
        <v>816</v>
      </c>
      <c r="B206" s="2" t="s">
        <v>824</v>
      </c>
      <c r="C206" s="13">
        <v>45697</v>
      </c>
      <c r="D206" s="2" t="s">
        <v>95</v>
      </c>
      <c r="E206" s="2" t="s">
        <v>37</v>
      </c>
      <c r="F206" s="2" t="s">
        <v>132</v>
      </c>
      <c r="G206" s="2" t="s">
        <v>104</v>
      </c>
      <c r="H206" s="13">
        <v>21564</v>
      </c>
      <c r="I206" s="2">
        <v>66</v>
      </c>
      <c r="J206" s="2" t="str" cm="1">
        <f t="array" ref="J20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6" s="2" t="s">
        <v>1572</v>
      </c>
      <c r="L206" s="2" t="s">
        <v>90</v>
      </c>
      <c r="M206" s="2" t="s">
        <v>79</v>
      </c>
      <c r="N206" s="2" t="s">
        <v>80</v>
      </c>
      <c r="O206" s="2" t="s">
        <v>182</v>
      </c>
      <c r="P206" s="2" t="s">
        <v>254</v>
      </c>
      <c r="Q206" s="2" t="str">
        <f>_xlfn.XLOOKUP(EHR[[#This Row],[Primary_ICD11_Code]],'03_ICD11_Reference'!A:A,'03_ICD11_Reference'!D:D,,0)</f>
        <v>Respiratory</v>
      </c>
      <c r="R206" s="2" t="s">
        <v>255</v>
      </c>
      <c r="S206" s="2" t="s">
        <v>69</v>
      </c>
      <c r="T206" s="2" t="s">
        <v>460</v>
      </c>
      <c r="U206" s="2">
        <v>1</v>
      </c>
      <c r="V206" s="2" t="str">
        <f>_xlfn.XLOOKUP(EHR[[#This Row],[Encounter_ID]],'02_Lab_Results'!B:B,'02_Lab_Results'!D:D,,0)</f>
        <v>13457-7</v>
      </c>
      <c r="W206" s="2" t="str">
        <f>_xlfn.XLOOKUP(EHR[[#This Row],[LOINC Code]],'04_LOINC_Reference'!A:A,'04_LOINC_Reference'!F:F,,0)</f>
        <v>Biochemistry</v>
      </c>
      <c r="X206" s="2" t="str">
        <f>_xlfn.XLOOKUP(EHR[[#This Row],[LOINC Code]],'02_Lab_Results'!D:D,'02_Lab_Results'!E:E,,0)</f>
        <v>LDL cholesterol</v>
      </c>
      <c r="Y206" s="2" t="str">
        <f>_xlfn.XLOOKUP(EHR[[#This Row],[LOINC Code]],'02_Lab_Results'!D:D,'02_Lab_Results'!J:J,,0)</f>
        <v>High</v>
      </c>
      <c r="Z206" s="2" t="str" cm="1">
        <f t="array" ref="Z206">_xlfn.XLOOKUP(1,(B206=B$2:B$500)*(V$2:V$500="4548-4"),Y$2:Y$500,"Not Tested")</f>
        <v>Not Tested</v>
      </c>
      <c r="AA206" s="2">
        <v>183</v>
      </c>
      <c r="AB206" s="2">
        <v>56</v>
      </c>
      <c r="AC206" s="2" t="str">
        <f>IF(AND(EHR[[#This Row],[BP_Systolic_mmHg]]&lt;140,EHR[[#This Row],[BP_Diastolic_mmHg]]&lt;90),"Controlled",IF(OR(EHR[[#This Row],[BP_Systolic_mmHg]]="Not Recorded",EHR[[#This Row],[BP_Diastolic_mmHg]]="Not Recorded"),"No Reading","Uncontrolled"))</f>
        <v>Uncontrolled</v>
      </c>
      <c r="AD206" s="2" t="str">
        <f>_xlfn.CONCAT(EHR[[#This Row],[BP_Systolic_mmHg]],"/",EHR[[#This Row],[BP_Diastolic_mmHg]])</f>
        <v>183/56</v>
      </c>
      <c r="AE206" s="2">
        <v>100</v>
      </c>
      <c r="AF206" s="2">
        <v>19</v>
      </c>
      <c r="AG206" s="2">
        <v>38.9</v>
      </c>
      <c r="AH206" s="2">
        <v>35</v>
      </c>
      <c r="AI206" s="2" t="str">
        <f>IF(EHR[[#This Row],[BMI_kg_m2]]&gt;=30,"Obese","Non-Obese")</f>
        <v>Obese</v>
      </c>
      <c r="AJ206" s="2">
        <v>95</v>
      </c>
      <c r="AK206" s="2" t="s">
        <v>50</v>
      </c>
      <c r="AL206" s="2" t="s">
        <v>51</v>
      </c>
      <c r="AM206" s="2" t="s">
        <v>52</v>
      </c>
      <c r="AN206" s="2" t="s">
        <v>53</v>
      </c>
      <c r="AO206" s="2" t="s">
        <v>54</v>
      </c>
    </row>
    <row r="207" spans="1:41" x14ac:dyDescent="0.2">
      <c r="A207" s="7" t="s">
        <v>816</v>
      </c>
      <c r="B207" s="3" t="s">
        <v>825</v>
      </c>
      <c r="C207" s="14">
        <v>45668</v>
      </c>
      <c r="D207" s="3" t="s">
        <v>60</v>
      </c>
      <c r="E207" s="3" t="s">
        <v>37</v>
      </c>
      <c r="F207" s="3" t="s">
        <v>38</v>
      </c>
      <c r="G207" s="3" t="s">
        <v>123</v>
      </c>
      <c r="H207" s="14">
        <v>21564</v>
      </c>
      <c r="I207" s="3">
        <v>66</v>
      </c>
      <c r="J207" s="3" t="str" cm="1">
        <f t="array" ref="J20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7" s="3" t="s">
        <v>1572</v>
      </c>
      <c r="L207" s="3" t="s">
        <v>116</v>
      </c>
      <c r="M207" s="3" t="s">
        <v>79</v>
      </c>
      <c r="N207" s="3" t="s">
        <v>80</v>
      </c>
      <c r="O207" s="3" t="s">
        <v>182</v>
      </c>
      <c r="P207" s="3" t="s">
        <v>254</v>
      </c>
      <c r="Q207" s="3" t="str">
        <f>_xlfn.XLOOKUP(EHR[[#This Row],[Primary_ICD11_Code]],'03_ICD11_Reference'!A:A,'03_ICD11_Reference'!D:D,,0)</f>
        <v>Respiratory</v>
      </c>
      <c r="R207" s="3" t="s">
        <v>255</v>
      </c>
      <c r="S207" s="3" t="s">
        <v>69</v>
      </c>
      <c r="T207" s="3" t="s">
        <v>827</v>
      </c>
      <c r="U207" s="3">
        <v>2</v>
      </c>
      <c r="V207" s="3" t="str">
        <f>_xlfn.XLOOKUP(EHR[[#This Row],[Encounter_ID]],'02_Lab_Results'!B:B,'02_Lab_Results'!D:D,,0)</f>
        <v>6768-6</v>
      </c>
      <c r="W207" s="3" t="str">
        <f>_xlfn.XLOOKUP(EHR[[#This Row],[LOINC Code]],'04_LOINC_Reference'!A:A,'04_LOINC_Reference'!F:F,,0)</f>
        <v>Biochemistry</v>
      </c>
      <c r="X207" s="3" t="str">
        <f>_xlfn.XLOOKUP(EHR[[#This Row],[LOINC Code]],'02_Lab_Results'!D:D,'02_Lab_Results'!E:E,,0)</f>
        <v>ALP</v>
      </c>
      <c r="Y207" s="3" t="str">
        <f>_xlfn.XLOOKUP(EHR[[#This Row],[LOINC Code]],'02_Lab_Results'!D:D,'02_Lab_Results'!J:J,,0)</f>
        <v>High</v>
      </c>
      <c r="Z207" s="3" t="str" cm="1">
        <f t="array" ref="Z207">_xlfn.XLOOKUP(1,(B207=B$2:B$500)*(V$2:V$500="4548-4"),Y$2:Y$500,"Not Tested")</f>
        <v>Not Tested</v>
      </c>
      <c r="AA207" s="3">
        <v>120</v>
      </c>
      <c r="AB207" s="3">
        <v>110</v>
      </c>
      <c r="AC207" s="3" t="str">
        <f>IF(AND(EHR[[#This Row],[BP_Systolic_mmHg]]&lt;140,EHR[[#This Row],[BP_Diastolic_mmHg]]&lt;90),"Controlled",IF(OR(EHR[[#This Row],[BP_Systolic_mmHg]]="Not Recorded",EHR[[#This Row],[BP_Diastolic_mmHg]]="Not Recorded"),"No Reading","Uncontrolled"))</f>
        <v>Uncontrolled</v>
      </c>
      <c r="AD207" s="3" t="str">
        <f>_xlfn.CONCAT(EHR[[#This Row],[BP_Systolic_mmHg]],"/",EHR[[#This Row],[BP_Diastolic_mmHg]])</f>
        <v>120/110</v>
      </c>
      <c r="AE207" s="3">
        <v>112</v>
      </c>
      <c r="AF207" s="3">
        <v>18</v>
      </c>
      <c r="AG207" s="3">
        <v>38.6</v>
      </c>
      <c r="AH207" s="3">
        <v>30.2</v>
      </c>
      <c r="AI207" s="3" t="str">
        <f>IF(EHR[[#This Row],[BMI_kg_m2]]&gt;=30,"Obese","Non-Obese")</f>
        <v>Obese</v>
      </c>
      <c r="AJ207" s="3">
        <v>88</v>
      </c>
      <c r="AK207" s="3" t="s">
        <v>50</v>
      </c>
      <c r="AL207" s="3" t="s">
        <v>51</v>
      </c>
      <c r="AM207" s="3" t="s">
        <v>52</v>
      </c>
      <c r="AN207" s="3" t="s">
        <v>53</v>
      </c>
      <c r="AO207" s="3" t="s">
        <v>54</v>
      </c>
    </row>
    <row r="208" spans="1:41" x14ac:dyDescent="0.2">
      <c r="A208" s="6" t="s">
        <v>816</v>
      </c>
      <c r="B208" s="2" t="s">
        <v>828</v>
      </c>
      <c r="C208" s="13">
        <v>44994</v>
      </c>
      <c r="D208" s="2" t="s">
        <v>36</v>
      </c>
      <c r="E208" s="2" t="s">
        <v>37</v>
      </c>
      <c r="F208" s="2" t="s">
        <v>122</v>
      </c>
      <c r="G208" s="2" t="s">
        <v>63</v>
      </c>
      <c r="H208" s="13">
        <v>21564</v>
      </c>
      <c r="I208" s="2">
        <v>66</v>
      </c>
      <c r="J208" s="2" t="str" cm="1">
        <f t="array" ref="J20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08" s="2" t="s">
        <v>1572</v>
      </c>
      <c r="L208" s="2" t="s">
        <v>110</v>
      </c>
      <c r="M208" s="2" t="s">
        <v>79</v>
      </c>
      <c r="N208" s="2" t="s">
        <v>80</v>
      </c>
      <c r="O208" s="2" t="s">
        <v>182</v>
      </c>
      <c r="P208" s="2" t="s">
        <v>254</v>
      </c>
      <c r="Q208" s="2" t="str">
        <f>_xlfn.XLOOKUP(EHR[[#This Row],[Primary_ICD11_Code]],'03_ICD11_Reference'!A:A,'03_ICD11_Reference'!D:D,,0)</f>
        <v>Respiratory</v>
      </c>
      <c r="R208" s="2" t="s">
        <v>255</v>
      </c>
      <c r="S208" s="2" t="s">
        <v>69</v>
      </c>
      <c r="T208" s="2" t="s">
        <v>830</v>
      </c>
      <c r="U208" s="2">
        <v>4</v>
      </c>
      <c r="V208" s="2" t="str">
        <f>_xlfn.XLOOKUP(EHR[[#This Row],[Encounter_ID]],'02_Lab_Results'!B:B,'02_Lab_Results'!D:D,,0)</f>
        <v>2951-2</v>
      </c>
      <c r="W208" s="2" t="str">
        <f>_xlfn.XLOOKUP(EHR[[#This Row],[LOINC Code]],'04_LOINC_Reference'!A:A,'04_LOINC_Reference'!F:F,,0)</f>
        <v>Biochemistry</v>
      </c>
      <c r="X208" s="2" t="str">
        <f>_xlfn.XLOOKUP(EHR[[#This Row],[LOINC Code]],'02_Lab_Results'!D:D,'02_Lab_Results'!E:E,,0)</f>
        <v>Serum sodium</v>
      </c>
      <c r="Y208" s="2" t="str">
        <f>_xlfn.XLOOKUP(EHR[[#This Row],[LOINC Code]],'02_Lab_Results'!D:D,'02_Lab_Results'!J:J,,0)</f>
        <v>Low</v>
      </c>
      <c r="Z208" s="2" t="str" cm="1">
        <f t="array" ref="Z208">_xlfn.XLOOKUP(1,(B208=B$2:B$500)*(V$2:V$500="4548-4"),Y$2:Y$500,"Not Tested")</f>
        <v>Not Tested</v>
      </c>
      <c r="AA208" s="2">
        <v>114</v>
      </c>
      <c r="AB208" s="2">
        <v>93</v>
      </c>
      <c r="AC208" s="2" t="str">
        <f>IF(AND(EHR[[#This Row],[BP_Systolic_mmHg]]&lt;140,EHR[[#This Row],[BP_Diastolic_mmHg]]&lt;90),"Controlled",IF(OR(EHR[[#This Row],[BP_Systolic_mmHg]]="Not Recorded",EHR[[#This Row],[BP_Diastolic_mmHg]]="Not Recorded"),"No Reading","Uncontrolled"))</f>
        <v>Uncontrolled</v>
      </c>
      <c r="AD208" s="2" t="str">
        <f>_xlfn.CONCAT(EHR[[#This Row],[BP_Systolic_mmHg]],"/",EHR[[#This Row],[BP_Diastolic_mmHg]])</f>
        <v>114/93</v>
      </c>
      <c r="AE208" s="2">
        <v>66</v>
      </c>
      <c r="AF208" s="2">
        <v>23</v>
      </c>
      <c r="AG208" s="2">
        <v>38.700000000000003</v>
      </c>
      <c r="AH208" s="2">
        <v>23.4</v>
      </c>
      <c r="AI208" s="2" t="str">
        <f>IF(EHR[[#This Row],[BMI_kg_m2]]&gt;=30,"Obese","Non-Obese")</f>
        <v>Non-Obese</v>
      </c>
      <c r="AJ208" s="2">
        <v>98</v>
      </c>
      <c r="AK208" s="2" t="s">
        <v>50</v>
      </c>
      <c r="AL208" s="2" t="s">
        <v>51</v>
      </c>
      <c r="AM208" s="2" t="s">
        <v>52</v>
      </c>
      <c r="AN208" s="2" t="s">
        <v>53</v>
      </c>
      <c r="AO208" s="2" t="s">
        <v>54</v>
      </c>
    </row>
    <row r="209" spans="1:41" x14ac:dyDescent="0.2">
      <c r="A209" s="7" t="s">
        <v>831</v>
      </c>
      <c r="B209" s="3" t="s">
        <v>832</v>
      </c>
      <c r="C209" s="14">
        <v>45370</v>
      </c>
      <c r="D209" s="3" t="s">
        <v>36</v>
      </c>
      <c r="E209" s="3" t="s">
        <v>89</v>
      </c>
      <c r="F209" s="3" t="s">
        <v>122</v>
      </c>
      <c r="G209" s="3" t="s">
        <v>104</v>
      </c>
      <c r="H209" s="14">
        <v>27640</v>
      </c>
      <c r="I209" s="3">
        <v>50</v>
      </c>
      <c r="J209" s="3" t="str" cm="1">
        <f t="array" ref="J20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09" s="3" t="s">
        <v>1572</v>
      </c>
      <c r="L209" s="3" t="s">
        <v>66</v>
      </c>
      <c r="M209" s="3" t="s">
        <v>141</v>
      </c>
      <c r="N209" s="3" t="s">
        <v>1574</v>
      </c>
      <c r="O209" s="3" t="s">
        <v>1574</v>
      </c>
      <c r="P209" s="3" t="s">
        <v>46</v>
      </c>
      <c r="Q209" s="3" t="str">
        <f>_xlfn.XLOOKUP(EHR[[#This Row],[Primary_ICD11_Code]],'03_ICD11_Reference'!A:A,'03_ICD11_Reference'!D:D,,0)</f>
        <v>Haematological</v>
      </c>
      <c r="R209" s="3" t="s">
        <v>47</v>
      </c>
      <c r="S209" s="3" t="s">
        <v>48</v>
      </c>
      <c r="T209" s="3" t="s">
        <v>176</v>
      </c>
      <c r="U209" s="3">
        <v>1</v>
      </c>
      <c r="V209" s="3" t="str">
        <f>_xlfn.XLOOKUP(EHR[[#This Row],[Encounter_ID]],'02_Lab_Results'!B:B,'02_Lab_Results'!D:D,,0)</f>
        <v>2345-7</v>
      </c>
      <c r="W209" s="3" t="str">
        <f>_xlfn.XLOOKUP(EHR[[#This Row],[LOINC Code]],'04_LOINC_Reference'!A:A,'04_LOINC_Reference'!F:F,,0)</f>
        <v>Biochemistry</v>
      </c>
      <c r="X209" s="3" t="str">
        <f>_xlfn.XLOOKUP(EHR[[#This Row],[LOINC Code]],'02_Lab_Results'!D:D,'02_Lab_Results'!E:E,,0)</f>
        <v>Serum glucose (fasting)</v>
      </c>
      <c r="Y209" s="3" t="str">
        <f>_xlfn.XLOOKUP(EHR[[#This Row],[LOINC Code]],'02_Lab_Results'!D:D,'02_Lab_Results'!J:J,,0)</f>
        <v>Normal</v>
      </c>
      <c r="Z209" s="3" t="str" cm="1">
        <f t="array" ref="Z209">_xlfn.XLOOKUP(1,(B209=B$2:B$500)*(V$2:V$500="4548-4"),Y$2:Y$500,"Not Tested")</f>
        <v>Not Tested</v>
      </c>
      <c r="AA209" s="3">
        <v>123</v>
      </c>
      <c r="AB209" s="3">
        <v>78</v>
      </c>
      <c r="AC209" s="3" t="str">
        <f>IF(AND(EHR[[#This Row],[BP_Systolic_mmHg]]&lt;140,EHR[[#This Row],[BP_Diastolic_mmHg]]&lt;90),"Controlled",IF(OR(EHR[[#This Row],[BP_Systolic_mmHg]]="Not Recorded",EHR[[#This Row],[BP_Diastolic_mmHg]]="Not Recorded"),"No Reading","Uncontrolled"))</f>
        <v>Controlled</v>
      </c>
      <c r="AD209" s="3" t="str">
        <f>_xlfn.CONCAT(EHR[[#This Row],[BP_Systolic_mmHg]],"/",EHR[[#This Row],[BP_Diastolic_mmHg]])</f>
        <v>123/78</v>
      </c>
      <c r="AE209" s="3">
        <v>59</v>
      </c>
      <c r="AF209" s="3">
        <v>12</v>
      </c>
      <c r="AG209" s="3">
        <v>38.299999999999997</v>
      </c>
      <c r="AH209" s="3">
        <v>19.3</v>
      </c>
      <c r="AI209" s="3" t="str">
        <f>IF(EHR[[#This Row],[BMI_kg_m2]]&gt;=30,"Obese","Non-Obese")</f>
        <v>Non-Obese</v>
      </c>
      <c r="AJ209" s="3">
        <v>97</v>
      </c>
      <c r="AK209" s="3" t="s">
        <v>50</v>
      </c>
      <c r="AL209" s="3" t="s">
        <v>51</v>
      </c>
      <c r="AM209" s="3" t="s">
        <v>52</v>
      </c>
      <c r="AN209" s="3" t="s">
        <v>53</v>
      </c>
      <c r="AO209" s="3" t="s">
        <v>54</v>
      </c>
    </row>
    <row r="210" spans="1:41" x14ac:dyDescent="0.2">
      <c r="A210" s="6" t="s">
        <v>831</v>
      </c>
      <c r="B210" s="2" t="s">
        <v>835</v>
      </c>
      <c r="C210" s="13">
        <v>45629</v>
      </c>
      <c r="D210" s="2" t="s">
        <v>88</v>
      </c>
      <c r="E210" s="2" t="s">
        <v>167</v>
      </c>
      <c r="F210" s="2" t="s">
        <v>38</v>
      </c>
      <c r="G210" s="2" t="s">
        <v>104</v>
      </c>
      <c r="H210" s="13">
        <v>27640</v>
      </c>
      <c r="I210" s="2">
        <v>50</v>
      </c>
      <c r="J210" s="2" t="str" cm="1">
        <f t="array" ref="J21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10" s="2" t="s">
        <v>1572</v>
      </c>
      <c r="L210" s="2" t="s">
        <v>116</v>
      </c>
      <c r="M210" s="2" t="s">
        <v>141</v>
      </c>
      <c r="N210" s="2" t="s">
        <v>1574</v>
      </c>
      <c r="O210" s="2" t="s">
        <v>1574</v>
      </c>
      <c r="P210" s="2" t="s">
        <v>46</v>
      </c>
      <c r="Q210" s="2" t="str">
        <f>_xlfn.XLOOKUP(EHR[[#This Row],[Primary_ICD11_Code]],'03_ICD11_Reference'!A:A,'03_ICD11_Reference'!D:D,,0)</f>
        <v>Haematological</v>
      </c>
      <c r="R210" s="2" t="s">
        <v>47</v>
      </c>
      <c r="S210" s="2" t="s">
        <v>48</v>
      </c>
      <c r="T210" s="2" t="s">
        <v>837</v>
      </c>
      <c r="U210" s="2">
        <v>2</v>
      </c>
      <c r="V210" s="2" t="str">
        <f>_xlfn.XLOOKUP(EHR[[#This Row],[Encounter_ID]],'02_Lab_Results'!B:B,'02_Lab_Results'!D:D,,0)</f>
        <v>718-7</v>
      </c>
      <c r="W210" s="2" t="str">
        <f>_xlfn.XLOOKUP(EHR[[#This Row],[LOINC Code]],'04_LOINC_Reference'!A:A,'04_LOINC_Reference'!F:F,,0)</f>
        <v>Biochemistry</v>
      </c>
      <c r="X210" s="2" t="str">
        <f>_xlfn.XLOOKUP(EHR[[#This Row],[LOINC Code]],'02_Lab_Results'!D:D,'02_Lab_Results'!E:E,,0)</f>
        <v>Haemoglobin</v>
      </c>
      <c r="Y210" s="2" t="str">
        <f>_xlfn.XLOOKUP(EHR[[#This Row],[LOINC Code]],'02_Lab_Results'!D:D,'02_Lab_Results'!J:J,,0)</f>
        <v>Normal</v>
      </c>
      <c r="Z210" s="2" t="str" cm="1">
        <f t="array" ref="Z210">_xlfn.XLOOKUP(1,(B210=B$2:B$500)*(V$2:V$500="4548-4"),Y$2:Y$500,"Not Tested")</f>
        <v>Not Tested</v>
      </c>
      <c r="AA210" s="2">
        <v>122</v>
      </c>
      <c r="AB210" s="2">
        <v>60</v>
      </c>
      <c r="AC210" s="2" t="str">
        <f>IF(AND(EHR[[#This Row],[BP_Systolic_mmHg]]&lt;140,EHR[[#This Row],[BP_Diastolic_mmHg]]&lt;90),"Controlled",IF(OR(EHR[[#This Row],[BP_Systolic_mmHg]]="Not Recorded",EHR[[#This Row],[BP_Diastolic_mmHg]]="Not Recorded"),"No Reading","Uncontrolled"))</f>
        <v>Controlled</v>
      </c>
      <c r="AD210" s="2" t="str">
        <f>_xlfn.CONCAT(EHR[[#This Row],[BP_Systolic_mmHg]],"/",EHR[[#This Row],[BP_Diastolic_mmHg]])</f>
        <v>122/60</v>
      </c>
      <c r="AE210" s="2">
        <v>107</v>
      </c>
      <c r="AF210" s="2">
        <v>19</v>
      </c>
      <c r="AG210" s="2">
        <v>37.299999999999997</v>
      </c>
      <c r="AH210" s="2">
        <v>36.299999999999997</v>
      </c>
      <c r="AI210" s="2" t="str">
        <f>IF(EHR[[#This Row],[BMI_kg_m2]]&gt;=30,"Obese","Non-Obese")</f>
        <v>Obese</v>
      </c>
      <c r="AJ210" s="2">
        <v>93</v>
      </c>
      <c r="AK210" s="2" t="s">
        <v>50</v>
      </c>
      <c r="AL210" s="2" t="s">
        <v>51</v>
      </c>
      <c r="AM210" s="2" t="s">
        <v>52</v>
      </c>
      <c r="AN210" s="2" t="s">
        <v>53</v>
      </c>
      <c r="AO210" s="2" t="s">
        <v>54</v>
      </c>
    </row>
    <row r="211" spans="1:41" x14ac:dyDescent="0.2">
      <c r="A211" s="7" t="s">
        <v>838</v>
      </c>
      <c r="B211" s="3" t="s">
        <v>839</v>
      </c>
      <c r="C211" s="14">
        <v>45014</v>
      </c>
      <c r="D211" s="3" t="s">
        <v>88</v>
      </c>
      <c r="E211" s="3" t="s">
        <v>167</v>
      </c>
      <c r="F211" s="3" t="s">
        <v>189</v>
      </c>
      <c r="G211" s="3" t="s">
        <v>63</v>
      </c>
      <c r="H211" s="14">
        <v>38988</v>
      </c>
      <c r="I211" s="3">
        <v>19</v>
      </c>
      <c r="J211" s="3" t="str" cm="1">
        <f t="array" ref="J21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11" s="3" t="s">
        <v>1573</v>
      </c>
      <c r="L211" s="3" t="s">
        <v>140</v>
      </c>
      <c r="M211" s="3" t="s">
        <v>45</v>
      </c>
      <c r="N211" s="3" t="s">
        <v>44</v>
      </c>
      <c r="O211" s="3" t="s">
        <v>1574</v>
      </c>
      <c r="P211" s="3" t="s">
        <v>305</v>
      </c>
      <c r="Q211" s="3" t="str">
        <f>_xlfn.XLOOKUP(EHR[[#This Row],[Primary_ICD11_Code]],'03_ICD11_Reference'!A:A,'03_ICD11_Reference'!D:D,,0)</f>
        <v>Infectious</v>
      </c>
      <c r="R211" s="3" t="s">
        <v>306</v>
      </c>
      <c r="S211" s="3" t="s">
        <v>48</v>
      </c>
      <c r="T211" s="3" t="s">
        <v>691</v>
      </c>
      <c r="U211" s="3">
        <v>2</v>
      </c>
      <c r="V211" s="3" t="str">
        <f>_xlfn.XLOOKUP(EHR[[#This Row],[Encounter_ID]],'02_Lab_Results'!B:B,'02_Lab_Results'!D:D,,0)</f>
        <v>2085-9</v>
      </c>
      <c r="W211" s="3" t="str">
        <f>_xlfn.XLOOKUP(EHR[[#This Row],[LOINC Code]],'04_LOINC_Reference'!A:A,'04_LOINC_Reference'!F:F,,0)</f>
        <v>Biochemistry</v>
      </c>
      <c r="X211" s="3" t="str">
        <f>_xlfn.XLOOKUP(EHR[[#This Row],[LOINC Code]],'02_Lab_Results'!D:D,'02_Lab_Results'!E:E,,0)</f>
        <v>HDL cholesterol</v>
      </c>
      <c r="Y211" s="3" t="str">
        <f>_xlfn.XLOOKUP(EHR[[#This Row],[LOINC Code]],'02_Lab_Results'!D:D,'02_Lab_Results'!J:J,,0)</f>
        <v>Normal</v>
      </c>
      <c r="Z211" s="3" t="str" cm="1">
        <f t="array" ref="Z211">_xlfn.XLOOKUP(1,(B211=B$2:B$500)*(V$2:V$500="4548-4"),Y$2:Y$500,"Not Tested")</f>
        <v>Not Tested</v>
      </c>
      <c r="AA211" s="3">
        <v>122</v>
      </c>
      <c r="AB211" s="3">
        <v>100</v>
      </c>
      <c r="AC211" s="3" t="str">
        <f>IF(AND(EHR[[#This Row],[BP_Systolic_mmHg]]&lt;140,EHR[[#This Row],[BP_Diastolic_mmHg]]&lt;90),"Controlled",IF(OR(EHR[[#This Row],[BP_Systolic_mmHg]]="Not Recorded",EHR[[#This Row],[BP_Diastolic_mmHg]]="Not Recorded"),"No Reading","Uncontrolled"))</f>
        <v>Uncontrolled</v>
      </c>
      <c r="AD211" s="3" t="str">
        <f>_xlfn.CONCAT(EHR[[#This Row],[BP_Systolic_mmHg]],"/",EHR[[#This Row],[BP_Diastolic_mmHg]])</f>
        <v>122/100</v>
      </c>
      <c r="AE211" s="3">
        <v>118</v>
      </c>
      <c r="AF211" s="3">
        <v>18</v>
      </c>
      <c r="AG211" s="3">
        <v>37.299999999999997</v>
      </c>
      <c r="AH211" s="3">
        <v>35.9</v>
      </c>
      <c r="AI211" s="3" t="str">
        <f>IF(EHR[[#This Row],[BMI_kg_m2]]&gt;=30,"Obese","Non-Obese")</f>
        <v>Obese</v>
      </c>
      <c r="AJ211" s="3">
        <v>94</v>
      </c>
      <c r="AK211" s="3" t="s">
        <v>50</v>
      </c>
      <c r="AL211" s="3" t="s">
        <v>51</v>
      </c>
      <c r="AM211" s="3" t="s">
        <v>52</v>
      </c>
      <c r="AN211" s="3" t="s">
        <v>53</v>
      </c>
      <c r="AO211" s="3" t="s">
        <v>54</v>
      </c>
    </row>
    <row r="212" spans="1:41" x14ac:dyDescent="0.2">
      <c r="A212" s="6" t="s">
        <v>842</v>
      </c>
      <c r="B212" s="2" t="s">
        <v>843</v>
      </c>
      <c r="C212" s="13">
        <v>45521</v>
      </c>
      <c r="D212" s="2" t="s">
        <v>88</v>
      </c>
      <c r="E212" s="2" t="s">
        <v>167</v>
      </c>
      <c r="F212" s="2" t="s">
        <v>97</v>
      </c>
      <c r="G212" s="2" t="s">
        <v>115</v>
      </c>
      <c r="H212" s="13">
        <v>17855</v>
      </c>
      <c r="I212" s="2">
        <v>77</v>
      </c>
      <c r="J212" s="2" t="str" cm="1">
        <f t="array" ref="J21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12" s="2" t="s">
        <v>1572</v>
      </c>
      <c r="L212" s="2" t="s">
        <v>90</v>
      </c>
      <c r="M212" s="2" t="s">
        <v>45</v>
      </c>
      <c r="N212" s="2" t="s">
        <v>125</v>
      </c>
      <c r="O212" s="2" t="s">
        <v>45</v>
      </c>
      <c r="P212" s="2" t="s">
        <v>195</v>
      </c>
      <c r="Q212" s="2" t="str">
        <f>_xlfn.XLOOKUP(EHR[[#This Row],[Primary_ICD11_Code]],'03_ICD11_Reference'!A:A,'03_ICD11_Reference'!D:D,,0)</f>
        <v>Respiratory</v>
      </c>
      <c r="R212" s="2" t="s">
        <v>196</v>
      </c>
      <c r="S212" s="2" t="s">
        <v>69</v>
      </c>
      <c r="T212" s="2" t="s">
        <v>846</v>
      </c>
      <c r="U212" s="2">
        <v>3</v>
      </c>
      <c r="V212" s="2" t="str">
        <f>_xlfn.XLOOKUP(EHR[[#This Row],[Encounter_ID]],'02_Lab_Results'!B:B,'02_Lab_Results'!D:D,,0)</f>
        <v>2085-9</v>
      </c>
      <c r="W212" s="2" t="str">
        <f>_xlfn.XLOOKUP(EHR[[#This Row],[LOINC Code]],'04_LOINC_Reference'!A:A,'04_LOINC_Reference'!F:F,,0)</f>
        <v>Biochemistry</v>
      </c>
      <c r="X212" s="2" t="str">
        <f>_xlfn.XLOOKUP(EHR[[#This Row],[LOINC Code]],'02_Lab_Results'!D:D,'02_Lab_Results'!E:E,,0)</f>
        <v>HDL cholesterol</v>
      </c>
      <c r="Y212" s="2" t="str">
        <f>_xlfn.XLOOKUP(EHR[[#This Row],[LOINC Code]],'02_Lab_Results'!D:D,'02_Lab_Results'!J:J,,0)</f>
        <v>Normal</v>
      </c>
      <c r="Z212" s="2" t="str" cm="1">
        <f t="array" ref="Z212">_xlfn.XLOOKUP(1,(B212=B$2:B$500)*(V$2:V$500="4548-4"),Y$2:Y$500,"Not Tested")</f>
        <v>Not Tested</v>
      </c>
      <c r="AA212" s="2">
        <v>139</v>
      </c>
      <c r="AB212" s="2">
        <v>75</v>
      </c>
      <c r="AC212" s="2" t="str">
        <f>IF(AND(EHR[[#This Row],[BP_Systolic_mmHg]]&lt;140,EHR[[#This Row],[BP_Diastolic_mmHg]]&lt;90),"Controlled",IF(OR(EHR[[#This Row],[BP_Systolic_mmHg]]="Not Recorded",EHR[[#This Row],[BP_Diastolic_mmHg]]="Not Recorded"),"No Reading","Uncontrolled"))</f>
        <v>Controlled</v>
      </c>
      <c r="AD212" s="2" t="str">
        <f>_xlfn.CONCAT(EHR[[#This Row],[BP_Systolic_mmHg]],"/",EHR[[#This Row],[BP_Diastolic_mmHg]])</f>
        <v>139/75</v>
      </c>
      <c r="AE212" s="2">
        <v>60</v>
      </c>
      <c r="AF212" s="2">
        <v>22</v>
      </c>
      <c r="AG212" s="2">
        <v>36.299999999999997</v>
      </c>
      <c r="AH212" s="2">
        <v>35.200000000000003</v>
      </c>
      <c r="AI212" s="2" t="str">
        <f>IF(EHR[[#This Row],[BMI_kg_m2]]&gt;=30,"Obese","Non-Obese")</f>
        <v>Obese</v>
      </c>
      <c r="AJ212" s="2">
        <v>99</v>
      </c>
      <c r="AK212" s="2" t="s">
        <v>50</v>
      </c>
      <c r="AL212" s="2" t="s">
        <v>51</v>
      </c>
      <c r="AM212" s="2" t="s">
        <v>52</v>
      </c>
      <c r="AN212" s="2" t="s">
        <v>53</v>
      </c>
      <c r="AO212" s="2" t="s">
        <v>54</v>
      </c>
    </row>
    <row r="213" spans="1:41" x14ac:dyDescent="0.2">
      <c r="A213" s="7" t="s">
        <v>842</v>
      </c>
      <c r="B213" s="3" t="s">
        <v>847</v>
      </c>
      <c r="C213" s="14">
        <v>45507</v>
      </c>
      <c r="D213" s="3" t="s">
        <v>95</v>
      </c>
      <c r="E213" s="3" t="s">
        <v>96</v>
      </c>
      <c r="F213" s="3" t="s">
        <v>219</v>
      </c>
      <c r="G213" s="3" t="s">
        <v>76</v>
      </c>
      <c r="H213" s="14">
        <v>17855</v>
      </c>
      <c r="I213" s="3">
        <v>77</v>
      </c>
      <c r="J213" s="3" t="str" cm="1">
        <f t="array" ref="J21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13" s="3" t="s">
        <v>1572</v>
      </c>
      <c r="L213" s="3" t="s">
        <v>66</v>
      </c>
      <c r="M213" s="3" t="s">
        <v>45</v>
      </c>
      <c r="N213" s="3" t="s">
        <v>125</v>
      </c>
      <c r="O213" s="3" t="s">
        <v>45</v>
      </c>
      <c r="P213" s="3" t="s">
        <v>195</v>
      </c>
      <c r="Q213" s="3" t="str">
        <f>_xlfn.XLOOKUP(EHR[[#This Row],[Primary_ICD11_Code]],'03_ICD11_Reference'!A:A,'03_ICD11_Reference'!D:D,,0)</f>
        <v>Respiratory</v>
      </c>
      <c r="R213" s="3" t="s">
        <v>196</v>
      </c>
      <c r="S213" s="3" t="s">
        <v>69</v>
      </c>
      <c r="T213" s="3" t="s">
        <v>849</v>
      </c>
      <c r="U213" s="3">
        <v>4</v>
      </c>
      <c r="V213" s="3" t="str">
        <f>_xlfn.XLOOKUP(EHR[[#This Row],[Encounter_ID]],'02_Lab_Results'!B:B,'02_Lab_Results'!D:D,,0)</f>
        <v>718-7</v>
      </c>
      <c r="W213" s="3" t="str">
        <f>_xlfn.XLOOKUP(EHR[[#This Row],[LOINC Code]],'04_LOINC_Reference'!A:A,'04_LOINC_Reference'!F:F,,0)</f>
        <v>Biochemistry</v>
      </c>
      <c r="X213" s="3" t="str">
        <f>_xlfn.XLOOKUP(EHR[[#This Row],[LOINC Code]],'02_Lab_Results'!D:D,'02_Lab_Results'!E:E,,0)</f>
        <v>Haemoglobin</v>
      </c>
      <c r="Y213" s="3" t="str">
        <f>_xlfn.XLOOKUP(EHR[[#This Row],[LOINC Code]],'02_Lab_Results'!D:D,'02_Lab_Results'!J:J,,0)</f>
        <v>Normal</v>
      </c>
      <c r="Z213" s="3" t="str" cm="1">
        <f t="array" ref="Z213">_xlfn.XLOOKUP(1,(B213=B$2:B$500)*(V$2:V$500="4548-4"),Y$2:Y$500,"Not Tested")</f>
        <v>Not Tested</v>
      </c>
      <c r="AA213" s="3">
        <v>128</v>
      </c>
      <c r="AB213" s="3">
        <v>74</v>
      </c>
      <c r="AC213" s="3" t="str">
        <f>IF(AND(EHR[[#This Row],[BP_Systolic_mmHg]]&lt;140,EHR[[#This Row],[BP_Diastolic_mmHg]]&lt;90),"Controlled",IF(OR(EHR[[#This Row],[BP_Systolic_mmHg]]="Not Recorded",EHR[[#This Row],[BP_Diastolic_mmHg]]="Not Recorded"),"No Reading","Uncontrolled"))</f>
        <v>Controlled</v>
      </c>
      <c r="AD213" s="3" t="str">
        <f>_xlfn.CONCAT(EHR[[#This Row],[BP_Systolic_mmHg]],"/",EHR[[#This Row],[BP_Diastolic_mmHg]])</f>
        <v>128/74</v>
      </c>
      <c r="AE213" s="3">
        <v>82</v>
      </c>
      <c r="AF213" s="3">
        <v>12</v>
      </c>
      <c r="AG213" s="3">
        <v>36.799999999999997</v>
      </c>
      <c r="AH213" s="3">
        <v>23.8</v>
      </c>
      <c r="AI213" s="3" t="str">
        <f>IF(EHR[[#This Row],[BMI_kg_m2]]&gt;=30,"Obese","Non-Obese")</f>
        <v>Non-Obese</v>
      </c>
      <c r="AJ213" s="3">
        <v>97</v>
      </c>
      <c r="AK213" s="3" t="s">
        <v>50</v>
      </c>
      <c r="AL213" s="3" t="s">
        <v>51</v>
      </c>
      <c r="AM213" s="3" t="s">
        <v>52</v>
      </c>
      <c r="AN213" s="3" t="s">
        <v>53</v>
      </c>
      <c r="AO213" s="3" t="s">
        <v>54</v>
      </c>
    </row>
    <row r="214" spans="1:41" x14ac:dyDescent="0.2">
      <c r="A214" s="6" t="s">
        <v>842</v>
      </c>
      <c r="B214" s="2" t="s">
        <v>850</v>
      </c>
      <c r="C214" s="13">
        <v>45239</v>
      </c>
      <c r="D214" s="2" t="s">
        <v>60</v>
      </c>
      <c r="E214" s="2" t="s">
        <v>37</v>
      </c>
      <c r="F214" s="2" t="s">
        <v>148</v>
      </c>
      <c r="G214" s="2" t="s">
        <v>123</v>
      </c>
      <c r="H214" s="13">
        <v>17855</v>
      </c>
      <c r="I214" s="2">
        <v>77</v>
      </c>
      <c r="J214" s="2" t="str" cm="1">
        <f t="array" ref="J21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14" s="2" t="s">
        <v>1572</v>
      </c>
      <c r="L214" s="2" t="s">
        <v>66</v>
      </c>
      <c r="M214" s="2" t="s">
        <v>45</v>
      </c>
      <c r="N214" s="2" t="s">
        <v>125</v>
      </c>
      <c r="O214" s="2" t="s">
        <v>45</v>
      </c>
      <c r="P214" s="2" t="s">
        <v>195</v>
      </c>
      <c r="Q214" s="2" t="str">
        <f>_xlfn.XLOOKUP(EHR[[#This Row],[Primary_ICD11_Code]],'03_ICD11_Reference'!A:A,'03_ICD11_Reference'!D:D,,0)</f>
        <v>Respiratory</v>
      </c>
      <c r="R214" s="2" t="s">
        <v>196</v>
      </c>
      <c r="S214" s="2" t="s">
        <v>69</v>
      </c>
      <c r="T214" s="2" t="s">
        <v>627</v>
      </c>
      <c r="U214" s="2">
        <v>2</v>
      </c>
      <c r="V214" s="2" t="str">
        <f>_xlfn.XLOOKUP(EHR[[#This Row],[Encounter_ID]],'02_Lab_Results'!B:B,'02_Lab_Results'!D:D,,0)</f>
        <v>6768-6</v>
      </c>
      <c r="W214" s="2" t="str">
        <f>_xlfn.XLOOKUP(EHR[[#This Row],[LOINC Code]],'04_LOINC_Reference'!A:A,'04_LOINC_Reference'!F:F,,0)</f>
        <v>Biochemistry</v>
      </c>
      <c r="X214" s="2" t="str">
        <f>_xlfn.XLOOKUP(EHR[[#This Row],[LOINC Code]],'02_Lab_Results'!D:D,'02_Lab_Results'!E:E,,0)</f>
        <v>ALP</v>
      </c>
      <c r="Y214" s="2" t="str">
        <f>_xlfn.XLOOKUP(EHR[[#This Row],[LOINC Code]],'02_Lab_Results'!D:D,'02_Lab_Results'!J:J,,0)</f>
        <v>High</v>
      </c>
      <c r="Z214" s="2" t="str" cm="1">
        <f t="array" ref="Z214">_xlfn.XLOOKUP(1,(B214=B$2:B$500)*(V$2:V$500="4548-4"),Y$2:Y$500,"Not Tested")</f>
        <v>Not Tested</v>
      </c>
      <c r="AA214" s="2">
        <v>139</v>
      </c>
      <c r="AB214" s="2">
        <v>62</v>
      </c>
      <c r="AC214" s="2" t="str">
        <f>IF(AND(EHR[[#This Row],[BP_Systolic_mmHg]]&lt;140,EHR[[#This Row],[BP_Diastolic_mmHg]]&lt;90),"Controlled",IF(OR(EHR[[#This Row],[BP_Systolic_mmHg]]="Not Recorded",EHR[[#This Row],[BP_Diastolic_mmHg]]="Not Recorded"),"No Reading","Uncontrolled"))</f>
        <v>Controlled</v>
      </c>
      <c r="AD214" s="2" t="str">
        <f>_xlfn.CONCAT(EHR[[#This Row],[BP_Systolic_mmHg]],"/",EHR[[#This Row],[BP_Diastolic_mmHg]])</f>
        <v>139/62</v>
      </c>
      <c r="AE214" s="2">
        <v>98</v>
      </c>
      <c r="AF214" s="2">
        <v>13</v>
      </c>
      <c r="AG214" s="2">
        <v>36.9</v>
      </c>
      <c r="AH214" s="2">
        <v>41.1</v>
      </c>
      <c r="AI214" s="2" t="str">
        <f>IF(EHR[[#This Row],[BMI_kg_m2]]&gt;=30,"Obese","Non-Obese")</f>
        <v>Obese</v>
      </c>
      <c r="AJ214" s="2">
        <v>99</v>
      </c>
      <c r="AK214" s="2" t="s">
        <v>50</v>
      </c>
      <c r="AL214" s="2" t="s">
        <v>51</v>
      </c>
      <c r="AM214" s="2" t="s">
        <v>52</v>
      </c>
      <c r="AN214" s="2" t="s">
        <v>53</v>
      </c>
      <c r="AO214" s="2" t="s">
        <v>54</v>
      </c>
    </row>
    <row r="215" spans="1:41" x14ac:dyDescent="0.2">
      <c r="A215" s="7" t="s">
        <v>852</v>
      </c>
      <c r="B215" s="3" t="s">
        <v>853</v>
      </c>
      <c r="C215" s="14">
        <v>45717</v>
      </c>
      <c r="D215" s="3" t="s">
        <v>88</v>
      </c>
      <c r="E215" s="3" t="s">
        <v>61</v>
      </c>
      <c r="F215" s="3" t="s">
        <v>219</v>
      </c>
      <c r="G215" s="3" t="s">
        <v>115</v>
      </c>
      <c r="H215" s="14">
        <v>29238</v>
      </c>
      <c r="I215" s="3">
        <v>45</v>
      </c>
      <c r="J215" s="3" t="str" cm="1">
        <f t="array" ref="J21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15" s="3" t="s">
        <v>1573</v>
      </c>
      <c r="L215" s="3" t="s">
        <v>140</v>
      </c>
      <c r="M215" s="3" t="s">
        <v>141</v>
      </c>
      <c r="N215" s="3" t="s">
        <v>80</v>
      </c>
      <c r="O215" s="3" t="s">
        <v>81</v>
      </c>
      <c r="P215" s="3" t="s">
        <v>254</v>
      </c>
      <c r="Q215" s="3" t="str">
        <f>_xlfn.XLOOKUP(EHR[[#This Row],[Primary_ICD11_Code]],'03_ICD11_Reference'!A:A,'03_ICD11_Reference'!D:D,,0)</f>
        <v>Respiratory</v>
      </c>
      <c r="R215" s="3" t="s">
        <v>255</v>
      </c>
      <c r="S215" s="3" t="s">
        <v>69</v>
      </c>
      <c r="T215" s="3" t="s">
        <v>856</v>
      </c>
      <c r="U215" s="3">
        <v>2</v>
      </c>
      <c r="V215" s="3" t="str">
        <f>_xlfn.XLOOKUP(EHR[[#This Row],[Encounter_ID]],'02_Lab_Results'!B:B,'02_Lab_Results'!D:D,,0)</f>
        <v>17861-6</v>
      </c>
      <c r="W215" s="3" t="str">
        <f>_xlfn.XLOOKUP(EHR[[#This Row],[LOINC Code]],'04_LOINC_Reference'!A:A,'04_LOINC_Reference'!F:F,,0)</f>
        <v>Biochemistry</v>
      </c>
      <c r="X215" s="3" t="str">
        <f>_xlfn.XLOOKUP(EHR[[#This Row],[LOINC Code]],'02_Lab_Results'!D:D,'02_Lab_Results'!E:E,,0)</f>
        <v>Serum calcium</v>
      </c>
      <c r="Y215" s="3" t="str">
        <f>_xlfn.XLOOKUP(EHR[[#This Row],[LOINC Code]],'02_Lab_Results'!D:D,'02_Lab_Results'!J:J,,0)</f>
        <v>High</v>
      </c>
      <c r="Z215" s="3" t="str" cm="1">
        <f t="array" ref="Z215">_xlfn.XLOOKUP(1,(B215=B$2:B$500)*(V$2:V$500="4548-4"),Y$2:Y$500,"Not Tested")</f>
        <v>Not Tested</v>
      </c>
      <c r="AA215" s="3">
        <v>148</v>
      </c>
      <c r="AB215" s="3">
        <v>106</v>
      </c>
      <c r="AC215" s="3" t="str">
        <f>IF(AND(EHR[[#This Row],[BP_Systolic_mmHg]]&lt;140,EHR[[#This Row],[BP_Diastolic_mmHg]]&lt;90),"Controlled",IF(OR(EHR[[#This Row],[BP_Systolic_mmHg]]="Not Recorded",EHR[[#This Row],[BP_Diastolic_mmHg]]="Not Recorded"),"No Reading","Uncontrolled"))</f>
        <v>Uncontrolled</v>
      </c>
      <c r="AD215" s="3" t="str">
        <f>_xlfn.CONCAT(EHR[[#This Row],[BP_Systolic_mmHg]],"/",EHR[[#This Row],[BP_Diastolic_mmHg]])</f>
        <v>148/106</v>
      </c>
      <c r="AE215" s="3">
        <v>60</v>
      </c>
      <c r="AF215" s="3">
        <v>20</v>
      </c>
      <c r="AG215" s="3">
        <v>36.299999999999997</v>
      </c>
      <c r="AH215" s="3">
        <v>27.9</v>
      </c>
      <c r="AI215" s="3" t="str">
        <f>IF(EHR[[#This Row],[BMI_kg_m2]]&gt;=30,"Obese","Non-Obese")</f>
        <v>Non-Obese</v>
      </c>
      <c r="AJ215" s="3">
        <v>87</v>
      </c>
      <c r="AK215" s="3" t="s">
        <v>50</v>
      </c>
      <c r="AL215" s="3" t="s">
        <v>51</v>
      </c>
      <c r="AM215" s="3" t="s">
        <v>52</v>
      </c>
      <c r="AN215" s="3" t="s">
        <v>53</v>
      </c>
      <c r="AO215" s="3" t="s">
        <v>54</v>
      </c>
    </row>
    <row r="216" spans="1:41" x14ac:dyDescent="0.2">
      <c r="A216" s="6" t="s">
        <v>852</v>
      </c>
      <c r="B216" s="2" t="s">
        <v>857</v>
      </c>
      <c r="C216" s="13">
        <v>45506</v>
      </c>
      <c r="D216" s="2" t="s">
        <v>103</v>
      </c>
      <c r="E216" s="2" t="s">
        <v>37</v>
      </c>
      <c r="F216" s="2" t="s">
        <v>189</v>
      </c>
      <c r="G216" s="2" t="s">
        <v>76</v>
      </c>
      <c r="H216" s="13">
        <v>29238</v>
      </c>
      <c r="I216" s="2">
        <v>45</v>
      </c>
      <c r="J216" s="2" t="str" cm="1">
        <f t="array" ref="J21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16" s="2" t="s">
        <v>1573</v>
      </c>
      <c r="L216" s="2" t="s">
        <v>78</v>
      </c>
      <c r="M216" s="2" t="s">
        <v>141</v>
      </c>
      <c r="N216" s="2" t="s">
        <v>80</v>
      </c>
      <c r="O216" s="2" t="s">
        <v>81</v>
      </c>
      <c r="P216" s="2" t="s">
        <v>254</v>
      </c>
      <c r="Q216" s="2" t="str">
        <f>_xlfn.XLOOKUP(EHR[[#This Row],[Primary_ICD11_Code]],'03_ICD11_Reference'!A:A,'03_ICD11_Reference'!D:D,,0)</f>
        <v>Respiratory</v>
      </c>
      <c r="R216" s="2" t="s">
        <v>255</v>
      </c>
      <c r="S216" s="2" t="s">
        <v>69</v>
      </c>
      <c r="T216" s="2" t="s">
        <v>859</v>
      </c>
      <c r="U216" s="2">
        <v>4</v>
      </c>
      <c r="V216" s="2" t="str">
        <f>_xlfn.XLOOKUP(EHR[[#This Row],[Encounter_ID]],'02_Lab_Results'!B:B,'02_Lab_Results'!D:D,,0)</f>
        <v>6768-6</v>
      </c>
      <c r="W216" s="2" t="str">
        <f>_xlfn.XLOOKUP(EHR[[#This Row],[LOINC Code]],'04_LOINC_Reference'!A:A,'04_LOINC_Reference'!F:F,,0)</f>
        <v>Biochemistry</v>
      </c>
      <c r="X216" s="2" t="str">
        <f>_xlfn.XLOOKUP(EHR[[#This Row],[LOINC Code]],'02_Lab_Results'!D:D,'02_Lab_Results'!E:E,,0)</f>
        <v>ALP</v>
      </c>
      <c r="Y216" s="2" t="str">
        <f>_xlfn.XLOOKUP(EHR[[#This Row],[LOINC Code]],'02_Lab_Results'!D:D,'02_Lab_Results'!J:J,,0)</f>
        <v>High</v>
      </c>
      <c r="Z216" s="2" t="str" cm="1">
        <f t="array" ref="Z216">_xlfn.XLOOKUP(1,(B216=B$2:B$500)*(V$2:V$500="4548-4"),Y$2:Y$500,"Not Tested")</f>
        <v>Not Tested</v>
      </c>
      <c r="AA216" s="2">
        <v>180</v>
      </c>
      <c r="AB216" s="2">
        <v>95</v>
      </c>
      <c r="AC216" s="2" t="str">
        <f>IF(AND(EHR[[#This Row],[BP_Systolic_mmHg]]&lt;140,EHR[[#This Row],[BP_Diastolic_mmHg]]&lt;90),"Controlled",IF(OR(EHR[[#This Row],[BP_Systolic_mmHg]]="Not Recorded",EHR[[#This Row],[BP_Diastolic_mmHg]]="Not Recorded"),"No Reading","Uncontrolled"))</f>
        <v>Uncontrolled</v>
      </c>
      <c r="AD216" s="2" t="str">
        <f>_xlfn.CONCAT(EHR[[#This Row],[BP_Systolic_mmHg]],"/",EHR[[#This Row],[BP_Diastolic_mmHg]])</f>
        <v>180/95</v>
      </c>
      <c r="AE216" s="2">
        <v>123</v>
      </c>
      <c r="AF216" s="2">
        <v>24</v>
      </c>
      <c r="AG216" s="2">
        <v>37.5</v>
      </c>
      <c r="AH216" s="2">
        <v>27.7</v>
      </c>
      <c r="AI216" s="2" t="str">
        <f>IF(EHR[[#This Row],[BMI_kg_m2]]&gt;=30,"Obese","Non-Obese")</f>
        <v>Non-Obese</v>
      </c>
      <c r="AJ216" s="2">
        <v>90</v>
      </c>
      <c r="AK216" s="2" t="s">
        <v>50</v>
      </c>
      <c r="AL216" s="2" t="s">
        <v>51</v>
      </c>
      <c r="AM216" s="2" t="s">
        <v>52</v>
      </c>
      <c r="AN216" s="2" t="s">
        <v>53</v>
      </c>
      <c r="AO216" s="2" t="s">
        <v>54</v>
      </c>
    </row>
    <row r="217" spans="1:41" x14ac:dyDescent="0.2">
      <c r="A217" s="7" t="s">
        <v>852</v>
      </c>
      <c r="B217" s="3" t="s">
        <v>860</v>
      </c>
      <c r="C217" s="14">
        <v>45407</v>
      </c>
      <c r="D217" s="3" t="s">
        <v>88</v>
      </c>
      <c r="E217" s="3" t="s">
        <v>61</v>
      </c>
      <c r="F217" s="3" t="s">
        <v>132</v>
      </c>
      <c r="G217" s="3" t="s">
        <v>39</v>
      </c>
      <c r="H217" s="14">
        <v>29238</v>
      </c>
      <c r="I217" s="3">
        <v>45</v>
      </c>
      <c r="J217" s="3" t="str" cm="1">
        <f t="array" ref="J21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17" s="3" t="s">
        <v>1573</v>
      </c>
      <c r="L217" s="3" t="s">
        <v>42</v>
      </c>
      <c r="M217" s="3" t="s">
        <v>141</v>
      </c>
      <c r="N217" s="3" t="s">
        <v>80</v>
      </c>
      <c r="O217" s="3" t="s">
        <v>81</v>
      </c>
      <c r="P217" s="3" t="s">
        <v>254</v>
      </c>
      <c r="Q217" s="3" t="str">
        <f>_xlfn.XLOOKUP(EHR[[#This Row],[Primary_ICD11_Code]],'03_ICD11_Reference'!A:A,'03_ICD11_Reference'!D:D,,0)</f>
        <v>Respiratory</v>
      </c>
      <c r="R217" s="3" t="s">
        <v>255</v>
      </c>
      <c r="S217" s="3" t="s">
        <v>69</v>
      </c>
      <c r="T217" s="3" t="s">
        <v>862</v>
      </c>
      <c r="U217" s="3">
        <v>3</v>
      </c>
      <c r="V217" s="3" t="str">
        <f>_xlfn.XLOOKUP(EHR[[#This Row],[Encounter_ID]],'02_Lab_Results'!B:B,'02_Lab_Results'!D:D,,0)</f>
        <v>2777-1</v>
      </c>
      <c r="W217" s="3" t="str">
        <f>_xlfn.XLOOKUP(EHR[[#This Row],[LOINC Code]],'04_LOINC_Reference'!A:A,'04_LOINC_Reference'!F:F,,0)</f>
        <v>Biochemistry</v>
      </c>
      <c r="X217" s="3" t="str">
        <f>_xlfn.XLOOKUP(EHR[[#This Row],[LOINC Code]],'02_Lab_Results'!D:D,'02_Lab_Results'!E:E,,0)</f>
        <v>Serum phosphate</v>
      </c>
      <c r="Y217" s="3" t="str">
        <f>_xlfn.XLOOKUP(EHR[[#This Row],[LOINC Code]],'02_Lab_Results'!D:D,'02_Lab_Results'!J:J,,0)</f>
        <v>Normal</v>
      </c>
      <c r="Z217" s="3" t="str" cm="1">
        <f t="array" ref="Z217">_xlfn.XLOOKUP(1,(B217=B$2:B$500)*(V$2:V$500="4548-4"),Y$2:Y$500,"Not Tested")</f>
        <v>Not Tested</v>
      </c>
      <c r="AA217" s="3">
        <v>178</v>
      </c>
      <c r="AB217" s="3">
        <v>108</v>
      </c>
      <c r="AC217" s="3" t="str">
        <f>IF(AND(EHR[[#This Row],[BP_Systolic_mmHg]]&lt;140,EHR[[#This Row],[BP_Diastolic_mmHg]]&lt;90),"Controlled",IF(OR(EHR[[#This Row],[BP_Systolic_mmHg]]="Not Recorded",EHR[[#This Row],[BP_Diastolic_mmHg]]="Not Recorded"),"No Reading","Uncontrolled"))</f>
        <v>Uncontrolled</v>
      </c>
      <c r="AD217" s="3" t="str">
        <f>_xlfn.CONCAT(EHR[[#This Row],[BP_Systolic_mmHg]],"/",EHR[[#This Row],[BP_Diastolic_mmHg]])</f>
        <v>178/108</v>
      </c>
      <c r="AE217" s="3">
        <v>53</v>
      </c>
      <c r="AF217" s="3">
        <v>22</v>
      </c>
      <c r="AG217" s="3">
        <v>36.299999999999997</v>
      </c>
      <c r="AH217" s="3">
        <v>45.1</v>
      </c>
      <c r="AI217" s="3" t="str">
        <f>IF(EHR[[#This Row],[BMI_kg_m2]]&gt;=30,"Obese","Non-Obese")</f>
        <v>Obese</v>
      </c>
      <c r="AJ217" s="3">
        <v>95</v>
      </c>
      <c r="AK217" s="3" t="s">
        <v>50</v>
      </c>
      <c r="AL217" s="3" t="s">
        <v>51</v>
      </c>
      <c r="AM217" s="3" t="s">
        <v>52</v>
      </c>
      <c r="AN217" s="3" t="s">
        <v>53</v>
      </c>
      <c r="AO217" s="3" t="s">
        <v>54</v>
      </c>
    </row>
    <row r="218" spans="1:41" x14ac:dyDescent="0.2">
      <c r="A218" s="6" t="s">
        <v>852</v>
      </c>
      <c r="B218" s="2" t="s">
        <v>863</v>
      </c>
      <c r="C218" s="13">
        <v>45528</v>
      </c>
      <c r="D218" s="2" t="s">
        <v>88</v>
      </c>
      <c r="E218" s="2" t="s">
        <v>61</v>
      </c>
      <c r="F218" s="2" t="s">
        <v>219</v>
      </c>
      <c r="G218" s="2" t="s">
        <v>115</v>
      </c>
      <c r="H218" s="13">
        <v>29238</v>
      </c>
      <c r="I218" s="2">
        <v>45</v>
      </c>
      <c r="J218" s="2" t="str" cm="1">
        <f t="array" ref="J21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18" s="2" t="s">
        <v>1573</v>
      </c>
      <c r="L218" s="2" t="s">
        <v>140</v>
      </c>
      <c r="M218" s="2" t="s">
        <v>141</v>
      </c>
      <c r="N218" s="2" t="s">
        <v>80</v>
      </c>
      <c r="O218" s="2" t="s">
        <v>81</v>
      </c>
      <c r="P218" s="2" t="s">
        <v>254</v>
      </c>
      <c r="Q218" s="2" t="str">
        <f>_xlfn.XLOOKUP(EHR[[#This Row],[Primary_ICD11_Code]],'03_ICD11_Reference'!A:A,'03_ICD11_Reference'!D:D,,0)</f>
        <v>Respiratory</v>
      </c>
      <c r="R218" s="2" t="s">
        <v>255</v>
      </c>
      <c r="S218" s="2" t="s">
        <v>69</v>
      </c>
      <c r="T218" s="2" t="s">
        <v>865</v>
      </c>
      <c r="U218" s="2">
        <v>3</v>
      </c>
      <c r="V218" s="2" t="str">
        <f>_xlfn.XLOOKUP(EHR[[#This Row],[Encounter_ID]],'02_Lab_Results'!B:B,'02_Lab_Results'!D:D,,0)</f>
        <v>6768-6</v>
      </c>
      <c r="W218" s="2" t="str">
        <f>_xlfn.XLOOKUP(EHR[[#This Row],[LOINC Code]],'04_LOINC_Reference'!A:A,'04_LOINC_Reference'!F:F,,0)</f>
        <v>Biochemistry</v>
      </c>
      <c r="X218" s="2" t="str">
        <f>_xlfn.XLOOKUP(EHR[[#This Row],[LOINC Code]],'02_Lab_Results'!D:D,'02_Lab_Results'!E:E,,0)</f>
        <v>ALP</v>
      </c>
      <c r="Y218" s="2" t="str">
        <f>_xlfn.XLOOKUP(EHR[[#This Row],[LOINC Code]],'02_Lab_Results'!D:D,'02_Lab_Results'!J:J,,0)</f>
        <v>High</v>
      </c>
      <c r="Z218" s="2" t="str" cm="1">
        <f t="array" ref="Z218">_xlfn.XLOOKUP(1,(B218=B$2:B$500)*(V$2:V$500="4548-4"),Y$2:Y$500,"Not Tested")</f>
        <v>Not Tested</v>
      </c>
      <c r="AA218" s="2">
        <v>154</v>
      </c>
      <c r="AB218" s="2">
        <v>105</v>
      </c>
      <c r="AC218" s="2" t="str">
        <f>IF(AND(EHR[[#This Row],[BP_Systolic_mmHg]]&lt;140,EHR[[#This Row],[BP_Diastolic_mmHg]]&lt;90),"Controlled",IF(OR(EHR[[#This Row],[BP_Systolic_mmHg]]="Not Recorded",EHR[[#This Row],[BP_Diastolic_mmHg]]="Not Recorded"),"No Reading","Uncontrolled"))</f>
        <v>Uncontrolled</v>
      </c>
      <c r="AD218" s="2" t="str">
        <f>_xlfn.CONCAT(EHR[[#This Row],[BP_Systolic_mmHg]],"/",EHR[[#This Row],[BP_Diastolic_mmHg]])</f>
        <v>154/105</v>
      </c>
      <c r="AE218" s="2">
        <v>89</v>
      </c>
      <c r="AF218" s="2">
        <v>18</v>
      </c>
      <c r="AG218" s="2">
        <v>38.9</v>
      </c>
      <c r="AH218" s="2">
        <v>32.200000000000003</v>
      </c>
      <c r="AI218" s="2" t="str">
        <f>IF(EHR[[#This Row],[BMI_kg_m2]]&gt;=30,"Obese","Non-Obese")</f>
        <v>Obese</v>
      </c>
      <c r="AJ218" s="2">
        <v>92</v>
      </c>
      <c r="AK218" s="2" t="s">
        <v>50</v>
      </c>
      <c r="AL218" s="2" t="s">
        <v>51</v>
      </c>
      <c r="AM218" s="2" t="s">
        <v>52</v>
      </c>
      <c r="AN218" s="2" t="s">
        <v>53</v>
      </c>
      <c r="AO218" s="2" t="s">
        <v>54</v>
      </c>
    </row>
    <row r="219" spans="1:41" x14ac:dyDescent="0.2">
      <c r="A219" s="7" t="s">
        <v>852</v>
      </c>
      <c r="B219" s="3" t="s">
        <v>866</v>
      </c>
      <c r="C219" s="14">
        <v>45005</v>
      </c>
      <c r="D219" s="3" t="s">
        <v>95</v>
      </c>
      <c r="E219" s="3" t="s">
        <v>61</v>
      </c>
      <c r="F219" s="3" t="s">
        <v>97</v>
      </c>
      <c r="G219" s="3" t="s">
        <v>115</v>
      </c>
      <c r="H219" s="14">
        <v>29238</v>
      </c>
      <c r="I219" s="3">
        <v>45</v>
      </c>
      <c r="J219" s="3" t="str" cm="1">
        <f t="array" ref="J21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19" s="3" t="s">
        <v>1573</v>
      </c>
      <c r="L219" s="3" t="s">
        <v>116</v>
      </c>
      <c r="M219" s="3" t="s">
        <v>141</v>
      </c>
      <c r="N219" s="3" t="s">
        <v>80</v>
      </c>
      <c r="O219" s="3" t="s">
        <v>81</v>
      </c>
      <c r="P219" s="3" t="s">
        <v>254</v>
      </c>
      <c r="Q219" s="3" t="str">
        <f>_xlfn.XLOOKUP(EHR[[#This Row],[Primary_ICD11_Code]],'03_ICD11_Reference'!A:A,'03_ICD11_Reference'!D:D,,0)</f>
        <v>Respiratory</v>
      </c>
      <c r="R219" s="3" t="s">
        <v>255</v>
      </c>
      <c r="S219" s="3" t="s">
        <v>69</v>
      </c>
      <c r="T219" s="3" t="s">
        <v>868</v>
      </c>
      <c r="U219" s="3">
        <v>4</v>
      </c>
      <c r="V219" s="3" t="str">
        <f>_xlfn.XLOOKUP(EHR[[#This Row],[Encounter_ID]],'02_Lab_Results'!B:B,'02_Lab_Results'!D:D,,0)</f>
        <v>14627-4</v>
      </c>
      <c r="W219" s="3" t="str">
        <f>_xlfn.XLOOKUP(EHR[[#This Row],[LOINC Code]],'04_LOINC_Reference'!A:A,'04_LOINC_Reference'!F:F,,0)</f>
        <v>Biochemistry</v>
      </c>
      <c r="X219" s="3" t="str">
        <f>_xlfn.XLOOKUP(EHR[[#This Row],[LOINC Code]],'02_Lab_Results'!D:D,'02_Lab_Results'!E:E,,0)</f>
        <v>eGFR (CKD-EPI)</v>
      </c>
      <c r="Y219" s="3" t="str">
        <f>_xlfn.XLOOKUP(EHR[[#This Row],[LOINC Code]],'02_Lab_Results'!D:D,'02_Lab_Results'!J:J,,0)</f>
        <v>High</v>
      </c>
      <c r="Z219" s="3" t="str" cm="1">
        <f t="array" ref="Z219">_xlfn.XLOOKUP(1,(B219=B$2:B$500)*(V$2:V$500="4548-4"),Y$2:Y$500,"Not Tested")</f>
        <v>Not Tested</v>
      </c>
      <c r="AA219" s="3">
        <v>141</v>
      </c>
      <c r="AB219" s="3">
        <v>72</v>
      </c>
      <c r="AC219" s="3" t="str">
        <f>IF(AND(EHR[[#This Row],[BP_Systolic_mmHg]]&lt;140,EHR[[#This Row],[BP_Diastolic_mmHg]]&lt;90),"Controlled",IF(OR(EHR[[#This Row],[BP_Systolic_mmHg]]="Not Recorded",EHR[[#This Row],[BP_Diastolic_mmHg]]="Not Recorded"),"No Reading","Uncontrolled"))</f>
        <v>Uncontrolled</v>
      </c>
      <c r="AD219" s="3" t="str">
        <f>_xlfn.CONCAT(EHR[[#This Row],[BP_Systolic_mmHg]],"/",EHR[[#This Row],[BP_Diastolic_mmHg]])</f>
        <v>141/72</v>
      </c>
      <c r="AE219" s="3">
        <v>61</v>
      </c>
      <c r="AF219" s="3">
        <v>15</v>
      </c>
      <c r="AG219" s="3">
        <v>37.9</v>
      </c>
      <c r="AH219" s="3">
        <v>40.799999999999997</v>
      </c>
      <c r="AI219" s="3" t="str">
        <f>IF(EHR[[#This Row],[BMI_kg_m2]]&gt;=30,"Obese","Non-Obese")</f>
        <v>Obese</v>
      </c>
      <c r="AJ219" s="3">
        <v>96</v>
      </c>
      <c r="AK219" s="3" t="s">
        <v>50</v>
      </c>
      <c r="AL219" s="3" t="s">
        <v>51</v>
      </c>
      <c r="AM219" s="3" t="s">
        <v>52</v>
      </c>
      <c r="AN219" s="3" t="s">
        <v>53</v>
      </c>
      <c r="AO219" s="3" t="s">
        <v>54</v>
      </c>
    </row>
    <row r="220" spans="1:41" x14ac:dyDescent="0.2">
      <c r="A220" s="6" t="s">
        <v>869</v>
      </c>
      <c r="B220" s="2" t="s">
        <v>870</v>
      </c>
      <c r="C220" s="13">
        <v>45077</v>
      </c>
      <c r="D220" s="2" t="s">
        <v>88</v>
      </c>
      <c r="E220" s="2" t="s">
        <v>96</v>
      </c>
      <c r="F220" s="2" t="s">
        <v>219</v>
      </c>
      <c r="G220" s="2" t="s">
        <v>115</v>
      </c>
      <c r="H220" s="13">
        <v>38444</v>
      </c>
      <c r="I220" s="2">
        <v>20</v>
      </c>
      <c r="J220" s="2" t="str" cm="1">
        <f t="array" ref="J22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0" s="2" t="s">
        <v>1573</v>
      </c>
      <c r="L220" s="2" t="s">
        <v>140</v>
      </c>
      <c r="M220" s="2" t="s">
        <v>43</v>
      </c>
      <c r="N220" s="2" t="s">
        <v>80</v>
      </c>
      <c r="O220" s="2" t="s">
        <v>45</v>
      </c>
      <c r="P220" s="2" t="s">
        <v>305</v>
      </c>
      <c r="Q220" s="2" t="str">
        <f>_xlfn.XLOOKUP(EHR[[#This Row],[Primary_ICD11_Code]],'03_ICD11_Reference'!A:A,'03_ICD11_Reference'!D:D,,0)</f>
        <v>Infectious</v>
      </c>
      <c r="R220" s="2" t="s">
        <v>306</v>
      </c>
      <c r="S220" s="2" t="s">
        <v>48</v>
      </c>
      <c r="T220" s="2" t="s">
        <v>873</v>
      </c>
      <c r="U220" s="2">
        <v>3</v>
      </c>
      <c r="V220" s="2" t="str">
        <f>_xlfn.XLOOKUP(EHR[[#This Row],[Encounter_ID]],'02_Lab_Results'!B:B,'02_Lab_Results'!D:D,,0)</f>
        <v>2777-1</v>
      </c>
      <c r="W220" s="2" t="str">
        <f>_xlfn.XLOOKUP(EHR[[#This Row],[LOINC Code]],'04_LOINC_Reference'!A:A,'04_LOINC_Reference'!F:F,,0)</f>
        <v>Biochemistry</v>
      </c>
      <c r="X220" s="2" t="str">
        <f>_xlfn.XLOOKUP(EHR[[#This Row],[LOINC Code]],'02_Lab_Results'!D:D,'02_Lab_Results'!E:E,,0)</f>
        <v>Serum phosphate</v>
      </c>
      <c r="Y220" s="2" t="str">
        <f>_xlfn.XLOOKUP(EHR[[#This Row],[LOINC Code]],'02_Lab_Results'!D:D,'02_Lab_Results'!J:J,,0)</f>
        <v>Normal</v>
      </c>
      <c r="Z220" s="2" t="str" cm="1">
        <f t="array" ref="Z220">_xlfn.XLOOKUP(1,(B220=B$2:B$500)*(V$2:V$500="4548-4"),Y$2:Y$500,"Not Tested")</f>
        <v>Not Tested</v>
      </c>
      <c r="AA220" s="2">
        <v>100</v>
      </c>
      <c r="AB220" s="2">
        <v>70</v>
      </c>
      <c r="AC220" s="2" t="str">
        <f>IF(AND(EHR[[#This Row],[BP_Systolic_mmHg]]&lt;140,EHR[[#This Row],[BP_Diastolic_mmHg]]&lt;90),"Controlled",IF(OR(EHR[[#This Row],[BP_Systolic_mmHg]]="Not Recorded",EHR[[#This Row],[BP_Diastolic_mmHg]]="Not Recorded"),"No Reading","Uncontrolled"))</f>
        <v>Controlled</v>
      </c>
      <c r="AD220" s="2" t="str">
        <f>_xlfn.CONCAT(EHR[[#This Row],[BP_Systolic_mmHg]],"/",EHR[[#This Row],[BP_Diastolic_mmHg]])</f>
        <v>100/70</v>
      </c>
      <c r="AE220" s="2">
        <v>64</v>
      </c>
      <c r="AF220" s="2">
        <v>27</v>
      </c>
      <c r="AG220" s="2">
        <v>37.9</v>
      </c>
      <c r="AH220" s="2">
        <v>33.6</v>
      </c>
      <c r="AI220" s="2" t="str">
        <f>IF(EHR[[#This Row],[BMI_kg_m2]]&gt;=30,"Obese","Non-Obese")</f>
        <v>Obese</v>
      </c>
      <c r="AJ220" s="2">
        <v>87</v>
      </c>
      <c r="AK220" s="2" t="s">
        <v>50</v>
      </c>
      <c r="AL220" s="2" t="s">
        <v>51</v>
      </c>
      <c r="AM220" s="2" t="s">
        <v>52</v>
      </c>
      <c r="AN220" s="2" t="s">
        <v>53</v>
      </c>
      <c r="AO220" s="2" t="s">
        <v>54</v>
      </c>
    </row>
    <row r="221" spans="1:41" x14ac:dyDescent="0.2">
      <c r="A221" s="7" t="s">
        <v>869</v>
      </c>
      <c r="B221" s="3" t="s">
        <v>874</v>
      </c>
      <c r="C221" s="14">
        <v>45347</v>
      </c>
      <c r="D221" s="3" t="s">
        <v>103</v>
      </c>
      <c r="E221" s="3" t="s">
        <v>96</v>
      </c>
      <c r="F221" s="3" t="s">
        <v>132</v>
      </c>
      <c r="G221" s="3" t="s">
        <v>115</v>
      </c>
      <c r="H221" s="14">
        <v>38444</v>
      </c>
      <c r="I221" s="3">
        <v>20</v>
      </c>
      <c r="J221" s="3" t="str" cm="1">
        <f t="array" ref="J22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1" s="3" t="s">
        <v>1573</v>
      </c>
      <c r="L221" s="3" t="s">
        <v>110</v>
      </c>
      <c r="M221" s="3" t="s">
        <v>43</v>
      </c>
      <c r="N221" s="3" t="s">
        <v>80</v>
      </c>
      <c r="O221" s="3" t="s">
        <v>45</v>
      </c>
      <c r="P221" s="3" t="s">
        <v>305</v>
      </c>
      <c r="Q221" s="3" t="str">
        <f>_xlfn.XLOOKUP(EHR[[#This Row],[Primary_ICD11_Code]],'03_ICD11_Reference'!A:A,'03_ICD11_Reference'!D:D,,0)</f>
        <v>Infectious</v>
      </c>
      <c r="R221" s="3" t="s">
        <v>306</v>
      </c>
      <c r="S221" s="3" t="s">
        <v>48</v>
      </c>
      <c r="T221" s="3" t="s">
        <v>876</v>
      </c>
      <c r="U221" s="3">
        <v>3</v>
      </c>
      <c r="V221" s="3" t="str">
        <f>_xlfn.XLOOKUP(EHR[[#This Row],[Encounter_ID]],'02_Lab_Results'!B:B,'02_Lab_Results'!D:D,,0)</f>
        <v>718-7</v>
      </c>
      <c r="W221" s="3" t="str">
        <f>_xlfn.XLOOKUP(EHR[[#This Row],[LOINC Code]],'04_LOINC_Reference'!A:A,'04_LOINC_Reference'!F:F,,0)</f>
        <v>Biochemistry</v>
      </c>
      <c r="X221" s="3" t="str">
        <f>_xlfn.XLOOKUP(EHR[[#This Row],[LOINC Code]],'02_Lab_Results'!D:D,'02_Lab_Results'!E:E,,0)</f>
        <v>Haemoglobin</v>
      </c>
      <c r="Y221" s="3" t="str">
        <f>_xlfn.XLOOKUP(EHR[[#This Row],[LOINC Code]],'02_Lab_Results'!D:D,'02_Lab_Results'!J:J,,0)</f>
        <v>Normal</v>
      </c>
      <c r="Z221" s="3" t="str" cm="1">
        <f t="array" ref="Z221">_xlfn.XLOOKUP(1,(B221=B$2:B$500)*(V$2:V$500="4548-4"),Y$2:Y$500,"Not Tested")</f>
        <v>Not Tested</v>
      </c>
      <c r="AA221" s="3">
        <v>149</v>
      </c>
      <c r="AB221" s="3">
        <v>103</v>
      </c>
      <c r="AC221" s="3" t="str">
        <f>IF(AND(EHR[[#This Row],[BP_Systolic_mmHg]]&lt;140,EHR[[#This Row],[BP_Diastolic_mmHg]]&lt;90),"Controlled",IF(OR(EHR[[#This Row],[BP_Systolic_mmHg]]="Not Recorded",EHR[[#This Row],[BP_Diastolic_mmHg]]="Not Recorded"),"No Reading","Uncontrolled"))</f>
        <v>Uncontrolled</v>
      </c>
      <c r="AD221" s="3" t="str">
        <f>_xlfn.CONCAT(EHR[[#This Row],[BP_Systolic_mmHg]],"/",EHR[[#This Row],[BP_Diastolic_mmHg]])</f>
        <v>149/103</v>
      </c>
      <c r="AE221" s="3">
        <v>112</v>
      </c>
      <c r="AF221" s="3">
        <v>15</v>
      </c>
      <c r="AG221" s="3">
        <v>38.1</v>
      </c>
      <c r="AH221" s="3">
        <v>25</v>
      </c>
      <c r="AI221" s="3" t="str">
        <f>IF(EHR[[#This Row],[BMI_kg_m2]]&gt;=30,"Obese","Non-Obese")</f>
        <v>Non-Obese</v>
      </c>
      <c r="AJ221" s="3">
        <v>96</v>
      </c>
      <c r="AK221" s="3" t="s">
        <v>50</v>
      </c>
      <c r="AL221" s="3" t="s">
        <v>51</v>
      </c>
      <c r="AM221" s="3" t="s">
        <v>52</v>
      </c>
      <c r="AN221" s="3" t="s">
        <v>53</v>
      </c>
      <c r="AO221" s="3" t="s">
        <v>54</v>
      </c>
    </row>
    <row r="222" spans="1:41" x14ac:dyDescent="0.2">
      <c r="A222" s="6" t="s">
        <v>869</v>
      </c>
      <c r="B222" s="2" t="s">
        <v>877</v>
      </c>
      <c r="C222" s="13">
        <v>44943</v>
      </c>
      <c r="D222" s="2" t="s">
        <v>88</v>
      </c>
      <c r="E222" s="2" t="s">
        <v>37</v>
      </c>
      <c r="F222" s="2" t="s">
        <v>122</v>
      </c>
      <c r="G222" s="2" t="s">
        <v>98</v>
      </c>
      <c r="H222" s="13">
        <v>38444</v>
      </c>
      <c r="I222" s="2">
        <v>20</v>
      </c>
      <c r="J222" s="2" t="str" cm="1">
        <f t="array" ref="J22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2" s="2" t="s">
        <v>1573</v>
      </c>
      <c r="L222" s="2" t="s">
        <v>116</v>
      </c>
      <c r="M222" s="2" t="s">
        <v>43</v>
      </c>
      <c r="N222" s="2" t="s">
        <v>80</v>
      </c>
      <c r="O222" s="2" t="s">
        <v>45</v>
      </c>
      <c r="P222" s="2" t="s">
        <v>305</v>
      </c>
      <c r="Q222" s="2" t="str">
        <f>_xlfn.XLOOKUP(EHR[[#This Row],[Primary_ICD11_Code]],'03_ICD11_Reference'!A:A,'03_ICD11_Reference'!D:D,,0)</f>
        <v>Infectious</v>
      </c>
      <c r="R222" s="2" t="s">
        <v>306</v>
      </c>
      <c r="S222" s="2" t="s">
        <v>48</v>
      </c>
      <c r="T222" s="2" t="s">
        <v>268</v>
      </c>
      <c r="U222" s="2">
        <v>1</v>
      </c>
      <c r="V222" s="2" t="str">
        <f>_xlfn.XLOOKUP(EHR[[#This Row],[Encounter_ID]],'02_Lab_Results'!B:B,'02_Lab_Results'!D:D,,0)</f>
        <v>789-8</v>
      </c>
      <c r="W222" s="2" t="str">
        <f>_xlfn.XLOOKUP(EHR[[#This Row],[LOINC Code]],'04_LOINC_Reference'!A:A,'04_LOINC_Reference'!F:F,,0)</f>
        <v>Biochemistry</v>
      </c>
      <c r="X222" s="2" t="str">
        <f>_xlfn.XLOOKUP(EHR[[#This Row],[LOINC Code]],'02_Lab_Results'!D:D,'02_Lab_Results'!E:E,,0)</f>
        <v>RBC count</v>
      </c>
      <c r="Y222" s="2" t="str">
        <f>_xlfn.XLOOKUP(EHR[[#This Row],[LOINC Code]],'02_Lab_Results'!D:D,'02_Lab_Results'!J:J,,0)</f>
        <v>High</v>
      </c>
      <c r="Z222" s="2" t="str" cm="1">
        <f t="array" ref="Z222">_xlfn.XLOOKUP(1,(B222=B$2:B$500)*(V$2:V$500="4548-4"),Y$2:Y$500,"Not Tested")</f>
        <v>Not Tested</v>
      </c>
      <c r="AA222" s="2">
        <v>113</v>
      </c>
      <c r="AB222" s="2">
        <v>107</v>
      </c>
      <c r="AC222" s="2" t="str">
        <f>IF(AND(EHR[[#This Row],[BP_Systolic_mmHg]]&lt;140,EHR[[#This Row],[BP_Diastolic_mmHg]]&lt;90),"Controlled",IF(OR(EHR[[#This Row],[BP_Systolic_mmHg]]="Not Recorded",EHR[[#This Row],[BP_Diastolic_mmHg]]="Not Recorded"),"No Reading","Uncontrolled"))</f>
        <v>Uncontrolled</v>
      </c>
      <c r="AD222" s="2" t="str">
        <f>_xlfn.CONCAT(EHR[[#This Row],[BP_Systolic_mmHg]],"/",EHR[[#This Row],[BP_Diastolic_mmHg]])</f>
        <v>113/107</v>
      </c>
      <c r="AE222" s="2">
        <v>88</v>
      </c>
      <c r="AF222" s="2">
        <v>19</v>
      </c>
      <c r="AG222" s="2">
        <v>36.5</v>
      </c>
      <c r="AH222" s="2">
        <v>20.2</v>
      </c>
      <c r="AI222" s="2" t="str">
        <f>IF(EHR[[#This Row],[BMI_kg_m2]]&gt;=30,"Obese","Non-Obese")</f>
        <v>Non-Obese</v>
      </c>
      <c r="AJ222" s="2">
        <v>93</v>
      </c>
      <c r="AK222" s="2" t="s">
        <v>50</v>
      </c>
      <c r="AL222" s="2" t="s">
        <v>51</v>
      </c>
      <c r="AM222" s="2" t="s">
        <v>52</v>
      </c>
      <c r="AN222" s="2" t="s">
        <v>53</v>
      </c>
      <c r="AO222" s="2" t="s">
        <v>54</v>
      </c>
    </row>
    <row r="223" spans="1:41" x14ac:dyDescent="0.2">
      <c r="A223" s="7" t="s">
        <v>879</v>
      </c>
      <c r="B223" s="3" t="s">
        <v>880</v>
      </c>
      <c r="C223" s="14">
        <v>45366</v>
      </c>
      <c r="D223" s="3" t="s">
        <v>103</v>
      </c>
      <c r="E223" s="3" t="s">
        <v>167</v>
      </c>
      <c r="F223" s="3" t="s">
        <v>219</v>
      </c>
      <c r="G223" s="3" t="s">
        <v>138</v>
      </c>
      <c r="H223" s="14">
        <v>39407</v>
      </c>
      <c r="I223" s="3">
        <v>18</v>
      </c>
      <c r="J223" s="3" t="str" cm="1">
        <f t="array" ref="J22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3" s="3" t="s">
        <v>1572</v>
      </c>
      <c r="L223" s="3" t="s">
        <v>66</v>
      </c>
      <c r="M223" s="3" t="s">
        <v>141</v>
      </c>
      <c r="N223" s="3" t="s">
        <v>125</v>
      </c>
      <c r="O223" s="3" t="s">
        <v>45</v>
      </c>
      <c r="P223" s="3" t="s">
        <v>126</v>
      </c>
      <c r="Q223" s="3" t="str">
        <f>_xlfn.XLOOKUP(EHR[[#This Row],[Primary_ICD11_Code]],'03_ICD11_Reference'!A:A,'03_ICD11_Reference'!D:D,,0)</f>
        <v>Neurological</v>
      </c>
      <c r="R223" s="3" t="s">
        <v>127</v>
      </c>
      <c r="S223" s="3" t="s">
        <v>69</v>
      </c>
      <c r="T223" s="3" t="s">
        <v>159</v>
      </c>
      <c r="U223" s="3">
        <v>1</v>
      </c>
      <c r="V223" s="3" t="str">
        <f>_xlfn.XLOOKUP(EHR[[#This Row],[Encounter_ID]],'02_Lab_Results'!B:B,'02_Lab_Results'!D:D,,0)</f>
        <v>2345-7</v>
      </c>
      <c r="W223" s="3" t="str">
        <f>_xlfn.XLOOKUP(EHR[[#This Row],[LOINC Code]],'04_LOINC_Reference'!A:A,'04_LOINC_Reference'!F:F,,0)</f>
        <v>Biochemistry</v>
      </c>
      <c r="X223" s="3" t="str">
        <f>_xlfn.XLOOKUP(EHR[[#This Row],[LOINC Code]],'02_Lab_Results'!D:D,'02_Lab_Results'!E:E,,0)</f>
        <v>Serum glucose (fasting)</v>
      </c>
      <c r="Y223" s="3" t="str">
        <f>_xlfn.XLOOKUP(EHR[[#This Row],[LOINC Code]],'02_Lab_Results'!D:D,'02_Lab_Results'!J:J,,0)</f>
        <v>Normal</v>
      </c>
      <c r="Z223" s="3" t="str" cm="1">
        <f t="array" ref="Z223">_xlfn.XLOOKUP(1,(B223=B$2:B$500)*(V$2:V$500="4548-4"),Y$2:Y$500,"Not Tested")</f>
        <v>Not Tested</v>
      </c>
      <c r="AA223" s="3">
        <v>116</v>
      </c>
      <c r="AB223" s="3">
        <v>103</v>
      </c>
      <c r="AC223" s="3" t="str">
        <f>IF(AND(EHR[[#This Row],[BP_Systolic_mmHg]]&lt;140,EHR[[#This Row],[BP_Diastolic_mmHg]]&lt;90),"Controlled",IF(OR(EHR[[#This Row],[BP_Systolic_mmHg]]="Not Recorded",EHR[[#This Row],[BP_Diastolic_mmHg]]="Not Recorded"),"No Reading","Uncontrolled"))</f>
        <v>Uncontrolled</v>
      </c>
      <c r="AD223" s="3" t="str">
        <f>_xlfn.CONCAT(EHR[[#This Row],[BP_Systolic_mmHg]],"/",EHR[[#This Row],[BP_Diastolic_mmHg]])</f>
        <v>116/103</v>
      </c>
      <c r="AE223" s="3">
        <v>109</v>
      </c>
      <c r="AF223" s="3">
        <v>18</v>
      </c>
      <c r="AG223" s="3">
        <v>37.9</v>
      </c>
      <c r="AH223" s="3">
        <v>38.6</v>
      </c>
      <c r="AI223" s="3" t="str">
        <f>IF(EHR[[#This Row],[BMI_kg_m2]]&gt;=30,"Obese","Non-Obese")</f>
        <v>Obese</v>
      </c>
      <c r="AJ223" s="3">
        <v>97</v>
      </c>
      <c r="AK223" s="3" t="s">
        <v>50</v>
      </c>
      <c r="AL223" s="3" t="s">
        <v>51</v>
      </c>
      <c r="AM223" s="3" t="s">
        <v>52</v>
      </c>
      <c r="AN223" s="3" t="s">
        <v>53</v>
      </c>
      <c r="AO223" s="3" t="s">
        <v>54</v>
      </c>
    </row>
    <row r="224" spans="1:41" x14ac:dyDescent="0.2">
      <c r="A224" s="6" t="s">
        <v>879</v>
      </c>
      <c r="B224" s="2" t="s">
        <v>883</v>
      </c>
      <c r="C224" s="13">
        <v>45012</v>
      </c>
      <c r="D224" s="2" t="s">
        <v>60</v>
      </c>
      <c r="E224" s="2" t="s">
        <v>96</v>
      </c>
      <c r="F224" s="2" t="s">
        <v>189</v>
      </c>
      <c r="G224" s="2" t="s">
        <v>76</v>
      </c>
      <c r="H224" s="13">
        <v>39407</v>
      </c>
      <c r="I224" s="2">
        <v>18</v>
      </c>
      <c r="J224" s="2" t="str" cm="1">
        <f t="array" ref="J22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4" s="2" t="s">
        <v>1572</v>
      </c>
      <c r="L224" s="2" t="s">
        <v>78</v>
      </c>
      <c r="M224" s="2" t="s">
        <v>141</v>
      </c>
      <c r="N224" s="2" t="s">
        <v>125</v>
      </c>
      <c r="O224" s="2" t="s">
        <v>45</v>
      </c>
      <c r="P224" s="2" t="s">
        <v>126</v>
      </c>
      <c r="Q224" s="2" t="str">
        <f>_xlfn.XLOOKUP(EHR[[#This Row],[Primary_ICD11_Code]],'03_ICD11_Reference'!A:A,'03_ICD11_Reference'!D:D,,0)</f>
        <v>Neurological</v>
      </c>
      <c r="R224" s="2" t="s">
        <v>127</v>
      </c>
      <c r="S224" s="2" t="s">
        <v>69</v>
      </c>
      <c r="T224" s="2" t="s">
        <v>885</v>
      </c>
      <c r="U224" s="2">
        <v>1</v>
      </c>
      <c r="V224" s="2" t="str">
        <f>_xlfn.XLOOKUP(EHR[[#This Row],[Encounter_ID]],'02_Lab_Results'!B:B,'02_Lab_Results'!D:D,,0)</f>
        <v>13457-7</v>
      </c>
      <c r="W224" s="2" t="str">
        <f>_xlfn.XLOOKUP(EHR[[#This Row],[LOINC Code]],'04_LOINC_Reference'!A:A,'04_LOINC_Reference'!F:F,,0)</f>
        <v>Biochemistry</v>
      </c>
      <c r="X224" s="2" t="str">
        <f>_xlfn.XLOOKUP(EHR[[#This Row],[LOINC Code]],'02_Lab_Results'!D:D,'02_Lab_Results'!E:E,,0)</f>
        <v>LDL cholesterol</v>
      </c>
      <c r="Y224" s="2" t="str">
        <f>_xlfn.XLOOKUP(EHR[[#This Row],[LOINC Code]],'02_Lab_Results'!D:D,'02_Lab_Results'!J:J,,0)</f>
        <v>High</v>
      </c>
      <c r="Z224" s="2" t="str" cm="1">
        <f t="array" ref="Z224">_xlfn.XLOOKUP(1,(B224=B$2:B$500)*(V$2:V$500="4548-4"),Y$2:Y$500,"Not Tested")</f>
        <v>Not Tested</v>
      </c>
      <c r="AA224" s="2">
        <v>120</v>
      </c>
      <c r="AB224" s="2">
        <v>108</v>
      </c>
      <c r="AC224" s="2" t="str">
        <f>IF(AND(EHR[[#This Row],[BP_Systolic_mmHg]]&lt;140,EHR[[#This Row],[BP_Diastolic_mmHg]]&lt;90),"Controlled",IF(OR(EHR[[#This Row],[BP_Systolic_mmHg]]="Not Recorded",EHR[[#This Row],[BP_Diastolic_mmHg]]="Not Recorded"),"No Reading","Uncontrolled"))</f>
        <v>Uncontrolled</v>
      </c>
      <c r="AD224" s="2" t="str">
        <f>_xlfn.CONCAT(EHR[[#This Row],[BP_Systolic_mmHg]],"/",EHR[[#This Row],[BP_Diastolic_mmHg]])</f>
        <v>120/108</v>
      </c>
      <c r="AE224" s="2">
        <v>81</v>
      </c>
      <c r="AF224" s="2">
        <v>15</v>
      </c>
      <c r="AG224" s="2">
        <v>38.299999999999997</v>
      </c>
      <c r="AH224" s="2">
        <v>40</v>
      </c>
      <c r="AI224" s="2" t="str">
        <f>IF(EHR[[#This Row],[BMI_kg_m2]]&gt;=30,"Obese","Non-Obese")</f>
        <v>Obese</v>
      </c>
      <c r="AJ224" s="2">
        <v>95</v>
      </c>
      <c r="AK224" s="2" t="s">
        <v>50</v>
      </c>
      <c r="AL224" s="2" t="s">
        <v>51</v>
      </c>
      <c r="AM224" s="2" t="s">
        <v>52</v>
      </c>
      <c r="AN224" s="2" t="s">
        <v>53</v>
      </c>
      <c r="AO224" s="2" t="s">
        <v>54</v>
      </c>
    </row>
    <row r="225" spans="1:41" x14ac:dyDescent="0.2">
      <c r="A225" s="7" t="s">
        <v>879</v>
      </c>
      <c r="B225" s="3" t="s">
        <v>886</v>
      </c>
      <c r="C225" s="14">
        <v>45297</v>
      </c>
      <c r="D225" s="3" t="s">
        <v>103</v>
      </c>
      <c r="E225" s="3" t="s">
        <v>167</v>
      </c>
      <c r="F225" s="3" t="s">
        <v>148</v>
      </c>
      <c r="G225" s="3" t="s">
        <v>98</v>
      </c>
      <c r="H225" s="14">
        <v>39407</v>
      </c>
      <c r="I225" s="3">
        <v>18</v>
      </c>
      <c r="J225" s="3" t="str" cm="1">
        <f t="array" ref="J22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5" s="3" t="s">
        <v>1572</v>
      </c>
      <c r="L225" s="3" t="s">
        <v>42</v>
      </c>
      <c r="M225" s="3" t="s">
        <v>141</v>
      </c>
      <c r="N225" s="3" t="s">
        <v>125</v>
      </c>
      <c r="O225" s="3" t="s">
        <v>45</v>
      </c>
      <c r="P225" s="3" t="s">
        <v>126</v>
      </c>
      <c r="Q225" s="3" t="str">
        <f>_xlfn.XLOOKUP(EHR[[#This Row],[Primary_ICD11_Code]],'03_ICD11_Reference'!A:A,'03_ICD11_Reference'!D:D,,0)</f>
        <v>Neurological</v>
      </c>
      <c r="R225" s="3" t="s">
        <v>127</v>
      </c>
      <c r="S225" s="3" t="s">
        <v>69</v>
      </c>
      <c r="T225" s="3" t="s">
        <v>888</v>
      </c>
      <c r="U225" s="3">
        <v>4</v>
      </c>
      <c r="V225" s="3" t="str">
        <f>_xlfn.XLOOKUP(EHR[[#This Row],[Encounter_ID]],'02_Lab_Results'!B:B,'02_Lab_Results'!D:D,,0)</f>
        <v>14627-4</v>
      </c>
      <c r="W225" s="3" t="str">
        <f>_xlfn.XLOOKUP(EHR[[#This Row],[LOINC Code]],'04_LOINC_Reference'!A:A,'04_LOINC_Reference'!F:F,,0)</f>
        <v>Biochemistry</v>
      </c>
      <c r="X225" s="3" t="str">
        <f>_xlfn.XLOOKUP(EHR[[#This Row],[LOINC Code]],'02_Lab_Results'!D:D,'02_Lab_Results'!E:E,,0)</f>
        <v>eGFR (CKD-EPI)</v>
      </c>
      <c r="Y225" s="3" t="str">
        <f>_xlfn.XLOOKUP(EHR[[#This Row],[LOINC Code]],'02_Lab_Results'!D:D,'02_Lab_Results'!J:J,,0)</f>
        <v>High</v>
      </c>
      <c r="Z225" s="3" t="str" cm="1">
        <f t="array" ref="Z225">_xlfn.XLOOKUP(1,(B225=B$2:B$500)*(V$2:V$500="4548-4"),Y$2:Y$500,"Not Tested")</f>
        <v>Not Tested</v>
      </c>
      <c r="AA225" s="3">
        <v>105</v>
      </c>
      <c r="AB225" s="3">
        <v>81</v>
      </c>
      <c r="AC225" s="3" t="str">
        <f>IF(AND(EHR[[#This Row],[BP_Systolic_mmHg]]&lt;140,EHR[[#This Row],[BP_Diastolic_mmHg]]&lt;90),"Controlled",IF(OR(EHR[[#This Row],[BP_Systolic_mmHg]]="Not Recorded",EHR[[#This Row],[BP_Diastolic_mmHg]]="Not Recorded"),"No Reading","Uncontrolled"))</f>
        <v>Controlled</v>
      </c>
      <c r="AD225" s="3" t="str">
        <f>_xlfn.CONCAT(EHR[[#This Row],[BP_Systolic_mmHg]],"/",EHR[[#This Row],[BP_Diastolic_mmHg]])</f>
        <v>105/81</v>
      </c>
      <c r="AE225" s="3">
        <v>94</v>
      </c>
      <c r="AF225" s="3">
        <v>16</v>
      </c>
      <c r="AG225" s="3">
        <v>37.700000000000003</v>
      </c>
      <c r="AH225" s="3">
        <v>33.6</v>
      </c>
      <c r="AI225" s="3" t="str">
        <f>IF(EHR[[#This Row],[BMI_kg_m2]]&gt;=30,"Obese","Non-Obese")</f>
        <v>Obese</v>
      </c>
      <c r="AJ225" s="3">
        <v>95</v>
      </c>
      <c r="AK225" s="3" t="s">
        <v>50</v>
      </c>
      <c r="AL225" s="3" t="s">
        <v>51</v>
      </c>
      <c r="AM225" s="3" t="s">
        <v>52</v>
      </c>
      <c r="AN225" s="3" t="s">
        <v>53</v>
      </c>
      <c r="AO225" s="3" t="s">
        <v>54</v>
      </c>
    </row>
    <row r="226" spans="1:41" x14ac:dyDescent="0.2">
      <c r="A226" s="6" t="s">
        <v>879</v>
      </c>
      <c r="B226" s="2" t="s">
        <v>889</v>
      </c>
      <c r="C226" s="13">
        <v>45241</v>
      </c>
      <c r="D226" s="2" t="s">
        <v>88</v>
      </c>
      <c r="E226" s="2" t="s">
        <v>96</v>
      </c>
      <c r="F226" s="2" t="s">
        <v>109</v>
      </c>
      <c r="G226" s="2" t="s">
        <v>123</v>
      </c>
      <c r="H226" s="13">
        <v>39407</v>
      </c>
      <c r="I226" s="2">
        <v>18</v>
      </c>
      <c r="J226" s="2" t="str" cm="1">
        <f t="array" ref="J22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6" s="2" t="s">
        <v>1572</v>
      </c>
      <c r="L226" s="2" t="s">
        <v>140</v>
      </c>
      <c r="M226" s="2" t="s">
        <v>141</v>
      </c>
      <c r="N226" s="2" t="s">
        <v>125</v>
      </c>
      <c r="O226" s="2" t="s">
        <v>45</v>
      </c>
      <c r="P226" s="2" t="s">
        <v>126</v>
      </c>
      <c r="Q226" s="2" t="str">
        <f>_xlfn.XLOOKUP(EHR[[#This Row],[Primary_ICD11_Code]],'03_ICD11_Reference'!A:A,'03_ICD11_Reference'!D:D,,0)</f>
        <v>Neurological</v>
      </c>
      <c r="R226" s="2" t="s">
        <v>127</v>
      </c>
      <c r="S226" s="2" t="s">
        <v>69</v>
      </c>
      <c r="T226" s="2" t="s">
        <v>891</v>
      </c>
      <c r="U226" s="2">
        <v>2</v>
      </c>
      <c r="V226" s="2" t="str">
        <f>_xlfn.XLOOKUP(EHR[[#This Row],[Encounter_ID]],'02_Lab_Results'!B:B,'02_Lab_Results'!D:D,,0)</f>
        <v>2085-9</v>
      </c>
      <c r="W226" s="2" t="str">
        <f>_xlfn.XLOOKUP(EHR[[#This Row],[LOINC Code]],'04_LOINC_Reference'!A:A,'04_LOINC_Reference'!F:F,,0)</f>
        <v>Biochemistry</v>
      </c>
      <c r="X226" s="2" t="str">
        <f>_xlfn.XLOOKUP(EHR[[#This Row],[LOINC Code]],'02_Lab_Results'!D:D,'02_Lab_Results'!E:E,,0)</f>
        <v>HDL cholesterol</v>
      </c>
      <c r="Y226" s="2" t="str">
        <f>_xlfn.XLOOKUP(EHR[[#This Row],[LOINC Code]],'02_Lab_Results'!D:D,'02_Lab_Results'!J:J,,0)</f>
        <v>Normal</v>
      </c>
      <c r="Z226" s="2" t="str" cm="1">
        <f t="array" ref="Z226">_xlfn.XLOOKUP(1,(B226=B$2:B$500)*(V$2:V$500="4548-4"),Y$2:Y$500,"Not Tested")</f>
        <v>Not Tested</v>
      </c>
      <c r="AA226" s="2">
        <v>147</v>
      </c>
      <c r="AB226" s="2">
        <v>101</v>
      </c>
      <c r="AC226" s="2" t="str">
        <f>IF(AND(EHR[[#This Row],[BP_Systolic_mmHg]]&lt;140,EHR[[#This Row],[BP_Diastolic_mmHg]]&lt;90),"Controlled",IF(OR(EHR[[#This Row],[BP_Systolic_mmHg]]="Not Recorded",EHR[[#This Row],[BP_Diastolic_mmHg]]="Not Recorded"),"No Reading","Uncontrolled"))</f>
        <v>Uncontrolled</v>
      </c>
      <c r="AD226" s="2" t="str">
        <f>_xlfn.CONCAT(EHR[[#This Row],[BP_Systolic_mmHg]],"/",EHR[[#This Row],[BP_Diastolic_mmHg]])</f>
        <v>147/101</v>
      </c>
      <c r="AE226" s="2">
        <v>80</v>
      </c>
      <c r="AF226" s="2">
        <v>14</v>
      </c>
      <c r="AG226" s="2">
        <v>38.799999999999997</v>
      </c>
      <c r="AH226" s="2">
        <v>20.9</v>
      </c>
      <c r="AI226" s="2" t="str">
        <f>IF(EHR[[#This Row],[BMI_kg_m2]]&gt;=30,"Obese","Non-Obese")</f>
        <v>Non-Obese</v>
      </c>
      <c r="AJ226" s="2">
        <v>90</v>
      </c>
      <c r="AK226" s="2" t="s">
        <v>50</v>
      </c>
      <c r="AL226" s="2" t="s">
        <v>51</v>
      </c>
      <c r="AM226" s="2" t="s">
        <v>52</v>
      </c>
      <c r="AN226" s="2" t="s">
        <v>53</v>
      </c>
      <c r="AO226" s="2" t="s">
        <v>54</v>
      </c>
    </row>
    <row r="227" spans="1:41" x14ac:dyDescent="0.2">
      <c r="A227" s="7" t="s">
        <v>879</v>
      </c>
      <c r="B227" s="3" t="s">
        <v>892</v>
      </c>
      <c r="C227" s="14">
        <v>45325</v>
      </c>
      <c r="D227" s="3" t="s">
        <v>88</v>
      </c>
      <c r="E227" s="3" t="s">
        <v>37</v>
      </c>
      <c r="F227" s="3" t="s">
        <v>132</v>
      </c>
      <c r="G227" s="3" t="s">
        <v>39</v>
      </c>
      <c r="H227" s="14">
        <v>39407</v>
      </c>
      <c r="I227" s="3">
        <v>18</v>
      </c>
      <c r="J227" s="3" t="str" cm="1">
        <f t="array" ref="J22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7" s="3" t="s">
        <v>1572</v>
      </c>
      <c r="L227" s="3" t="s">
        <v>90</v>
      </c>
      <c r="M227" s="3" t="s">
        <v>141</v>
      </c>
      <c r="N227" s="3" t="s">
        <v>125</v>
      </c>
      <c r="O227" s="3" t="s">
        <v>45</v>
      </c>
      <c r="P227" s="3" t="s">
        <v>126</v>
      </c>
      <c r="Q227" s="3" t="str">
        <f>_xlfn.XLOOKUP(EHR[[#This Row],[Primary_ICD11_Code]],'03_ICD11_Reference'!A:A,'03_ICD11_Reference'!D:D,,0)</f>
        <v>Neurological</v>
      </c>
      <c r="R227" s="3" t="s">
        <v>127</v>
      </c>
      <c r="S227" s="3" t="s">
        <v>69</v>
      </c>
      <c r="T227" s="3" t="s">
        <v>894</v>
      </c>
      <c r="U227" s="3">
        <v>2</v>
      </c>
      <c r="V227" s="3" t="str">
        <f>_xlfn.XLOOKUP(EHR[[#This Row],[Encounter_ID]],'02_Lab_Results'!B:B,'02_Lab_Results'!D:D,,0)</f>
        <v>2160-0</v>
      </c>
      <c r="W227" s="3" t="str">
        <f>_xlfn.XLOOKUP(EHR[[#This Row],[LOINC Code]],'04_LOINC_Reference'!A:A,'04_LOINC_Reference'!F:F,,0)</f>
        <v>Biochemistry</v>
      </c>
      <c r="X227" s="3" t="str">
        <f>_xlfn.XLOOKUP(EHR[[#This Row],[LOINC Code]],'02_Lab_Results'!D:D,'02_Lab_Results'!E:E,,0)</f>
        <v>Serum creatinine</v>
      </c>
      <c r="Y227" s="3" t="str">
        <f>_xlfn.XLOOKUP(EHR[[#This Row],[LOINC Code]],'02_Lab_Results'!D:D,'02_Lab_Results'!J:J,,0)</f>
        <v>Normal</v>
      </c>
      <c r="Z227" s="3" t="str" cm="1">
        <f t="array" ref="Z227">_xlfn.XLOOKUP(1,(B227=B$2:B$500)*(V$2:V$500="4548-4"),Y$2:Y$500,"Not Tested")</f>
        <v>Not Tested</v>
      </c>
      <c r="AA227" s="3">
        <v>182</v>
      </c>
      <c r="AB227" s="3">
        <v>55</v>
      </c>
      <c r="AC227" s="3" t="str">
        <f>IF(AND(EHR[[#This Row],[BP_Systolic_mmHg]]&lt;140,EHR[[#This Row],[BP_Diastolic_mmHg]]&lt;90),"Controlled",IF(OR(EHR[[#This Row],[BP_Systolic_mmHg]]="Not Recorded",EHR[[#This Row],[BP_Diastolic_mmHg]]="Not Recorded"),"No Reading","Uncontrolled"))</f>
        <v>Uncontrolled</v>
      </c>
      <c r="AD227" s="3" t="str">
        <f>_xlfn.CONCAT(EHR[[#This Row],[BP_Systolic_mmHg]],"/",EHR[[#This Row],[BP_Diastolic_mmHg]])</f>
        <v>182/55</v>
      </c>
      <c r="AE227" s="3">
        <v>57</v>
      </c>
      <c r="AF227" s="3">
        <v>14</v>
      </c>
      <c r="AG227" s="3">
        <v>39</v>
      </c>
      <c r="AH227" s="3">
        <v>29.9</v>
      </c>
      <c r="AI227" s="3" t="str">
        <f>IF(EHR[[#This Row],[BMI_kg_m2]]&gt;=30,"Obese","Non-Obese")</f>
        <v>Non-Obese</v>
      </c>
      <c r="AJ227" s="3">
        <v>88</v>
      </c>
      <c r="AK227" s="3" t="s">
        <v>50</v>
      </c>
      <c r="AL227" s="3" t="s">
        <v>51</v>
      </c>
      <c r="AM227" s="3" t="s">
        <v>52</v>
      </c>
      <c r="AN227" s="3" t="s">
        <v>53</v>
      </c>
      <c r="AO227" s="3" t="s">
        <v>54</v>
      </c>
    </row>
    <row r="228" spans="1:41" x14ac:dyDescent="0.2">
      <c r="A228" s="6" t="s">
        <v>895</v>
      </c>
      <c r="B228" s="2" t="s">
        <v>896</v>
      </c>
      <c r="C228" s="13">
        <v>45729</v>
      </c>
      <c r="D228" s="2" t="s">
        <v>95</v>
      </c>
      <c r="E228" s="2" t="s">
        <v>167</v>
      </c>
      <c r="F228" s="2" t="s">
        <v>132</v>
      </c>
      <c r="G228" s="2" t="s">
        <v>39</v>
      </c>
      <c r="H228" s="13">
        <v>36606</v>
      </c>
      <c r="I228" s="2">
        <v>25</v>
      </c>
      <c r="J228" s="2" t="str" cm="1">
        <f t="array" ref="J22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8" s="2" t="s">
        <v>1573</v>
      </c>
      <c r="L228" s="2" t="s">
        <v>90</v>
      </c>
      <c r="M228" s="2" t="s">
        <v>45</v>
      </c>
      <c r="N228" s="2" t="s">
        <v>80</v>
      </c>
      <c r="O228" s="2" t="s">
        <v>81</v>
      </c>
      <c r="P228" s="2" t="s">
        <v>157</v>
      </c>
      <c r="Q228" s="2" t="str">
        <f>_xlfn.XLOOKUP(EHR[[#This Row],[Primary_ICD11_Code]],'03_ICD11_Reference'!A:A,'03_ICD11_Reference'!D:D,,0)</f>
        <v>Multi-system</v>
      </c>
      <c r="R228" s="2" t="s">
        <v>158</v>
      </c>
      <c r="S228" s="2" t="s">
        <v>69</v>
      </c>
      <c r="T228" s="2" t="s">
        <v>898</v>
      </c>
      <c r="U228" s="2">
        <v>2</v>
      </c>
      <c r="V228" s="2" t="str">
        <f>_xlfn.XLOOKUP(EHR[[#This Row],[Encounter_ID]],'02_Lab_Results'!B:B,'02_Lab_Results'!D:D,,0)</f>
        <v>6690-2</v>
      </c>
      <c r="W228" s="2" t="str">
        <f>_xlfn.XLOOKUP(EHR[[#This Row],[LOINC Code]],'04_LOINC_Reference'!A:A,'04_LOINC_Reference'!F:F,,0)</f>
        <v>Biochemistry</v>
      </c>
      <c r="X228" s="2" t="str">
        <f>_xlfn.XLOOKUP(EHR[[#This Row],[LOINC Code]],'02_Lab_Results'!D:D,'02_Lab_Results'!E:E,,0)</f>
        <v>WBC count</v>
      </c>
      <c r="Y228" s="2" t="str">
        <f>_xlfn.XLOOKUP(EHR[[#This Row],[LOINC Code]],'02_Lab_Results'!D:D,'02_Lab_Results'!J:J,,0)</f>
        <v>Low</v>
      </c>
      <c r="Z228" s="2" t="str" cm="1">
        <f t="array" ref="Z228">_xlfn.XLOOKUP(1,(B228=B$2:B$500)*(V$2:V$500="4548-4"),Y$2:Y$500,"Not Tested")</f>
        <v>Not Tested</v>
      </c>
      <c r="AA228" s="2">
        <v>149</v>
      </c>
      <c r="AB228" s="2">
        <v>86</v>
      </c>
      <c r="AC228" s="2" t="str">
        <f>IF(AND(EHR[[#This Row],[BP_Systolic_mmHg]]&lt;140,EHR[[#This Row],[BP_Diastolic_mmHg]]&lt;90),"Controlled",IF(OR(EHR[[#This Row],[BP_Systolic_mmHg]]="Not Recorded",EHR[[#This Row],[BP_Diastolic_mmHg]]="Not Recorded"),"No Reading","Uncontrolled"))</f>
        <v>Uncontrolled</v>
      </c>
      <c r="AD228" s="2" t="str">
        <f>_xlfn.CONCAT(EHR[[#This Row],[BP_Systolic_mmHg]],"/",EHR[[#This Row],[BP_Diastolic_mmHg]])</f>
        <v>149/86</v>
      </c>
      <c r="AE228" s="2">
        <v>67</v>
      </c>
      <c r="AF228" s="2">
        <v>15</v>
      </c>
      <c r="AG228" s="2">
        <v>36.1</v>
      </c>
      <c r="AH228" s="2">
        <v>24.3</v>
      </c>
      <c r="AI228" s="2" t="str">
        <f>IF(EHR[[#This Row],[BMI_kg_m2]]&gt;=30,"Obese","Non-Obese")</f>
        <v>Non-Obese</v>
      </c>
      <c r="AJ228" s="2">
        <v>87</v>
      </c>
      <c r="AK228" s="2" t="s">
        <v>50</v>
      </c>
      <c r="AL228" s="2" t="s">
        <v>51</v>
      </c>
      <c r="AM228" s="2" t="s">
        <v>52</v>
      </c>
      <c r="AN228" s="2" t="s">
        <v>53</v>
      </c>
      <c r="AO228" s="2" t="s">
        <v>54</v>
      </c>
    </row>
    <row r="229" spans="1:41" x14ac:dyDescent="0.2">
      <c r="A229" s="7" t="s">
        <v>895</v>
      </c>
      <c r="B229" s="3" t="s">
        <v>899</v>
      </c>
      <c r="C229" s="14">
        <v>45132</v>
      </c>
      <c r="D229" s="3" t="s">
        <v>88</v>
      </c>
      <c r="E229" s="3" t="s">
        <v>61</v>
      </c>
      <c r="F229" s="3" t="s">
        <v>219</v>
      </c>
      <c r="G229" s="3" t="s">
        <v>39</v>
      </c>
      <c r="H229" s="14">
        <v>36606</v>
      </c>
      <c r="I229" s="3">
        <v>25</v>
      </c>
      <c r="J229" s="3" t="str" cm="1">
        <f t="array" ref="J22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29" s="3" t="s">
        <v>1573</v>
      </c>
      <c r="L229" s="3" t="s">
        <v>90</v>
      </c>
      <c r="M229" s="3" t="s">
        <v>45</v>
      </c>
      <c r="N229" s="3" t="s">
        <v>80</v>
      </c>
      <c r="O229" s="3" t="s">
        <v>81</v>
      </c>
      <c r="P229" s="3" t="s">
        <v>157</v>
      </c>
      <c r="Q229" s="3" t="str">
        <f>_xlfn.XLOOKUP(EHR[[#This Row],[Primary_ICD11_Code]],'03_ICD11_Reference'!A:A,'03_ICD11_Reference'!D:D,,0)</f>
        <v>Multi-system</v>
      </c>
      <c r="R229" s="3" t="s">
        <v>158</v>
      </c>
      <c r="S229" s="3" t="s">
        <v>69</v>
      </c>
      <c r="T229" s="3" t="s">
        <v>901</v>
      </c>
      <c r="U229" s="3">
        <v>3</v>
      </c>
      <c r="V229" s="3" t="str">
        <f>_xlfn.XLOOKUP(EHR[[#This Row],[Encounter_ID]],'02_Lab_Results'!B:B,'02_Lab_Results'!D:D,,0)</f>
        <v>2777-1</v>
      </c>
      <c r="W229" s="3" t="str">
        <f>_xlfn.XLOOKUP(EHR[[#This Row],[LOINC Code]],'04_LOINC_Reference'!A:A,'04_LOINC_Reference'!F:F,,0)</f>
        <v>Biochemistry</v>
      </c>
      <c r="X229" s="3" t="str">
        <f>_xlfn.XLOOKUP(EHR[[#This Row],[LOINC Code]],'02_Lab_Results'!D:D,'02_Lab_Results'!E:E,,0)</f>
        <v>Serum phosphate</v>
      </c>
      <c r="Y229" s="3" t="str">
        <f>_xlfn.XLOOKUP(EHR[[#This Row],[LOINC Code]],'02_Lab_Results'!D:D,'02_Lab_Results'!J:J,,0)</f>
        <v>Normal</v>
      </c>
      <c r="Z229" s="3" t="str" cm="1">
        <f t="array" ref="Z229">_xlfn.XLOOKUP(1,(B229=B$2:B$500)*(V$2:V$500="4548-4"),Y$2:Y$500,"Not Tested")</f>
        <v>Not Tested</v>
      </c>
      <c r="AA229" s="3">
        <v>142</v>
      </c>
      <c r="AB229" s="3">
        <v>99</v>
      </c>
      <c r="AC229" s="3" t="str">
        <f>IF(AND(EHR[[#This Row],[BP_Systolic_mmHg]]&lt;140,EHR[[#This Row],[BP_Diastolic_mmHg]]&lt;90),"Controlled",IF(OR(EHR[[#This Row],[BP_Systolic_mmHg]]="Not Recorded",EHR[[#This Row],[BP_Diastolic_mmHg]]="Not Recorded"),"No Reading","Uncontrolled"))</f>
        <v>Uncontrolled</v>
      </c>
      <c r="AD229" s="3" t="str">
        <f>_xlfn.CONCAT(EHR[[#This Row],[BP_Systolic_mmHg]],"/",EHR[[#This Row],[BP_Diastolic_mmHg]])</f>
        <v>142/99</v>
      </c>
      <c r="AE229" s="3">
        <v>55</v>
      </c>
      <c r="AF229" s="3">
        <v>13</v>
      </c>
      <c r="AG229" s="3">
        <v>36.9</v>
      </c>
      <c r="AH229" s="3">
        <v>41.1</v>
      </c>
      <c r="AI229" s="3" t="str">
        <f>IF(EHR[[#This Row],[BMI_kg_m2]]&gt;=30,"Obese","Non-Obese")</f>
        <v>Obese</v>
      </c>
      <c r="AJ229" s="3">
        <v>99</v>
      </c>
      <c r="AK229" s="3" t="s">
        <v>50</v>
      </c>
      <c r="AL229" s="3" t="s">
        <v>51</v>
      </c>
      <c r="AM229" s="3" t="s">
        <v>52</v>
      </c>
      <c r="AN229" s="3" t="s">
        <v>53</v>
      </c>
      <c r="AO229" s="3" t="s">
        <v>54</v>
      </c>
    </row>
    <row r="230" spans="1:41" x14ac:dyDescent="0.2">
      <c r="A230" s="6" t="s">
        <v>895</v>
      </c>
      <c r="B230" s="2" t="s">
        <v>902</v>
      </c>
      <c r="C230" s="13">
        <v>44931</v>
      </c>
      <c r="D230" s="2" t="s">
        <v>95</v>
      </c>
      <c r="E230" s="2" t="s">
        <v>96</v>
      </c>
      <c r="F230" s="2" t="s">
        <v>97</v>
      </c>
      <c r="G230" s="2" t="s">
        <v>98</v>
      </c>
      <c r="H230" s="13">
        <v>36606</v>
      </c>
      <c r="I230" s="2">
        <v>25</v>
      </c>
      <c r="J230" s="2" t="str" cm="1">
        <f t="array" ref="J23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30" s="2" t="s">
        <v>1573</v>
      </c>
      <c r="L230" s="2" t="s">
        <v>66</v>
      </c>
      <c r="M230" s="2" t="s">
        <v>45</v>
      </c>
      <c r="N230" s="2" t="s">
        <v>80</v>
      </c>
      <c r="O230" s="2" t="s">
        <v>81</v>
      </c>
      <c r="P230" s="2" t="s">
        <v>157</v>
      </c>
      <c r="Q230" s="2" t="str">
        <f>_xlfn.XLOOKUP(EHR[[#This Row],[Primary_ICD11_Code]],'03_ICD11_Reference'!A:A,'03_ICD11_Reference'!D:D,,0)</f>
        <v>Multi-system</v>
      </c>
      <c r="R230" s="2" t="s">
        <v>158</v>
      </c>
      <c r="S230" s="2" t="s">
        <v>69</v>
      </c>
      <c r="T230" s="2" t="s">
        <v>904</v>
      </c>
      <c r="U230" s="2">
        <v>3</v>
      </c>
      <c r="V230" s="2" t="str">
        <f>_xlfn.XLOOKUP(EHR[[#This Row],[Encounter_ID]],'02_Lab_Results'!B:B,'02_Lab_Results'!D:D,,0)</f>
        <v>2951-2</v>
      </c>
      <c r="W230" s="2" t="str">
        <f>_xlfn.XLOOKUP(EHR[[#This Row],[LOINC Code]],'04_LOINC_Reference'!A:A,'04_LOINC_Reference'!F:F,,0)</f>
        <v>Biochemistry</v>
      </c>
      <c r="X230" s="2" t="str">
        <f>_xlfn.XLOOKUP(EHR[[#This Row],[LOINC Code]],'02_Lab_Results'!D:D,'02_Lab_Results'!E:E,,0)</f>
        <v>Serum sodium</v>
      </c>
      <c r="Y230" s="2" t="str">
        <f>_xlfn.XLOOKUP(EHR[[#This Row],[LOINC Code]],'02_Lab_Results'!D:D,'02_Lab_Results'!J:J,,0)</f>
        <v>Low</v>
      </c>
      <c r="Z230" s="2" t="str" cm="1">
        <f t="array" ref="Z230">_xlfn.XLOOKUP(1,(B230=B$2:B$500)*(V$2:V$500="4548-4"),Y$2:Y$500,"Not Tested")</f>
        <v>Not Tested</v>
      </c>
      <c r="AA230" s="2">
        <v>118</v>
      </c>
      <c r="AB230" s="2">
        <v>79</v>
      </c>
      <c r="AC230" s="2" t="str">
        <f>IF(AND(EHR[[#This Row],[BP_Systolic_mmHg]]&lt;140,EHR[[#This Row],[BP_Diastolic_mmHg]]&lt;90),"Controlled",IF(OR(EHR[[#This Row],[BP_Systolic_mmHg]]="Not Recorded",EHR[[#This Row],[BP_Diastolic_mmHg]]="Not Recorded"),"No Reading","Uncontrolled"))</f>
        <v>Controlled</v>
      </c>
      <c r="AD230" s="2" t="str">
        <f>_xlfn.CONCAT(EHR[[#This Row],[BP_Systolic_mmHg]],"/",EHR[[#This Row],[BP_Diastolic_mmHg]])</f>
        <v>118/79</v>
      </c>
      <c r="AE230" s="2">
        <v>58</v>
      </c>
      <c r="AF230" s="2">
        <v>13</v>
      </c>
      <c r="AG230" s="2">
        <v>36.9</v>
      </c>
      <c r="AH230" s="2">
        <v>44.5</v>
      </c>
      <c r="AI230" s="2" t="str">
        <f>IF(EHR[[#This Row],[BMI_kg_m2]]&gt;=30,"Obese","Non-Obese")</f>
        <v>Obese</v>
      </c>
      <c r="AJ230" s="2">
        <v>97</v>
      </c>
      <c r="AK230" s="2" t="s">
        <v>50</v>
      </c>
      <c r="AL230" s="2" t="s">
        <v>51</v>
      </c>
      <c r="AM230" s="2" t="s">
        <v>52</v>
      </c>
      <c r="AN230" s="2" t="s">
        <v>53</v>
      </c>
      <c r="AO230" s="2" t="s">
        <v>54</v>
      </c>
    </row>
    <row r="231" spans="1:41" x14ac:dyDescent="0.2">
      <c r="A231" s="7" t="s">
        <v>895</v>
      </c>
      <c r="B231" s="3" t="s">
        <v>905</v>
      </c>
      <c r="C231" s="14">
        <v>45176</v>
      </c>
      <c r="D231" s="3" t="s">
        <v>103</v>
      </c>
      <c r="E231" s="3" t="s">
        <v>61</v>
      </c>
      <c r="F231" s="3" t="s">
        <v>109</v>
      </c>
      <c r="G231" s="3" t="s">
        <v>39</v>
      </c>
      <c r="H231" s="14">
        <v>36606</v>
      </c>
      <c r="I231" s="3">
        <v>25</v>
      </c>
      <c r="J231" s="3" t="str" cm="1">
        <f t="array" ref="J23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31" s="3" t="s">
        <v>1573</v>
      </c>
      <c r="L231" s="3" t="s">
        <v>42</v>
      </c>
      <c r="M231" s="3" t="s">
        <v>45</v>
      </c>
      <c r="N231" s="3" t="s">
        <v>80</v>
      </c>
      <c r="O231" s="3" t="s">
        <v>81</v>
      </c>
      <c r="P231" s="3" t="s">
        <v>157</v>
      </c>
      <c r="Q231" s="3" t="str">
        <f>_xlfn.XLOOKUP(EHR[[#This Row],[Primary_ICD11_Code]],'03_ICD11_Reference'!A:A,'03_ICD11_Reference'!D:D,,0)</f>
        <v>Multi-system</v>
      </c>
      <c r="R231" s="3" t="s">
        <v>158</v>
      </c>
      <c r="S231" s="3" t="s">
        <v>69</v>
      </c>
      <c r="T231" s="3" t="s">
        <v>556</v>
      </c>
      <c r="U231" s="3">
        <v>1</v>
      </c>
      <c r="V231" s="3" t="str">
        <f>_xlfn.XLOOKUP(EHR[[#This Row],[Encounter_ID]],'02_Lab_Results'!B:B,'02_Lab_Results'!D:D,,0)</f>
        <v>2093-3</v>
      </c>
      <c r="W231" s="3" t="str">
        <f>_xlfn.XLOOKUP(EHR[[#This Row],[LOINC Code]],'04_LOINC_Reference'!A:A,'04_LOINC_Reference'!F:F,,0)</f>
        <v>Biochemistry</v>
      </c>
      <c r="X231" s="3" t="str">
        <f>_xlfn.XLOOKUP(EHR[[#This Row],[LOINC Code]],'02_Lab_Results'!D:D,'02_Lab_Results'!E:E,,0)</f>
        <v>Total cholesterol</v>
      </c>
      <c r="Y231" s="3" t="str">
        <f>_xlfn.XLOOKUP(EHR[[#This Row],[LOINC Code]],'02_Lab_Results'!D:D,'02_Lab_Results'!J:J,,0)</f>
        <v>Normal</v>
      </c>
      <c r="Z231" s="3" t="str" cm="1">
        <f t="array" ref="Z231">_xlfn.XLOOKUP(1,(B231=B$2:B$500)*(V$2:V$500="4548-4"),Y$2:Y$500,"Not Tested")</f>
        <v>Not Tested</v>
      </c>
      <c r="AA231" s="3">
        <v>163</v>
      </c>
      <c r="AB231" s="3">
        <v>113</v>
      </c>
      <c r="AC231" s="3" t="str">
        <f>IF(AND(EHR[[#This Row],[BP_Systolic_mmHg]]&lt;140,EHR[[#This Row],[BP_Diastolic_mmHg]]&lt;90),"Controlled",IF(OR(EHR[[#This Row],[BP_Systolic_mmHg]]="Not Recorded",EHR[[#This Row],[BP_Diastolic_mmHg]]="Not Recorded"),"No Reading","Uncontrolled"))</f>
        <v>Uncontrolled</v>
      </c>
      <c r="AD231" s="3" t="str">
        <f>_xlfn.CONCAT(EHR[[#This Row],[BP_Systolic_mmHg]],"/",EHR[[#This Row],[BP_Diastolic_mmHg]])</f>
        <v>163/113</v>
      </c>
      <c r="AE231" s="3">
        <v>84</v>
      </c>
      <c r="AF231" s="3">
        <v>19</v>
      </c>
      <c r="AG231" s="3">
        <v>37.9</v>
      </c>
      <c r="AH231" s="3">
        <v>18.3</v>
      </c>
      <c r="AI231" s="3" t="str">
        <f>IF(EHR[[#This Row],[BMI_kg_m2]]&gt;=30,"Obese","Non-Obese")</f>
        <v>Non-Obese</v>
      </c>
      <c r="AJ231" s="3">
        <v>89</v>
      </c>
      <c r="AK231" s="3" t="s">
        <v>50</v>
      </c>
      <c r="AL231" s="3" t="s">
        <v>51</v>
      </c>
      <c r="AM231" s="3" t="s">
        <v>52</v>
      </c>
      <c r="AN231" s="3" t="s">
        <v>53</v>
      </c>
      <c r="AO231" s="3" t="s">
        <v>54</v>
      </c>
    </row>
    <row r="232" spans="1:41" x14ac:dyDescent="0.2">
      <c r="A232" s="6" t="s">
        <v>906</v>
      </c>
      <c r="B232" s="2" t="s">
        <v>907</v>
      </c>
      <c r="C232" s="13">
        <v>45289</v>
      </c>
      <c r="D232" s="2" t="s">
        <v>103</v>
      </c>
      <c r="E232" s="2" t="s">
        <v>61</v>
      </c>
      <c r="F232" s="2" t="s">
        <v>189</v>
      </c>
      <c r="G232" s="2" t="s">
        <v>138</v>
      </c>
      <c r="H232" s="13">
        <v>27129</v>
      </c>
      <c r="I232" s="2">
        <v>51</v>
      </c>
      <c r="J232" s="2" t="str" cm="1">
        <f t="array" ref="J23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32" s="2" t="s">
        <v>1572</v>
      </c>
      <c r="L232" s="2" t="s">
        <v>66</v>
      </c>
      <c r="M232" s="2" t="s">
        <v>79</v>
      </c>
      <c r="N232" s="2" t="s">
        <v>44</v>
      </c>
      <c r="O232" s="2" t="s">
        <v>182</v>
      </c>
      <c r="P232" s="2" t="s">
        <v>195</v>
      </c>
      <c r="Q232" s="2" t="str">
        <f>_xlfn.XLOOKUP(EHR[[#This Row],[Primary_ICD11_Code]],'03_ICD11_Reference'!A:A,'03_ICD11_Reference'!D:D,,0)</f>
        <v>Respiratory</v>
      </c>
      <c r="R232" s="2" t="s">
        <v>196</v>
      </c>
      <c r="S232" s="2" t="s">
        <v>69</v>
      </c>
      <c r="T232" s="2" t="s">
        <v>910</v>
      </c>
      <c r="U232" s="2">
        <v>2</v>
      </c>
      <c r="V232" s="2" t="str">
        <f>_xlfn.XLOOKUP(EHR[[#This Row],[Encounter_ID]],'02_Lab_Results'!B:B,'02_Lab_Results'!D:D,,0)</f>
        <v>2823-3</v>
      </c>
      <c r="W232" s="2" t="str">
        <f>_xlfn.XLOOKUP(EHR[[#This Row],[LOINC Code]],'04_LOINC_Reference'!A:A,'04_LOINC_Reference'!F:F,,0)</f>
        <v>Biochemistry</v>
      </c>
      <c r="X232" s="2" t="str">
        <f>_xlfn.XLOOKUP(EHR[[#This Row],[LOINC Code]],'02_Lab_Results'!D:D,'02_Lab_Results'!E:E,,0)</f>
        <v>Serum potassium</v>
      </c>
      <c r="Y232" s="2" t="str">
        <f>_xlfn.XLOOKUP(EHR[[#This Row],[LOINC Code]],'02_Lab_Results'!D:D,'02_Lab_Results'!J:J,,0)</f>
        <v>Normal</v>
      </c>
      <c r="Z232" s="2" t="str" cm="1">
        <f t="array" ref="Z232">_xlfn.XLOOKUP(1,(B232=B$2:B$500)*(V$2:V$500="4548-4"),Y$2:Y$500,"Not Tested")</f>
        <v>Not Tested</v>
      </c>
      <c r="AA232" s="2">
        <v>115</v>
      </c>
      <c r="AB232" s="2">
        <v>89</v>
      </c>
      <c r="AC232" s="2" t="str">
        <f>IF(AND(EHR[[#This Row],[BP_Systolic_mmHg]]&lt;140,EHR[[#This Row],[BP_Diastolic_mmHg]]&lt;90),"Controlled",IF(OR(EHR[[#This Row],[BP_Systolic_mmHg]]="Not Recorded",EHR[[#This Row],[BP_Diastolic_mmHg]]="Not Recorded"),"No Reading","Uncontrolled"))</f>
        <v>Controlled</v>
      </c>
      <c r="AD232" s="2" t="str">
        <f>_xlfn.CONCAT(EHR[[#This Row],[BP_Systolic_mmHg]],"/",EHR[[#This Row],[BP_Diastolic_mmHg]])</f>
        <v>115/89</v>
      </c>
      <c r="AE232" s="2">
        <v>64</v>
      </c>
      <c r="AF232" s="2">
        <v>24</v>
      </c>
      <c r="AG232" s="2">
        <v>39</v>
      </c>
      <c r="AH232" s="2">
        <v>22.9</v>
      </c>
      <c r="AI232" s="2" t="str">
        <f>IF(EHR[[#This Row],[BMI_kg_m2]]&gt;=30,"Obese","Non-Obese")</f>
        <v>Non-Obese</v>
      </c>
      <c r="AJ232" s="2">
        <v>97</v>
      </c>
      <c r="AK232" s="2" t="s">
        <v>50</v>
      </c>
      <c r="AL232" s="2" t="s">
        <v>51</v>
      </c>
      <c r="AM232" s="2" t="s">
        <v>52</v>
      </c>
      <c r="AN232" s="2" t="s">
        <v>53</v>
      </c>
      <c r="AO232" s="2" t="s">
        <v>54</v>
      </c>
    </row>
    <row r="233" spans="1:41" x14ac:dyDescent="0.2">
      <c r="A233" s="7" t="s">
        <v>906</v>
      </c>
      <c r="B233" s="3" t="s">
        <v>911</v>
      </c>
      <c r="C233" s="14">
        <v>45560</v>
      </c>
      <c r="D233" s="3" t="s">
        <v>36</v>
      </c>
      <c r="E233" s="3" t="s">
        <v>89</v>
      </c>
      <c r="F233" s="3" t="s">
        <v>109</v>
      </c>
      <c r="G233" s="3" t="s">
        <v>98</v>
      </c>
      <c r="H233" s="14">
        <v>27129</v>
      </c>
      <c r="I233" s="3">
        <v>51</v>
      </c>
      <c r="J233" s="3" t="str" cm="1">
        <f t="array" ref="J23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33" s="3" t="s">
        <v>1572</v>
      </c>
      <c r="L233" s="3" t="s">
        <v>90</v>
      </c>
      <c r="M233" s="3" t="s">
        <v>79</v>
      </c>
      <c r="N233" s="3" t="s">
        <v>44</v>
      </c>
      <c r="O233" s="3" t="s">
        <v>182</v>
      </c>
      <c r="P233" s="3" t="s">
        <v>195</v>
      </c>
      <c r="Q233" s="3" t="str">
        <f>_xlfn.XLOOKUP(EHR[[#This Row],[Primary_ICD11_Code]],'03_ICD11_Reference'!A:A,'03_ICD11_Reference'!D:D,,0)</f>
        <v>Respiratory</v>
      </c>
      <c r="R233" s="3" t="s">
        <v>196</v>
      </c>
      <c r="S233" s="3" t="s">
        <v>69</v>
      </c>
      <c r="T233" s="3" t="s">
        <v>117</v>
      </c>
      <c r="U233" s="3">
        <v>1</v>
      </c>
      <c r="V233" s="3" t="str">
        <f>_xlfn.XLOOKUP(EHR[[#This Row],[Encounter_ID]],'02_Lab_Results'!B:B,'02_Lab_Results'!D:D,,0)</f>
        <v>2085-9</v>
      </c>
      <c r="W233" s="3" t="str">
        <f>_xlfn.XLOOKUP(EHR[[#This Row],[LOINC Code]],'04_LOINC_Reference'!A:A,'04_LOINC_Reference'!F:F,,0)</f>
        <v>Biochemistry</v>
      </c>
      <c r="X233" s="3" t="str">
        <f>_xlfn.XLOOKUP(EHR[[#This Row],[LOINC Code]],'02_Lab_Results'!D:D,'02_Lab_Results'!E:E,,0)</f>
        <v>HDL cholesterol</v>
      </c>
      <c r="Y233" s="3" t="str">
        <f>_xlfn.XLOOKUP(EHR[[#This Row],[LOINC Code]],'02_Lab_Results'!D:D,'02_Lab_Results'!J:J,,0)</f>
        <v>Normal</v>
      </c>
      <c r="Z233" s="3" t="str" cm="1">
        <f t="array" ref="Z233">_xlfn.XLOOKUP(1,(B233=B$2:B$500)*(V$2:V$500="4548-4"),Y$2:Y$500,"Not Tested")</f>
        <v>Not Tested</v>
      </c>
      <c r="AA233" s="3">
        <v>127</v>
      </c>
      <c r="AB233" s="3">
        <v>102</v>
      </c>
      <c r="AC233" s="3" t="str">
        <f>IF(AND(EHR[[#This Row],[BP_Systolic_mmHg]]&lt;140,EHR[[#This Row],[BP_Diastolic_mmHg]]&lt;90),"Controlled",IF(OR(EHR[[#This Row],[BP_Systolic_mmHg]]="Not Recorded",EHR[[#This Row],[BP_Diastolic_mmHg]]="Not Recorded"),"No Reading","Uncontrolled"))</f>
        <v>Uncontrolled</v>
      </c>
      <c r="AD233" s="3" t="str">
        <f>_xlfn.CONCAT(EHR[[#This Row],[BP_Systolic_mmHg]],"/",EHR[[#This Row],[BP_Diastolic_mmHg]])</f>
        <v>127/102</v>
      </c>
      <c r="AE233" s="3">
        <v>59</v>
      </c>
      <c r="AF233" s="3">
        <v>13</v>
      </c>
      <c r="AG233" s="3">
        <v>39.1</v>
      </c>
      <c r="AH233" s="3">
        <v>31.5</v>
      </c>
      <c r="AI233" s="3" t="str">
        <f>IF(EHR[[#This Row],[BMI_kg_m2]]&gt;=30,"Obese","Non-Obese")</f>
        <v>Obese</v>
      </c>
      <c r="AJ233" s="3">
        <v>87</v>
      </c>
      <c r="AK233" s="3" t="s">
        <v>50</v>
      </c>
      <c r="AL233" s="3" t="s">
        <v>51</v>
      </c>
      <c r="AM233" s="3" t="s">
        <v>52</v>
      </c>
      <c r="AN233" s="3" t="s">
        <v>53</v>
      </c>
      <c r="AO233" s="3" t="s">
        <v>54</v>
      </c>
    </row>
    <row r="234" spans="1:41" x14ac:dyDescent="0.2">
      <c r="A234" s="6" t="s">
        <v>906</v>
      </c>
      <c r="B234" s="2" t="s">
        <v>913</v>
      </c>
      <c r="C234" s="13">
        <v>45208</v>
      </c>
      <c r="D234" s="2" t="s">
        <v>36</v>
      </c>
      <c r="E234" s="2" t="s">
        <v>96</v>
      </c>
      <c r="F234" s="2" t="s">
        <v>38</v>
      </c>
      <c r="G234" s="2" t="s">
        <v>98</v>
      </c>
      <c r="H234" s="13">
        <v>27129</v>
      </c>
      <c r="I234" s="2">
        <v>51</v>
      </c>
      <c r="J234" s="2" t="str" cm="1">
        <f t="array" ref="J23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34" s="2" t="s">
        <v>1572</v>
      </c>
      <c r="L234" s="2" t="s">
        <v>110</v>
      </c>
      <c r="M234" s="2" t="s">
        <v>79</v>
      </c>
      <c r="N234" s="2" t="s">
        <v>44</v>
      </c>
      <c r="O234" s="2" t="s">
        <v>182</v>
      </c>
      <c r="P234" s="2" t="s">
        <v>195</v>
      </c>
      <c r="Q234" s="2" t="str">
        <f>_xlfn.XLOOKUP(EHR[[#This Row],[Primary_ICD11_Code]],'03_ICD11_Reference'!A:A,'03_ICD11_Reference'!D:D,,0)</f>
        <v>Respiratory</v>
      </c>
      <c r="R234" s="2" t="s">
        <v>196</v>
      </c>
      <c r="S234" s="2" t="s">
        <v>69</v>
      </c>
      <c r="T234" s="2" t="s">
        <v>915</v>
      </c>
      <c r="U234" s="2">
        <v>4</v>
      </c>
      <c r="V234" s="2" t="str">
        <f>_xlfn.XLOOKUP(EHR[[#This Row],[Encounter_ID]],'02_Lab_Results'!B:B,'02_Lab_Results'!D:D,,0)</f>
        <v>6690-2</v>
      </c>
      <c r="W234" s="2" t="str">
        <f>_xlfn.XLOOKUP(EHR[[#This Row],[LOINC Code]],'04_LOINC_Reference'!A:A,'04_LOINC_Reference'!F:F,,0)</f>
        <v>Biochemistry</v>
      </c>
      <c r="X234" s="2" t="str">
        <f>_xlfn.XLOOKUP(EHR[[#This Row],[LOINC Code]],'02_Lab_Results'!D:D,'02_Lab_Results'!E:E,,0)</f>
        <v>WBC count</v>
      </c>
      <c r="Y234" s="2" t="str">
        <f>_xlfn.XLOOKUP(EHR[[#This Row],[LOINC Code]],'02_Lab_Results'!D:D,'02_Lab_Results'!J:J,,0)</f>
        <v>Low</v>
      </c>
      <c r="Z234" s="2" t="str" cm="1">
        <f t="array" ref="Z234">_xlfn.XLOOKUP(1,(B234=B$2:B$500)*(V$2:V$500="4548-4"),Y$2:Y$500,"Not Tested")</f>
        <v>Not Tested</v>
      </c>
      <c r="AA234" s="2">
        <v>139</v>
      </c>
      <c r="AB234" s="2">
        <v>114</v>
      </c>
      <c r="AC234" s="2" t="str">
        <f>IF(AND(EHR[[#This Row],[BP_Systolic_mmHg]]&lt;140,EHR[[#This Row],[BP_Diastolic_mmHg]]&lt;90),"Controlled",IF(OR(EHR[[#This Row],[BP_Systolic_mmHg]]="Not Recorded",EHR[[#This Row],[BP_Diastolic_mmHg]]="Not Recorded"),"No Reading","Uncontrolled"))</f>
        <v>Uncontrolled</v>
      </c>
      <c r="AD234" s="2" t="str">
        <f>_xlfn.CONCAT(EHR[[#This Row],[BP_Systolic_mmHg]],"/",EHR[[#This Row],[BP_Diastolic_mmHg]])</f>
        <v>139/114</v>
      </c>
      <c r="AE234" s="2">
        <v>119</v>
      </c>
      <c r="AF234" s="2">
        <v>16</v>
      </c>
      <c r="AG234" s="2">
        <v>36.700000000000003</v>
      </c>
      <c r="AH234" s="2">
        <v>33.9</v>
      </c>
      <c r="AI234" s="2" t="str">
        <f>IF(EHR[[#This Row],[BMI_kg_m2]]&gt;=30,"Obese","Non-Obese")</f>
        <v>Obese</v>
      </c>
      <c r="AJ234" s="2">
        <v>88</v>
      </c>
      <c r="AK234" s="2" t="s">
        <v>50</v>
      </c>
      <c r="AL234" s="2" t="s">
        <v>51</v>
      </c>
      <c r="AM234" s="2" t="s">
        <v>52</v>
      </c>
      <c r="AN234" s="2" t="s">
        <v>53</v>
      </c>
      <c r="AO234" s="2" t="s">
        <v>54</v>
      </c>
    </row>
    <row r="235" spans="1:41" x14ac:dyDescent="0.2">
      <c r="A235" s="7" t="s">
        <v>906</v>
      </c>
      <c r="B235" s="3" t="s">
        <v>916</v>
      </c>
      <c r="C235" s="14">
        <v>45642</v>
      </c>
      <c r="D235" s="3" t="s">
        <v>103</v>
      </c>
      <c r="E235" s="3" t="s">
        <v>167</v>
      </c>
      <c r="F235" s="3" t="s">
        <v>219</v>
      </c>
      <c r="G235" s="3" t="s">
        <v>76</v>
      </c>
      <c r="H235" s="14">
        <v>27129</v>
      </c>
      <c r="I235" s="3">
        <v>51</v>
      </c>
      <c r="J235" s="3" t="str" cm="1">
        <f t="array" ref="J23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35" s="3" t="s">
        <v>1572</v>
      </c>
      <c r="L235" s="3" t="s">
        <v>42</v>
      </c>
      <c r="M235" s="3" t="s">
        <v>79</v>
      </c>
      <c r="N235" s="3" t="s">
        <v>44</v>
      </c>
      <c r="O235" s="3" t="s">
        <v>182</v>
      </c>
      <c r="P235" s="3" t="s">
        <v>195</v>
      </c>
      <c r="Q235" s="3" t="str">
        <f>_xlfn.XLOOKUP(EHR[[#This Row],[Primary_ICD11_Code]],'03_ICD11_Reference'!A:A,'03_ICD11_Reference'!D:D,,0)</f>
        <v>Respiratory</v>
      </c>
      <c r="R235" s="3" t="s">
        <v>196</v>
      </c>
      <c r="S235" s="3" t="s">
        <v>69</v>
      </c>
      <c r="T235" s="3" t="s">
        <v>918</v>
      </c>
      <c r="U235" s="3">
        <v>3</v>
      </c>
      <c r="V235" s="3" t="str">
        <f>_xlfn.XLOOKUP(EHR[[#This Row],[Encounter_ID]],'02_Lab_Results'!B:B,'02_Lab_Results'!D:D,,0)</f>
        <v>2777-1</v>
      </c>
      <c r="W235" s="3" t="str">
        <f>_xlfn.XLOOKUP(EHR[[#This Row],[LOINC Code]],'04_LOINC_Reference'!A:A,'04_LOINC_Reference'!F:F,,0)</f>
        <v>Biochemistry</v>
      </c>
      <c r="X235" s="3" t="str">
        <f>_xlfn.XLOOKUP(EHR[[#This Row],[LOINC Code]],'02_Lab_Results'!D:D,'02_Lab_Results'!E:E,,0)</f>
        <v>Serum phosphate</v>
      </c>
      <c r="Y235" s="3" t="str">
        <f>_xlfn.XLOOKUP(EHR[[#This Row],[LOINC Code]],'02_Lab_Results'!D:D,'02_Lab_Results'!J:J,,0)</f>
        <v>Normal</v>
      </c>
      <c r="Z235" s="3" t="str" cm="1">
        <f t="array" ref="Z235">_xlfn.XLOOKUP(1,(B235=B$2:B$500)*(V$2:V$500="4548-4"),Y$2:Y$500,"Not Tested")</f>
        <v>Not Tested</v>
      </c>
      <c r="AA235" s="3">
        <v>142</v>
      </c>
      <c r="AB235" s="3">
        <v>74</v>
      </c>
      <c r="AC235" s="3" t="str">
        <f>IF(AND(EHR[[#This Row],[BP_Systolic_mmHg]]&lt;140,EHR[[#This Row],[BP_Diastolic_mmHg]]&lt;90),"Controlled",IF(OR(EHR[[#This Row],[BP_Systolic_mmHg]]="Not Recorded",EHR[[#This Row],[BP_Diastolic_mmHg]]="Not Recorded"),"No Reading","Uncontrolled"))</f>
        <v>Uncontrolled</v>
      </c>
      <c r="AD235" s="3" t="str">
        <f>_xlfn.CONCAT(EHR[[#This Row],[BP_Systolic_mmHg]],"/",EHR[[#This Row],[BP_Diastolic_mmHg]])</f>
        <v>142/74</v>
      </c>
      <c r="AE235" s="3">
        <v>51</v>
      </c>
      <c r="AF235" s="3">
        <v>23</v>
      </c>
      <c r="AG235" s="3">
        <v>37.200000000000003</v>
      </c>
      <c r="AH235" s="3">
        <v>20.399999999999999</v>
      </c>
      <c r="AI235" s="3" t="str">
        <f>IF(EHR[[#This Row],[BMI_kg_m2]]&gt;=30,"Obese","Non-Obese")</f>
        <v>Non-Obese</v>
      </c>
      <c r="AJ235" s="3">
        <v>92</v>
      </c>
      <c r="AK235" s="3" t="s">
        <v>50</v>
      </c>
      <c r="AL235" s="3" t="s">
        <v>51</v>
      </c>
      <c r="AM235" s="3" t="s">
        <v>52</v>
      </c>
      <c r="AN235" s="3" t="s">
        <v>53</v>
      </c>
      <c r="AO235" s="3" t="s">
        <v>54</v>
      </c>
    </row>
    <row r="236" spans="1:41" x14ac:dyDescent="0.2">
      <c r="A236" s="6" t="s">
        <v>919</v>
      </c>
      <c r="B236" s="2" t="s">
        <v>920</v>
      </c>
      <c r="C236" s="13">
        <v>45111</v>
      </c>
      <c r="D236" s="2" t="s">
        <v>60</v>
      </c>
      <c r="E236" s="2" t="s">
        <v>61</v>
      </c>
      <c r="F236" s="2" t="s">
        <v>132</v>
      </c>
      <c r="G236" s="2" t="s">
        <v>98</v>
      </c>
      <c r="H236" s="13">
        <v>16260</v>
      </c>
      <c r="I236" s="2">
        <v>81</v>
      </c>
      <c r="J236" s="2" t="str" cm="1">
        <f t="array" ref="J23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36" s="2" t="s">
        <v>1572</v>
      </c>
      <c r="L236" s="2" t="s">
        <v>140</v>
      </c>
      <c r="M236" s="2" t="s">
        <v>79</v>
      </c>
      <c r="N236" s="2" t="s">
        <v>125</v>
      </c>
      <c r="O236" s="2" t="s">
        <v>1574</v>
      </c>
      <c r="P236" s="2" t="s">
        <v>126</v>
      </c>
      <c r="Q236" s="2" t="str">
        <f>_xlfn.XLOOKUP(EHR[[#This Row],[Primary_ICD11_Code]],'03_ICD11_Reference'!A:A,'03_ICD11_Reference'!D:D,,0)</f>
        <v>Neurological</v>
      </c>
      <c r="R236" s="2" t="s">
        <v>127</v>
      </c>
      <c r="S236" s="2" t="s">
        <v>69</v>
      </c>
      <c r="T236" s="2" t="s">
        <v>923</v>
      </c>
      <c r="U236" s="2">
        <v>4</v>
      </c>
      <c r="V236" s="2" t="str">
        <f>_xlfn.XLOOKUP(EHR[[#This Row],[Encounter_ID]],'02_Lab_Results'!B:B,'02_Lab_Results'!D:D,,0)</f>
        <v>2085-9</v>
      </c>
      <c r="W236" s="2" t="str">
        <f>_xlfn.XLOOKUP(EHR[[#This Row],[LOINC Code]],'04_LOINC_Reference'!A:A,'04_LOINC_Reference'!F:F,,0)</f>
        <v>Biochemistry</v>
      </c>
      <c r="X236" s="2" t="str">
        <f>_xlfn.XLOOKUP(EHR[[#This Row],[LOINC Code]],'02_Lab_Results'!D:D,'02_Lab_Results'!E:E,,0)</f>
        <v>HDL cholesterol</v>
      </c>
      <c r="Y236" s="2" t="str">
        <f>_xlfn.XLOOKUP(EHR[[#This Row],[LOINC Code]],'02_Lab_Results'!D:D,'02_Lab_Results'!J:J,,0)</f>
        <v>Normal</v>
      </c>
      <c r="Z236" s="2" t="str" cm="1">
        <f t="array" ref="Z236">_xlfn.XLOOKUP(1,(B236=B$2:B$500)*(V$2:V$500="4548-4"),Y$2:Y$500,"Not Tested")</f>
        <v>Not Tested</v>
      </c>
      <c r="AA236" s="2">
        <v>146</v>
      </c>
      <c r="AB236" s="2">
        <v>114</v>
      </c>
      <c r="AC236" s="2" t="str">
        <f>IF(AND(EHR[[#This Row],[BP_Systolic_mmHg]]&lt;140,EHR[[#This Row],[BP_Diastolic_mmHg]]&lt;90),"Controlled",IF(OR(EHR[[#This Row],[BP_Systolic_mmHg]]="Not Recorded",EHR[[#This Row],[BP_Diastolic_mmHg]]="Not Recorded"),"No Reading","Uncontrolled"))</f>
        <v>Uncontrolled</v>
      </c>
      <c r="AD236" s="2" t="str">
        <f>_xlfn.CONCAT(EHR[[#This Row],[BP_Systolic_mmHg]],"/",EHR[[#This Row],[BP_Diastolic_mmHg]])</f>
        <v>146/114</v>
      </c>
      <c r="AE236" s="2">
        <v>101</v>
      </c>
      <c r="AF236" s="2">
        <v>25</v>
      </c>
      <c r="AG236" s="2">
        <v>38.299999999999997</v>
      </c>
      <c r="AH236" s="2">
        <v>40.4</v>
      </c>
      <c r="AI236" s="2" t="str">
        <f>IF(EHR[[#This Row],[BMI_kg_m2]]&gt;=30,"Obese","Non-Obese")</f>
        <v>Obese</v>
      </c>
      <c r="AJ236" s="2">
        <v>94</v>
      </c>
      <c r="AK236" s="2" t="s">
        <v>50</v>
      </c>
      <c r="AL236" s="2" t="s">
        <v>51</v>
      </c>
      <c r="AM236" s="2" t="s">
        <v>52</v>
      </c>
      <c r="AN236" s="2" t="s">
        <v>53</v>
      </c>
      <c r="AO236" s="2" t="s">
        <v>54</v>
      </c>
    </row>
    <row r="237" spans="1:41" x14ac:dyDescent="0.2">
      <c r="A237" s="7" t="s">
        <v>919</v>
      </c>
      <c r="B237" s="3" t="s">
        <v>924</v>
      </c>
      <c r="C237" s="14">
        <v>45572</v>
      </c>
      <c r="D237" s="3" t="s">
        <v>36</v>
      </c>
      <c r="E237" s="3" t="s">
        <v>96</v>
      </c>
      <c r="F237" s="3" t="s">
        <v>122</v>
      </c>
      <c r="G237" s="3" t="s">
        <v>98</v>
      </c>
      <c r="H237" s="14">
        <v>16260</v>
      </c>
      <c r="I237" s="3">
        <v>81</v>
      </c>
      <c r="J237" s="3" t="str" cm="1">
        <f t="array" ref="J23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37" s="3" t="s">
        <v>1572</v>
      </c>
      <c r="L237" s="3" t="s">
        <v>116</v>
      </c>
      <c r="M237" s="3" t="s">
        <v>79</v>
      </c>
      <c r="N237" s="3" t="s">
        <v>125</v>
      </c>
      <c r="O237" s="3" t="s">
        <v>1574</v>
      </c>
      <c r="P237" s="3" t="s">
        <v>126</v>
      </c>
      <c r="Q237" s="3" t="str">
        <f>_xlfn.XLOOKUP(EHR[[#This Row],[Primary_ICD11_Code]],'03_ICD11_Reference'!A:A,'03_ICD11_Reference'!D:D,,0)</f>
        <v>Neurological</v>
      </c>
      <c r="R237" s="3" t="s">
        <v>127</v>
      </c>
      <c r="S237" s="3" t="s">
        <v>69</v>
      </c>
      <c r="T237" s="3" t="s">
        <v>926</v>
      </c>
      <c r="U237" s="3">
        <v>2</v>
      </c>
      <c r="V237" s="3" t="str">
        <f>_xlfn.XLOOKUP(EHR[[#This Row],[Encounter_ID]],'02_Lab_Results'!B:B,'02_Lab_Results'!D:D,,0)</f>
        <v>2777-1</v>
      </c>
      <c r="W237" s="3" t="str">
        <f>_xlfn.XLOOKUP(EHR[[#This Row],[LOINC Code]],'04_LOINC_Reference'!A:A,'04_LOINC_Reference'!F:F,,0)</f>
        <v>Biochemistry</v>
      </c>
      <c r="X237" s="3" t="str">
        <f>_xlfn.XLOOKUP(EHR[[#This Row],[LOINC Code]],'02_Lab_Results'!D:D,'02_Lab_Results'!E:E,,0)</f>
        <v>Serum phosphate</v>
      </c>
      <c r="Y237" s="3" t="str">
        <f>_xlfn.XLOOKUP(EHR[[#This Row],[LOINC Code]],'02_Lab_Results'!D:D,'02_Lab_Results'!J:J,,0)</f>
        <v>Normal</v>
      </c>
      <c r="Z237" s="3" t="str" cm="1">
        <f t="array" ref="Z237">_xlfn.XLOOKUP(1,(B237=B$2:B$500)*(V$2:V$500="4548-4"),Y$2:Y$500,"Not Tested")</f>
        <v>Not Tested</v>
      </c>
      <c r="AA237" s="3">
        <v>142</v>
      </c>
      <c r="AB237" s="3">
        <v>98</v>
      </c>
      <c r="AC237" s="3" t="str">
        <f>IF(AND(EHR[[#This Row],[BP_Systolic_mmHg]]&lt;140,EHR[[#This Row],[BP_Diastolic_mmHg]]&lt;90),"Controlled",IF(OR(EHR[[#This Row],[BP_Systolic_mmHg]]="Not Recorded",EHR[[#This Row],[BP_Diastolic_mmHg]]="Not Recorded"),"No Reading","Uncontrolled"))</f>
        <v>Uncontrolled</v>
      </c>
      <c r="AD237" s="3" t="str">
        <f>_xlfn.CONCAT(EHR[[#This Row],[BP_Systolic_mmHg]],"/",EHR[[#This Row],[BP_Diastolic_mmHg]])</f>
        <v>142/98</v>
      </c>
      <c r="AE237" s="3">
        <v>109</v>
      </c>
      <c r="AF237" s="3">
        <v>17</v>
      </c>
      <c r="AG237" s="3">
        <v>37.799999999999997</v>
      </c>
      <c r="AH237" s="3">
        <v>33.700000000000003</v>
      </c>
      <c r="AI237" s="3" t="str">
        <f>IF(EHR[[#This Row],[BMI_kg_m2]]&gt;=30,"Obese","Non-Obese")</f>
        <v>Obese</v>
      </c>
      <c r="AJ237" s="3">
        <v>92</v>
      </c>
      <c r="AK237" s="3" t="s">
        <v>50</v>
      </c>
      <c r="AL237" s="3" t="s">
        <v>51</v>
      </c>
      <c r="AM237" s="3" t="s">
        <v>52</v>
      </c>
      <c r="AN237" s="3" t="s">
        <v>53</v>
      </c>
      <c r="AO237" s="3" t="s">
        <v>54</v>
      </c>
    </row>
    <row r="238" spans="1:41" x14ac:dyDescent="0.2">
      <c r="A238" s="6" t="s">
        <v>919</v>
      </c>
      <c r="B238" s="2" t="s">
        <v>927</v>
      </c>
      <c r="C238" s="13">
        <v>45269</v>
      </c>
      <c r="D238" s="2" t="s">
        <v>88</v>
      </c>
      <c r="E238" s="2" t="s">
        <v>61</v>
      </c>
      <c r="F238" s="2" t="s">
        <v>62</v>
      </c>
      <c r="G238" s="2" t="s">
        <v>76</v>
      </c>
      <c r="H238" s="13">
        <v>16260</v>
      </c>
      <c r="I238" s="2">
        <v>81</v>
      </c>
      <c r="J238" s="2" t="str" cm="1">
        <f t="array" ref="J23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38" s="2" t="s">
        <v>1572</v>
      </c>
      <c r="L238" s="2" t="s">
        <v>42</v>
      </c>
      <c r="M238" s="2" t="s">
        <v>79</v>
      </c>
      <c r="N238" s="2" t="s">
        <v>125</v>
      </c>
      <c r="O238" s="2" t="s">
        <v>1574</v>
      </c>
      <c r="P238" s="2" t="s">
        <v>126</v>
      </c>
      <c r="Q238" s="2" t="str">
        <f>_xlfn.XLOOKUP(EHR[[#This Row],[Primary_ICD11_Code]],'03_ICD11_Reference'!A:A,'03_ICD11_Reference'!D:D,,0)</f>
        <v>Neurological</v>
      </c>
      <c r="R238" s="2" t="s">
        <v>127</v>
      </c>
      <c r="S238" s="2" t="s">
        <v>69</v>
      </c>
      <c r="T238" s="2" t="s">
        <v>455</v>
      </c>
      <c r="U238" s="2">
        <v>2</v>
      </c>
      <c r="V238" s="2" t="str">
        <f>_xlfn.XLOOKUP(EHR[[#This Row],[Encounter_ID]],'02_Lab_Results'!B:B,'02_Lab_Results'!D:D,,0)</f>
        <v>17861-6</v>
      </c>
      <c r="W238" s="2" t="str">
        <f>_xlfn.XLOOKUP(EHR[[#This Row],[LOINC Code]],'04_LOINC_Reference'!A:A,'04_LOINC_Reference'!F:F,,0)</f>
        <v>Biochemistry</v>
      </c>
      <c r="X238" s="2" t="str">
        <f>_xlfn.XLOOKUP(EHR[[#This Row],[LOINC Code]],'02_Lab_Results'!D:D,'02_Lab_Results'!E:E,,0)</f>
        <v>Serum calcium</v>
      </c>
      <c r="Y238" s="2" t="str">
        <f>_xlfn.XLOOKUP(EHR[[#This Row],[LOINC Code]],'02_Lab_Results'!D:D,'02_Lab_Results'!J:J,,0)</f>
        <v>High</v>
      </c>
      <c r="Z238" s="2" t="str" cm="1">
        <f t="array" ref="Z238">_xlfn.XLOOKUP(1,(B238=B$2:B$500)*(V$2:V$500="4548-4"),Y$2:Y$500,"Not Tested")</f>
        <v>Not Tested</v>
      </c>
      <c r="AA238" s="2">
        <v>118</v>
      </c>
      <c r="AB238" s="2">
        <v>77</v>
      </c>
      <c r="AC238" s="2" t="str">
        <f>IF(AND(EHR[[#This Row],[BP_Systolic_mmHg]]&lt;140,EHR[[#This Row],[BP_Diastolic_mmHg]]&lt;90),"Controlled",IF(OR(EHR[[#This Row],[BP_Systolic_mmHg]]="Not Recorded",EHR[[#This Row],[BP_Diastolic_mmHg]]="Not Recorded"),"No Reading","Uncontrolled"))</f>
        <v>Controlled</v>
      </c>
      <c r="AD238" s="2" t="str">
        <f>_xlfn.CONCAT(EHR[[#This Row],[BP_Systolic_mmHg]],"/",EHR[[#This Row],[BP_Diastolic_mmHg]])</f>
        <v>118/77</v>
      </c>
      <c r="AE238" s="2">
        <v>92</v>
      </c>
      <c r="AF238" s="2">
        <v>25</v>
      </c>
      <c r="AG238" s="2">
        <v>37.1</v>
      </c>
      <c r="AH238" s="2">
        <v>29.2</v>
      </c>
      <c r="AI238" s="2" t="str">
        <f>IF(EHR[[#This Row],[BMI_kg_m2]]&gt;=30,"Obese","Non-Obese")</f>
        <v>Non-Obese</v>
      </c>
      <c r="AJ238" s="2">
        <v>92</v>
      </c>
      <c r="AK238" s="2" t="s">
        <v>50</v>
      </c>
      <c r="AL238" s="2" t="s">
        <v>51</v>
      </c>
      <c r="AM238" s="2" t="s">
        <v>52</v>
      </c>
      <c r="AN238" s="2" t="s">
        <v>53</v>
      </c>
      <c r="AO238" s="2" t="s">
        <v>54</v>
      </c>
    </row>
    <row r="239" spans="1:41" x14ac:dyDescent="0.2">
      <c r="A239" s="7" t="s">
        <v>919</v>
      </c>
      <c r="B239" s="3" t="s">
        <v>929</v>
      </c>
      <c r="C239" s="14">
        <v>45616</v>
      </c>
      <c r="D239" s="3" t="s">
        <v>88</v>
      </c>
      <c r="E239" s="3" t="s">
        <v>89</v>
      </c>
      <c r="F239" s="3" t="s">
        <v>132</v>
      </c>
      <c r="G239" s="3" t="s">
        <v>63</v>
      </c>
      <c r="H239" s="14">
        <v>16260</v>
      </c>
      <c r="I239" s="3">
        <v>81</v>
      </c>
      <c r="J239" s="3" t="str" cm="1">
        <f t="array" ref="J23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39" s="3" t="s">
        <v>1572</v>
      </c>
      <c r="L239" s="3" t="s">
        <v>110</v>
      </c>
      <c r="M239" s="3" t="s">
        <v>79</v>
      </c>
      <c r="N239" s="3" t="s">
        <v>125</v>
      </c>
      <c r="O239" s="3" t="s">
        <v>1574</v>
      </c>
      <c r="P239" s="3" t="s">
        <v>126</v>
      </c>
      <c r="Q239" s="3" t="str">
        <f>_xlfn.XLOOKUP(EHR[[#This Row],[Primary_ICD11_Code]],'03_ICD11_Reference'!A:A,'03_ICD11_Reference'!D:D,,0)</f>
        <v>Neurological</v>
      </c>
      <c r="R239" s="3" t="s">
        <v>127</v>
      </c>
      <c r="S239" s="3" t="s">
        <v>69</v>
      </c>
      <c r="T239" s="3" t="s">
        <v>931</v>
      </c>
      <c r="U239" s="3">
        <v>2</v>
      </c>
      <c r="V239" s="3" t="str">
        <f>_xlfn.XLOOKUP(EHR[[#This Row],[Encounter_ID]],'02_Lab_Results'!B:B,'02_Lab_Results'!D:D,,0)</f>
        <v>6690-2</v>
      </c>
      <c r="W239" s="3" t="str">
        <f>_xlfn.XLOOKUP(EHR[[#This Row],[LOINC Code]],'04_LOINC_Reference'!A:A,'04_LOINC_Reference'!F:F,,0)</f>
        <v>Biochemistry</v>
      </c>
      <c r="X239" s="3" t="str">
        <f>_xlfn.XLOOKUP(EHR[[#This Row],[LOINC Code]],'02_Lab_Results'!D:D,'02_Lab_Results'!E:E,,0)</f>
        <v>WBC count</v>
      </c>
      <c r="Y239" s="3" t="str">
        <f>_xlfn.XLOOKUP(EHR[[#This Row],[LOINC Code]],'02_Lab_Results'!D:D,'02_Lab_Results'!J:J,,0)</f>
        <v>Low</v>
      </c>
      <c r="Z239" s="3" t="str" cm="1">
        <f t="array" ref="Z239">_xlfn.XLOOKUP(1,(B239=B$2:B$500)*(V$2:V$500="4548-4"),Y$2:Y$500,"Not Tested")</f>
        <v>Not Tested</v>
      </c>
      <c r="AA239" s="3">
        <v>141</v>
      </c>
      <c r="AB239" s="3">
        <v>101</v>
      </c>
      <c r="AC239" s="3" t="str">
        <f>IF(AND(EHR[[#This Row],[BP_Systolic_mmHg]]&lt;140,EHR[[#This Row],[BP_Diastolic_mmHg]]&lt;90),"Controlled",IF(OR(EHR[[#This Row],[BP_Systolic_mmHg]]="Not Recorded",EHR[[#This Row],[BP_Diastolic_mmHg]]="Not Recorded"),"No Reading","Uncontrolled"))</f>
        <v>Uncontrolled</v>
      </c>
      <c r="AD239" s="3" t="str">
        <f>_xlfn.CONCAT(EHR[[#This Row],[BP_Systolic_mmHg]],"/",EHR[[#This Row],[BP_Diastolic_mmHg]])</f>
        <v>141/101</v>
      </c>
      <c r="AE239" s="3">
        <v>84</v>
      </c>
      <c r="AF239" s="3">
        <v>13</v>
      </c>
      <c r="AG239" s="3">
        <v>38</v>
      </c>
      <c r="AH239" s="3">
        <v>30.7</v>
      </c>
      <c r="AI239" s="3" t="str">
        <f>IF(EHR[[#This Row],[BMI_kg_m2]]&gt;=30,"Obese","Non-Obese")</f>
        <v>Obese</v>
      </c>
      <c r="AJ239" s="3">
        <v>99</v>
      </c>
      <c r="AK239" s="3" t="s">
        <v>50</v>
      </c>
      <c r="AL239" s="3" t="s">
        <v>51</v>
      </c>
      <c r="AM239" s="3" t="s">
        <v>52</v>
      </c>
      <c r="AN239" s="3" t="s">
        <v>53</v>
      </c>
      <c r="AO239" s="3" t="s">
        <v>54</v>
      </c>
    </row>
    <row r="240" spans="1:41" x14ac:dyDescent="0.2">
      <c r="A240" s="6" t="s">
        <v>919</v>
      </c>
      <c r="B240" s="2" t="s">
        <v>932</v>
      </c>
      <c r="C240" s="13">
        <v>45092</v>
      </c>
      <c r="D240" s="2" t="s">
        <v>95</v>
      </c>
      <c r="E240" s="2" t="s">
        <v>61</v>
      </c>
      <c r="F240" s="2" t="s">
        <v>38</v>
      </c>
      <c r="G240" s="2" t="s">
        <v>123</v>
      </c>
      <c r="H240" s="13">
        <v>16260</v>
      </c>
      <c r="I240" s="2">
        <v>81</v>
      </c>
      <c r="J240" s="2" t="str" cm="1">
        <f t="array" ref="J24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40" s="2" t="s">
        <v>1572</v>
      </c>
      <c r="L240" s="2" t="s">
        <v>140</v>
      </c>
      <c r="M240" s="2" t="s">
        <v>79</v>
      </c>
      <c r="N240" s="2" t="s">
        <v>125</v>
      </c>
      <c r="O240" s="2" t="s">
        <v>1574</v>
      </c>
      <c r="P240" s="2" t="s">
        <v>126</v>
      </c>
      <c r="Q240" s="2" t="str">
        <f>_xlfn.XLOOKUP(EHR[[#This Row],[Primary_ICD11_Code]],'03_ICD11_Reference'!A:A,'03_ICD11_Reference'!D:D,,0)</f>
        <v>Neurological</v>
      </c>
      <c r="R240" s="2" t="s">
        <v>127</v>
      </c>
      <c r="S240" s="2" t="s">
        <v>69</v>
      </c>
      <c r="T240" s="2" t="s">
        <v>934</v>
      </c>
      <c r="U240" s="2">
        <v>3</v>
      </c>
      <c r="V240" s="2" t="str">
        <f>_xlfn.XLOOKUP(EHR[[#This Row],[Encounter_ID]],'02_Lab_Results'!B:B,'02_Lab_Results'!D:D,,0)</f>
        <v>4548-4</v>
      </c>
      <c r="W240" s="2" t="str">
        <f>_xlfn.XLOOKUP(EHR[[#This Row],[LOINC Code]],'04_LOINC_Reference'!A:A,'04_LOINC_Reference'!F:F,,0)</f>
        <v>Biochemistry</v>
      </c>
      <c r="X240" s="2" t="str">
        <f>_xlfn.XLOOKUP(EHR[[#This Row],[LOINC Code]],'02_Lab_Results'!D:D,'02_Lab_Results'!E:E,,0)</f>
        <v>HbA1c</v>
      </c>
      <c r="Y240" s="2" t="str">
        <f>_xlfn.XLOOKUP(EHR[[#This Row],[LOINC Code]],'02_Lab_Results'!D:D,'02_Lab_Results'!J:J,,0)</f>
        <v>High</v>
      </c>
      <c r="Z240" s="2" t="str" cm="1">
        <f t="array" ref="Z240">_xlfn.XLOOKUP(1,(B240=B$2:B$500)*(V$2:V$500="4548-4"),Y$2:Y$500,"Not Tested")</f>
        <v>High</v>
      </c>
      <c r="AA240" s="2">
        <v>126</v>
      </c>
      <c r="AB240" s="2">
        <v>74</v>
      </c>
      <c r="AC240" s="2" t="str">
        <f>IF(AND(EHR[[#This Row],[BP_Systolic_mmHg]]&lt;140,EHR[[#This Row],[BP_Diastolic_mmHg]]&lt;90),"Controlled",IF(OR(EHR[[#This Row],[BP_Systolic_mmHg]]="Not Recorded",EHR[[#This Row],[BP_Diastolic_mmHg]]="Not Recorded"),"No Reading","Uncontrolled"))</f>
        <v>Controlled</v>
      </c>
      <c r="AD240" s="2" t="str">
        <f>_xlfn.CONCAT(EHR[[#This Row],[BP_Systolic_mmHg]],"/",EHR[[#This Row],[BP_Diastolic_mmHg]])</f>
        <v>126/74</v>
      </c>
      <c r="AE240" s="2">
        <v>99</v>
      </c>
      <c r="AF240" s="2">
        <v>23</v>
      </c>
      <c r="AG240" s="2">
        <v>37.9</v>
      </c>
      <c r="AH240" s="2">
        <v>28.8</v>
      </c>
      <c r="AI240" s="2" t="str">
        <f>IF(EHR[[#This Row],[BMI_kg_m2]]&gt;=30,"Obese","Non-Obese")</f>
        <v>Non-Obese</v>
      </c>
      <c r="AJ240" s="2">
        <v>99</v>
      </c>
      <c r="AK240" s="2" t="s">
        <v>50</v>
      </c>
      <c r="AL240" s="2" t="s">
        <v>51</v>
      </c>
      <c r="AM240" s="2" t="s">
        <v>52</v>
      </c>
      <c r="AN240" s="2" t="s">
        <v>53</v>
      </c>
      <c r="AO240" s="2" t="s">
        <v>54</v>
      </c>
    </row>
    <row r="241" spans="1:41" x14ac:dyDescent="0.2">
      <c r="A241" s="7" t="s">
        <v>919</v>
      </c>
      <c r="B241" s="3" t="s">
        <v>935</v>
      </c>
      <c r="C241" s="14">
        <v>45672</v>
      </c>
      <c r="D241" s="3" t="s">
        <v>88</v>
      </c>
      <c r="E241" s="3" t="s">
        <v>37</v>
      </c>
      <c r="F241" s="3" t="s">
        <v>122</v>
      </c>
      <c r="G241" s="3" t="s">
        <v>104</v>
      </c>
      <c r="H241" s="14">
        <v>16260</v>
      </c>
      <c r="I241" s="3">
        <v>81</v>
      </c>
      <c r="J241" s="3" t="str" cm="1">
        <f t="array" ref="J24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41" s="3" t="s">
        <v>1572</v>
      </c>
      <c r="L241" s="3" t="s">
        <v>90</v>
      </c>
      <c r="M241" s="3" t="s">
        <v>79</v>
      </c>
      <c r="N241" s="3" t="s">
        <v>125</v>
      </c>
      <c r="O241" s="3" t="s">
        <v>1574</v>
      </c>
      <c r="P241" s="3" t="s">
        <v>126</v>
      </c>
      <c r="Q241" s="3" t="str">
        <f>_xlfn.XLOOKUP(EHR[[#This Row],[Primary_ICD11_Code]],'03_ICD11_Reference'!A:A,'03_ICD11_Reference'!D:D,,0)</f>
        <v>Neurological</v>
      </c>
      <c r="R241" s="3" t="s">
        <v>127</v>
      </c>
      <c r="S241" s="3" t="s">
        <v>69</v>
      </c>
      <c r="T241" s="3" t="s">
        <v>937</v>
      </c>
      <c r="U241" s="3">
        <v>4</v>
      </c>
      <c r="V241" s="3" t="str">
        <f>_xlfn.XLOOKUP(EHR[[#This Row],[Encounter_ID]],'02_Lab_Results'!B:B,'02_Lab_Results'!D:D,,0)</f>
        <v>2951-2</v>
      </c>
      <c r="W241" s="3" t="str">
        <f>_xlfn.XLOOKUP(EHR[[#This Row],[LOINC Code]],'04_LOINC_Reference'!A:A,'04_LOINC_Reference'!F:F,,0)</f>
        <v>Biochemistry</v>
      </c>
      <c r="X241" s="3" t="str">
        <f>_xlfn.XLOOKUP(EHR[[#This Row],[LOINC Code]],'02_Lab_Results'!D:D,'02_Lab_Results'!E:E,,0)</f>
        <v>Serum sodium</v>
      </c>
      <c r="Y241" s="3" t="str">
        <f>_xlfn.XLOOKUP(EHR[[#This Row],[LOINC Code]],'02_Lab_Results'!D:D,'02_Lab_Results'!J:J,,0)</f>
        <v>Low</v>
      </c>
      <c r="Z241" s="3" t="str" cm="1">
        <f t="array" ref="Z241">_xlfn.XLOOKUP(1,(B241=B$2:B$500)*(V$2:V$500="4548-4"),Y$2:Y$500,"Not Tested")</f>
        <v>Not Tested</v>
      </c>
      <c r="AA241" s="3">
        <v>116</v>
      </c>
      <c r="AB241" s="3">
        <v>70</v>
      </c>
      <c r="AC241" s="3" t="str">
        <f>IF(AND(EHR[[#This Row],[BP_Systolic_mmHg]]&lt;140,EHR[[#This Row],[BP_Diastolic_mmHg]]&lt;90),"Controlled",IF(OR(EHR[[#This Row],[BP_Systolic_mmHg]]="Not Recorded",EHR[[#This Row],[BP_Diastolic_mmHg]]="Not Recorded"),"No Reading","Uncontrolled"))</f>
        <v>Controlled</v>
      </c>
      <c r="AD241" s="3" t="str">
        <f>_xlfn.CONCAT(EHR[[#This Row],[BP_Systolic_mmHg]],"/",EHR[[#This Row],[BP_Diastolic_mmHg]])</f>
        <v>116/70</v>
      </c>
      <c r="AE241" s="3">
        <v>106</v>
      </c>
      <c r="AF241" s="3">
        <v>24</v>
      </c>
      <c r="AG241" s="3">
        <v>36.700000000000003</v>
      </c>
      <c r="AH241" s="3">
        <v>28.8</v>
      </c>
      <c r="AI241" s="3" t="str">
        <f>IF(EHR[[#This Row],[BMI_kg_m2]]&gt;=30,"Obese","Non-Obese")</f>
        <v>Non-Obese</v>
      </c>
      <c r="AJ241" s="3">
        <v>88</v>
      </c>
      <c r="AK241" s="3" t="s">
        <v>50</v>
      </c>
      <c r="AL241" s="3" t="s">
        <v>51</v>
      </c>
      <c r="AM241" s="3" t="s">
        <v>52</v>
      </c>
      <c r="AN241" s="3" t="s">
        <v>53</v>
      </c>
      <c r="AO241" s="3" t="s">
        <v>54</v>
      </c>
    </row>
    <row r="242" spans="1:41" x14ac:dyDescent="0.2">
      <c r="A242" s="6" t="s">
        <v>938</v>
      </c>
      <c r="B242" s="2" t="s">
        <v>939</v>
      </c>
      <c r="C242" s="13">
        <v>45061</v>
      </c>
      <c r="D242" s="2" t="s">
        <v>88</v>
      </c>
      <c r="E242" s="2" t="s">
        <v>61</v>
      </c>
      <c r="F242" s="2" t="s">
        <v>97</v>
      </c>
      <c r="G242" s="2" t="s">
        <v>98</v>
      </c>
      <c r="H242" s="13">
        <v>35747</v>
      </c>
      <c r="I242" s="2">
        <v>28</v>
      </c>
      <c r="J242" s="2" t="str" cm="1">
        <f t="array" ref="J24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42" s="2" t="s">
        <v>1572</v>
      </c>
      <c r="L242" s="2" t="s">
        <v>116</v>
      </c>
      <c r="M242" s="2" t="s">
        <v>43</v>
      </c>
      <c r="N242" s="2" t="s">
        <v>125</v>
      </c>
      <c r="O242" s="2" t="s">
        <v>1574</v>
      </c>
      <c r="P242" s="2" t="s">
        <v>183</v>
      </c>
      <c r="Q242" s="2" t="str">
        <f>_xlfn.XLOOKUP(EHR[[#This Row],[Primary_ICD11_Code]],'03_ICD11_Reference'!A:A,'03_ICD11_Reference'!D:D,,0)</f>
        <v>Genitourinary</v>
      </c>
      <c r="R242" s="2" t="s">
        <v>184</v>
      </c>
      <c r="S242" s="2" t="s">
        <v>48</v>
      </c>
      <c r="T242" s="2" t="s">
        <v>942</v>
      </c>
      <c r="U242" s="2">
        <v>3</v>
      </c>
      <c r="V242" s="2" t="str">
        <f>_xlfn.XLOOKUP(EHR[[#This Row],[Encounter_ID]],'02_Lab_Results'!B:B,'02_Lab_Results'!D:D,,0)</f>
        <v>2085-9</v>
      </c>
      <c r="W242" s="2" t="str">
        <f>_xlfn.XLOOKUP(EHR[[#This Row],[LOINC Code]],'04_LOINC_Reference'!A:A,'04_LOINC_Reference'!F:F,,0)</f>
        <v>Biochemistry</v>
      </c>
      <c r="X242" s="2" t="str">
        <f>_xlfn.XLOOKUP(EHR[[#This Row],[LOINC Code]],'02_Lab_Results'!D:D,'02_Lab_Results'!E:E,,0)</f>
        <v>HDL cholesterol</v>
      </c>
      <c r="Y242" s="2" t="str">
        <f>_xlfn.XLOOKUP(EHR[[#This Row],[LOINC Code]],'02_Lab_Results'!D:D,'02_Lab_Results'!J:J,,0)</f>
        <v>Normal</v>
      </c>
      <c r="Z242" s="2" t="str" cm="1">
        <f t="array" ref="Z242">_xlfn.XLOOKUP(1,(B242=B$2:B$500)*(V$2:V$500="4548-4"),Y$2:Y$500,"Not Tested")</f>
        <v>Not Tested</v>
      </c>
      <c r="AA242" s="2">
        <v>142</v>
      </c>
      <c r="AB242" s="2">
        <v>65</v>
      </c>
      <c r="AC242" s="2" t="str">
        <f>IF(AND(EHR[[#This Row],[BP_Systolic_mmHg]]&lt;140,EHR[[#This Row],[BP_Diastolic_mmHg]]&lt;90),"Controlled",IF(OR(EHR[[#This Row],[BP_Systolic_mmHg]]="Not Recorded",EHR[[#This Row],[BP_Diastolic_mmHg]]="Not Recorded"),"No Reading","Uncontrolled"))</f>
        <v>Uncontrolled</v>
      </c>
      <c r="AD242" s="2" t="str">
        <f>_xlfn.CONCAT(EHR[[#This Row],[BP_Systolic_mmHg]],"/",EHR[[#This Row],[BP_Diastolic_mmHg]])</f>
        <v>142/65</v>
      </c>
      <c r="AE242" s="2">
        <v>53</v>
      </c>
      <c r="AF242" s="2">
        <v>18</v>
      </c>
      <c r="AG242" s="2">
        <v>38.9</v>
      </c>
      <c r="AH242" s="2">
        <v>42.1</v>
      </c>
      <c r="AI242" s="2" t="str">
        <f>IF(EHR[[#This Row],[BMI_kg_m2]]&gt;=30,"Obese","Non-Obese")</f>
        <v>Obese</v>
      </c>
      <c r="AJ242" s="2">
        <v>93</v>
      </c>
      <c r="AK242" s="2" t="s">
        <v>50</v>
      </c>
      <c r="AL242" s="2" t="s">
        <v>51</v>
      </c>
      <c r="AM242" s="2" t="s">
        <v>52</v>
      </c>
      <c r="AN242" s="2" t="s">
        <v>53</v>
      </c>
      <c r="AO242" s="2" t="s">
        <v>54</v>
      </c>
    </row>
    <row r="243" spans="1:41" x14ac:dyDescent="0.2">
      <c r="A243" s="7" t="s">
        <v>943</v>
      </c>
      <c r="B243" s="3" t="s">
        <v>944</v>
      </c>
      <c r="C243" s="14">
        <v>45301</v>
      </c>
      <c r="D243" s="3" t="s">
        <v>95</v>
      </c>
      <c r="E243" s="3" t="s">
        <v>167</v>
      </c>
      <c r="F243" s="3" t="s">
        <v>75</v>
      </c>
      <c r="G243" s="3" t="s">
        <v>39</v>
      </c>
      <c r="H243" s="14">
        <v>14936</v>
      </c>
      <c r="I243" s="3">
        <v>85</v>
      </c>
      <c r="J243" s="3" t="str" cm="1">
        <f t="array" ref="J24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43" s="3" t="s">
        <v>1573</v>
      </c>
      <c r="L243" s="3" t="s">
        <v>66</v>
      </c>
      <c r="M243" s="3" t="s">
        <v>141</v>
      </c>
      <c r="N243" s="3" t="s">
        <v>80</v>
      </c>
      <c r="O243" s="3" t="s">
        <v>45</v>
      </c>
      <c r="P243" s="3" t="s">
        <v>183</v>
      </c>
      <c r="Q243" s="3" t="str">
        <f>_xlfn.XLOOKUP(EHR[[#This Row],[Primary_ICD11_Code]],'03_ICD11_Reference'!A:A,'03_ICD11_Reference'!D:D,,0)</f>
        <v>Genitourinary</v>
      </c>
      <c r="R243" s="3" t="s">
        <v>184</v>
      </c>
      <c r="S243" s="3" t="s">
        <v>48</v>
      </c>
      <c r="T243" s="3" t="s">
        <v>117</v>
      </c>
      <c r="U243" s="3">
        <v>1</v>
      </c>
      <c r="V243" s="3" t="str">
        <f>_xlfn.XLOOKUP(EHR[[#This Row],[Encounter_ID]],'02_Lab_Results'!B:B,'02_Lab_Results'!D:D,,0)</f>
        <v>2345-7</v>
      </c>
      <c r="W243" s="3" t="str">
        <f>_xlfn.XLOOKUP(EHR[[#This Row],[LOINC Code]],'04_LOINC_Reference'!A:A,'04_LOINC_Reference'!F:F,,0)</f>
        <v>Biochemistry</v>
      </c>
      <c r="X243" s="3" t="str">
        <f>_xlfn.XLOOKUP(EHR[[#This Row],[LOINC Code]],'02_Lab_Results'!D:D,'02_Lab_Results'!E:E,,0)</f>
        <v>Serum glucose (fasting)</v>
      </c>
      <c r="Y243" s="3" t="str">
        <f>_xlfn.XLOOKUP(EHR[[#This Row],[LOINC Code]],'02_Lab_Results'!D:D,'02_Lab_Results'!J:J,,0)</f>
        <v>Normal</v>
      </c>
      <c r="Z243" s="3" t="str" cm="1">
        <f t="array" ref="Z243">_xlfn.XLOOKUP(1,(B243=B$2:B$500)*(V$2:V$500="4548-4"),Y$2:Y$500,"Not Tested")</f>
        <v>Not Tested</v>
      </c>
      <c r="AA243" s="3">
        <v>132</v>
      </c>
      <c r="AB243" s="3">
        <v>64</v>
      </c>
      <c r="AC243" s="3" t="str">
        <f>IF(AND(EHR[[#This Row],[BP_Systolic_mmHg]]&lt;140,EHR[[#This Row],[BP_Diastolic_mmHg]]&lt;90),"Controlled",IF(OR(EHR[[#This Row],[BP_Systolic_mmHg]]="Not Recorded",EHR[[#This Row],[BP_Diastolic_mmHg]]="Not Recorded"),"No Reading","Uncontrolled"))</f>
        <v>Controlled</v>
      </c>
      <c r="AD243" s="3" t="str">
        <f>_xlfn.CONCAT(EHR[[#This Row],[BP_Systolic_mmHg]],"/",EHR[[#This Row],[BP_Diastolic_mmHg]])</f>
        <v>132/64</v>
      </c>
      <c r="AE243" s="3">
        <v>51</v>
      </c>
      <c r="AF243" s="3">
        <v>20</v>
      </c>
      <c r="AG243" s="3">
        <v>38.4</v>
      </c>
      <c r="AH243" s="3">
        <v>21.4</v>
      </c>
      <c r="AI243" s="3" t="str">
        <f>IF(EHR[[#This Row],[BMI_kg_m2]]&gt;=30,"Obese","Non-Obese")</f>
        <v>Non-Obese</v>
      </c>
      <c r="AJ243" s="3">
        <v>91</v>
      </c>
      <c r="AK243" s="3" t="s">
        <v>50</v>
      </c>
      <c r="AL243" s="3" t="s">
        <v>51</v>
      </c>
      <c r="AM243" s="3" t="s">
        <v>52</v>
      </c>
      <c r="AN243" s="3" t="s">
        <v>53</v>
      </c>
      <c r="AO243" s="3" t="s">
        <v>54</v>
      </c>
    </row>
    <row r="244" spans="1:41" x14ac:dyDescent="0.2">
      <c r="A244" s="6" t="s">
        <v>943</v>
      </c>
      <c r="B244" s="2" t="s">
        <v>946</v>
      </c>
      <c r="C244" s="13">
        <v>45226</v>
      </c>
      <c r="D244" s="2" t="s">
        <v>95</v>
      </c>
      <c r="E244" s="2" t="s">
        <v>61</v>
      </c>
      <c r="F244" s="2" t="s">
        <v>148</v>
      </c>
      <c r="G244" s="2" t="s">
        <v>104</v>
      </c>
      <c r="H244" s="13">
        <v>14936</v>
      </c>
      <c r="I244" s="2">
        <v>85</v>
      </c>
      <c r="J244" s="2" t="str" cm="1">
        <f t="array" ref="J24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44" s="2" t="s">
        <v>1573</v>
      </c>
      <c r="L244" s="2" t="s">
        <v>42</v>
      </c>
      <c r="M244" s="2" t="s">
        <v>141</v>
      </c>
      <c r="N244" s="2" t="s">
        <v>80</v>
      </c>
      <c r="O244" s="2" t="s">
        <v>45</v>
      </c>
      <c r="P244" s="2" t="s">
        <v>183</v>
      </c>
      <c r="Q244" s="2" t="str">
        <f>_xlfn.XLOOKUP(EHR[[#This Row],[Primary_ICD11_Code]],'03_ICD11_Reference'!A:A,'03_ICD11_Reference'!D:D,,0)</f>
        <v>Genitourinary</v>
      </c>
      <c r="R244" s="2" t="s">
        <v>184</v>
      </c>
      <c r="S244" s="2" t="s">
        <v>48</v>
      </c>
      <c r="T244" s="2" t="s">
        <v>948</v>
      </c>
      <c r="U244" s="2">
        <v>4</v>
      </c>
      <c r="V244" s="2" t="str">
        <f>_xlfn.XLOOKUP(EHR[[#This Row],[Encounter_ID]],'02_Lab_Results'!B:B,'02_Lab_Results'!D:D,,0)</f>
        <v>17861-6</v>
      </c>
      <c r="W244" s="2" t="str">
        <f>_xlfn.XLOOKUP(EHR[[#This Row],[LOINC Code]],'04_LOINC_Reference'!A:A,'04_LOINC_Reference'!F:F,,0)</f>
        <v>Biochemistry</v>
      </c>
      <c r="X244" s="2" t="str">
        <f>_xlfn.XLOOKUP(EHR[[#This Row],[LOINC Code]],'02_Lab_Results'!D:D,'02_Lab_Results'!E:E,,0)</f>
        <v>Serum calcium</v>
      </c>
      <c r="Y244" s="2" t="str">
        <f>_xlfn.XLOOKUP(EHR[[#This Row],[LOINC Code]],'02_Lab_Results'!D:D,'02_Lab_Results'!J:J,,0)</f>
        <v>High</v>
      </c>
      <c r="Z244" s="2" t="str" cm="1">
        <f t="array" ref="Z244">_xlfn.XLOOKUP(1,(B244=B$2:B$500)*(V$2:V$500="4548-4"),Y$2:Y$500,"Not Tested")</f>
        <v>Not Tested</v>
      </c>
      <c r="AA244" s="2">
        <v>149</v>
      </c>
      <c r="AB244" s="2">
        <v>103</v>
      </c>
      <c r="AC244" s="2" t="str">
        <f>IF(AND(EHR[[#This Row],[BP_Systolic_mmHg]]&lt;140,EHR[[#This Row],[BP_Diastolic_mmHg]]&lt;90),"Controlled",IF(OR(EHR[[#This Row],[BP_Systolic_mmHg]]="Not Recorded",EHR[[#This Row],[BP_Diastolic_mmHg]]="Not Recorded"),"No Reading","Uncontrolled"))</f>
        <v>Uncontrolled</v>
      </c>
      <c r="AD244" s="2" t="str">
        <f>_xlfn.CONCAT(EHR[[#This Row],[BP_Systolic_mmHg]],"/",EHR[[#This Row],[BP_Diastolic_mmHg]])</f>
        <v>149/103</v>
      </c>
      <c r="AE244" s="2">
        <v>91</v>
      </c>
      <c r="AF244" s="2">
        <v>15</v>
      </c>
      <c r="AG244" s="2">
        <v>38.799999999999997</v>
      </c>
      <c r="AH244" s="2">
        <v>30</v>
      </c>
      <c r="AI244" s="2" t="str">
        <f>IF(EHR[[#This Row],[BMI_kg_m2]]&gt;=30,"Obese","Non-Obese")</f>
        <v>Obese</v>
      </c>
      <c r="AJ244" s="2">
        <v>90</v>
      </c>
      <c r="AK244" s="2" t="s">
        <v>50</v>
      </c>
      <c r="AL244" s="2" t="s">
        <v>51</v>
      </c>
      <c r="AM244" s="2" t="s">
        <v>52</v>
      </c>
      <c r="AN244" s="2" t="s">
        <v>53</v>
      </c>
      <c r="AO244" s="2" t="s">
        <v>54</v>
      </c>
    </row>
    <row r="245" spans="1:41" x14ac:dyDescent="0.2">
      <c r="A245" s="7" t="s">
        <v>949</v>
      </c>
      <c r="B245" s="3" t="s">
        <v>950</v>
      </c>
      <c r="C245" s="14">
        <v>45559</v>
      </c>
      <c r="D245" s="3" t="s">
        <v>36</v>
      </c>
      <c r="E245" s="3" t="s">
        <v>61</v>
      </c>
      <c r="F245" s="3" t="s">
        <v>219</v>
      </c>
      <c r="G245" s="3" t="s">
        <v>123</v>
      </c>
      <c r="H245" s="14">
        <v>20207</v>
      </c>
      <c r="I245" s="3">
        <v>70</v>
      </c>
      <c r="J245" s="3" t="str" cm="1">
        <f t="array" ref="J24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45" s="3" t="s">
        <v>1573</v>
      </c>
      <c r="L245" s="3" t="s">
        <v>140</v>
      </c>
      <c r="M245" s="3" t="s">
        <v>43</v>
      </c>
      <c r="N245" s="3" t="s">
        <v>125</v>
      </c>
      <c r="O245" s="3" t="s">
        <v>45</v>
      </c>
      <c r="P245" s="3" t="s">
        <v>195</v>
      </c>
      <c r="Q245" s="3" t="str">
        <f>_xlfn.XLOOKUP(EHR[[#This Row],[Primary_ICD11_Code]],'03_ICD11_Reference'!A:A,'03_ICD11_Reference'!D:D,,0)</f>
        <v>Respiratory</v>
      </c>
      <c r="R245" s="3" t="s">
        <v>196</v>
      </c>
      <c r="S245" s="3" t="s">
        <v>69</v>
      </c>
      <c r="T245" s="3" t="s">
        <v>243</v>
      </c>
      <c r="U245" s="3">
        <v>1</v>
      </c>
      <c r="V245" s="3" t="str">
        <f>_xlfn.XLOOKUP(EHR[[#This Row],[Encounter_ID]],'02_Lab_Results'!B:B,'02_Lab_Results'!D:D,,0)</f>
        <v>2951-2</v>
      </c>
      <c r="W245" s="3" t="str">
        <f>_xlfn.XLOOKUP(EHR[[#This Row],[LOINC Code]],'04_LOINC_Reference'!A:A,'04_LOINC_Reference'!F:F,,0)</f>
        <v>Biochemistry</v>
      </c>
      <c r="X245" s="3" t="str">
        <f>_xlfn.XLOOKUP(EHR[[#This Row],[LOINC Code]],'02_Lab_Results'!D:D,'02_Lab_Results'!E:E,,0)</f>
        <v>Serum sodium</v>
      </c>
      <c r="Y245" s="3" t="str">
        <f>_xlfn.XLOOKUP(EHR[[#This Row],[LOINC Code]],'02_Lab_Results'!D:D,'02_Lab_Results'!J:J,,0)</f>
        <v>Low</v>
      </c>
      <c r="Z245" s="3" t="str" cm="1">
        <f t="array" ref="Z245">_xlfn.XLOOKUP(1,(B245=B$2:B$500)*(V$2:V$500="4548-4"),Y$2:Y$500,"Not Tested")</f>
        <v>Not Tested</v>
      </c>
      <c r="AA245" s="3">
        <v>136</v>
      </c>
      <c r="AB245" s="3">
        <v>97</v>
      </c>
      <c r="AC245" s="3" t="str">
        <f>IF(AND(EHR[[#This Row],[BP_Systolic_mmHg]]&lt;140,EHR[[#This Row],[BP_Diastolic_mmHg]]&lt;90),"Controlled",IF(OR(EHR[[#This Row],[BP_Systolic_mmHg]]="Not Recorded",EHR[[#This Row],[BP_Diastolic_mmHg]]="Not Recorded"),"No Reading","Uncontrolled"))</f>
        <v>Uncontrolled</v>
      </c>
      <c r="AD245" s="3" t="str">
        <f>_xlfn.CONCAT(EHR[[#This Row],[BP_Systolic_mmHg]],"/",EHR[[#This Row],[BP_Diastolic_mmHg]])</f>
        <v>136/97</v>
      </c>
      <c r="AE245" s="3">
        <v>87</v>
      </c>
      <c r="AF245" s="3">
        <v>17</v>
      </c>
      <c r="AG245" s="3">
        <v>36.5</v>
      </c>
      <c r="AH245" s="3">
        <v>45.1</v>
      </c>
      <c r="AI245" s="3" t="str">
        <f>IF(EHR[[#This Row],[BMI_kg_m2]]&gt;=30,"Obese","Non-Obese")</f>
        <v>Obese</v>
      </c>
      <c r="AJ245" s="3">
        <v>87</v>
      </c>
      <c r="AK245" s="3" t="s">
        <v>50</v>
      </c>
      <c r="AL245" s="3" t="s">
        <v>51</v>
      </c>
      <c r="AM245" s="3" t="s">
        <v>52</v>
      </c>
      <c r="AN245" s="3" t="s">
        <v>53</v>
      </c>
      <c r="AO245" s="3" t="s">
        <v>54</v>
      </c>
    </row>
    <row r="246" spans="1:41" x14ac:dyDescent="0.2">
      <c r="A246" s="6" t="s">
        <v>949</v>
      </c>
      <c r="B246" s="2" t="s">
        <v>953</v>
      </c>
      <c r="C246" s="13">
        <v>45019</v>
      </c>
      <c r="D246" s="2" t="s">
        <v>60</v>
      </c>
      <c r="E246" s="2" t="s">
        <v>61</v>
      </c>
      <c r="F246" s="2" t="s">
        <v>75</v>
      </c>
      <c r="G246" s="2" t="s">
        <v>104</v>
      </c>
      <c r="H246" s="13">
        <v>20207</v>
      </c>
      <c r="I246" s="2">
        <v>70</v>
      </c>
      <c r="J246" s="2" t="str" cm="1">
        <f t="array" ref="J24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46" s="2" t="s">
        <v>1573</v>
      </c>
      <c r="L246" s="2" t="s">
        <v>66</v>
      </c>
      <c r="M246" s="2" t="s">
        <v>43</v>
      </c>
      <c r="N246" s="2" t="s">
        <v>125</v>
      </c>
      <c r="O246" s="2" t="s">
        <v>45</v>
      </c>
      <c r="P246" s="2" t="s">
        <v>195</v>
      </c>
      <c r="Q246" s="2" t="str">
        <f>_xlfn.XLOOKUP(EHR[[#This Row],[Primary_ICD11_Code]],'03_ICD11_Reference'!A:A,'03_ICD11_Reference'!D:D,,0)</f>
        <v>Respiratory</v>
      </c>
      <c r="R246" s="2" t="s">
        <v>196</v>
      </c>
      <c r="S246" s="2" t="s">
        <v>69</v>
      </c>
      <c r="T246" s="2" t="s">
        <v>460</v>
      </c>
      <c r="U246" s="2">
        <v>1</v>
      </c>
      <c r="V246" s="2" t="str">
        <f>_xlfn.XLOOKUP(EHR[[#This Row],[Encounter_ID]],'02_Lab_Results'!B:B,'02_Lab_Results'!D:D,,0)</f>
        <v>17861-6</v>
      </c>
      <c r="W246" s="2" t="str">
        <f>_xlfn.XLOOKUP(EHR[[#This Row],[LOINC Code]],'04_LOINC_Reference'!A:A,'04_LOINC_Reference'!F:F,,0)</f>
        <v>Biochemistry</v>
      </c>
      <c r="X246" s="2" t="str">
        <f>_xlfn.XLOOKUP(EHR[[#This Row],[LOINC Code]],'02_Lab_Results'!D:D,'02_Lab_Results'!E:E,,0)</f>
        <v>Serum calcium</v>
      </c>
      <c r="Y246" s="2" t="str">
        <f>_xlfn.XLOOKUP(EHR[[#This Row],[LOINC Code]],'02_Lab_Results'!D:D,'02_Lab_Results'!J:J,,0)</f>
        <v>High</v>
      </c>
      <c r="Z246" s="2" t="str" cm="1">
        <f t="array" ref="Z246">_xlfn.XLOOKUP(1,(B246=B$2:B$500)*(V$2:V$500="4548-4"),Y$2:Y$500,"Not Tested")</f>
        <v>Not Tested</v>
      </c>
      <c r="AA246" s="2">
        <v>109</v>
      </c>
      <c r="AB246" s="2">
        <v>85</v>
      </c>
      <c r="AC246" s="2" t="str">
        <f>IF(AND(EHR[[#This Row],[BP_Systolic_mmHg]]&lt;140,EHR[[#This Row],[BP_Diastolic_mmHg]]&lt;90),"Controlled",IF(OR(EHR[[#This Row],[BP_Systolic_mmHg]]="Not Recorded",EHR[[#This Row],[BP_Diastolic_mmHg]]="Not Recorded"),"No Reading","Uncontrolled"))</f>
        <v>Controlled</v>
      </c>
      <c r="AD246" s="2" t="str">
        <f>_xlfn.CONCAT(EHR[[#This Row],[BP_Systolic_mmHg]],"/",EHR[[#This Row],[BP_Diastolic_mmHg]])</f>
        <v>109/85</v>
      </c>
      <c r="AE246" s="2">
        <v>76</v>
      </c>
      <c r="AF246" s="2">
        <v>17</v>
      </c>
      <c r="AG246" s="2">
        <v>38.6</v>
      </c>
      <c r="AH246" s="2">
        <v>45.9</v>
      </c>
      <c r="AI246" s="2" t="str">
        <f>IF(EHR[[#This Row],[BMI_kg_m2]]&gt;=30,"Obese","Non-Obese")</f>
        <v>Obese</v>
      </c>
      <c r="AJ246" s="2">
        <v>93</v>
      </c>
      <c r="AK246" s="2" t="s">
        <v>50</v>
      </c>
      <c r="AL246" s="2" t="s">
        <v>51</v>
      </c>
      <c r="AM246" s="2" t="s">
        <v>52</v>
      </c>
      <c r="AN246" s="2" t="s">
        <v>53</v>
      </c>
      <c r="AO246" s="2" t="s">
        <v>54</v>
      </c>
    </row>
    <row r="247" spans="1:41" x14ac:dyDescent="0.2">
      <c r="A247" s="7" t="s">
        <v>955</v>
      </c>
      <c r="B247" s="3" t="s">
        <v>956</v>
      </c>
      <c r="C247" s="15">
        <v>45713</v>
      </c>
      <c r="D247" s="3" t="s">
        <v>103</v>
      </c>
      <c r="E247" s="3" t="s">
        <v>96</v>
      </c>
      <c r="F247" s="3" t="s">
        <v>132</v>
      </c>
      <c r="G247" s="3" t="s">
        <v>104</v>
      </c>
      <c r="H247" s="14">
        <v>36054</v>
      </c>
      <c r="I247" s="4">
        <v>27</v>
      </c>
      <c r="J247" s="4" t="str" cm="1">
        <f t="array" ref="J24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47" s="3" t="s">
        <v>1573</v>
      </c>
      <c r="L247" s="3" t="s">
        <v>42</v>
      </c>
      <c r="M247" s="3" t="s">
        <v>79</v>
      </c>
      <c r="N247" s="3" t="s">
        <v>1574</v>
      </c>
      <c r="O247" s="3" t="s">
        <v>45</v>
      </c>
      <c r="P247" s="3" t="s">
        <v>497</v>
      </c>
      <c r="Q247" s="3" t="str">
        <f>_xlfn.XLOOKUP(EHR[[#This Row],[Primary_ICD11_Code]],'03_ICD11_Reference'!A:A,'03_ICD11_Reference'!D:D,,0)</f>
        <v>Endocrine</v>
      </c>
      <c r="R247" s="3" t="s">
        <v>498</v>
      </c>
      <c r="S247" s="3" t="s">
        <v>69</v>
      </c>
      <c r="T247" s="3" t="s">
        <v>885</v>
      </c>
      <c r="U247" s="3">
        <v>1</v>
      </c>
      <c r="V247" s="3" t="str">
        <f>_xlfn.XLOOKUP(EHR[[#This Row],[Encounter_ID]],'02_Lab_Results'!B:B,'02_Lab_Results'!D:D,,0)</f>
        <v>14627-4</v>
      </c>
      <c r="W247" s="3" t="str">
        <f>_xlfn.XLOOKUP(EHR[[#This Row],[LOINC Code]],'04_LOINC_Reference'!A:A,'04_LOINC_Reference'!F:F,,0)</f>
        <v>Biochemistry</v>
      </c>
      <c r="X247" s="3" t="str">
        <f>_xlfn.XLOOKUP(EHR[[#This Row],[LOINC Code]],'02_Lab_Results'!D:D,'02_Lab_Results'!E:E,,0)</f>
        <v>eGFR (CKD-EPI)</v>
      </c>
      <c r="Y247" s="3" t="str">
        <f>_xlfn.XLOOKUP(EHR[[#This Row],[LOINC Code]],'02_Lab_Results'!D:D,'02_Lab_Results'!J:J,,0)</f>
        <v>High</v>
      </c>
      <c r="Z247" s="3" t="str" cm="1">
        <f t="array" ref="Z247">_xlfn.XLOOKUP(1,(B247=B$2:B$500)*(V$2:V$500="4548-4"),Y$2:Y$500,"Not Tested")</f>
        <v>Not Tested</v>
      </c>
      <c r="AA247" s="4" t="s">
        <v>1570</v>
      </c>
      <c r="AB247" s="4">
        <v>78</v>
      </c>
      <c r="AC247" s="4" t="str">
        <f>IF(AND(EHR[[#This Row],[BP_Systolic_mmHg]]&lt;140,EHR[[#This Row],[BP_Diastolic_mmHg]]&lt;90),"Controlled",IF(OR(EHR[[#This Row],[BP_Systolic_mmHg]]="Not Recorded",EHR[[#This Row],[BP_Diastolic_mmHg]]="Not Recorded"),"No Reading","Uncontrolled"))</f>
        <v>No Reading</v>
      </c>
      <c r="AD247" s="4" t="str">
        <f>_xlfn.CONCAT(EHR[[#This Row],[BP_Systolic_mmHg]],"/",EHR[[#This Row],[BP_Diastolic_mmHg]])</f>
        <v>Not Recorded/78</v>
      </c>
      <c r="AE247" s="3">
        <v>123</v>
      </c>
      <c r="AF247" s="3">
        <v>16</v>
      </c>
      <c r="AG247" s="3">
        <v>39.200000000000003</v>
      </c>
      <c r="AH247" s="4" t="s">
        <v>1576</v>
      </c>
      <c r="AI247" s="4" t="str">
        <f>IF(EHR[[#This Row],[BMI_kg_m2]]&gt;=30,"Obese","Non-Obese")</f>
        <v>Obese</v>
      </c>
      <c r="AJ247" s="3">
        <v>97</v>
      </c>
      <c r="AK247" s="3" t="s">
        <v>50</v>
      </c>
      <c r="AL247" s="3" t="s">
        <v>51</v>
      </c>
      <c r="AM247" s="3" t="s">
        <v>52</v>
      </c>
      <c r="AN247" s="3" t="s">
        <v>53</v>
      </c>
      <c r="AO247" s="3" t="s">
        <v>54</v>
      </c>
    </row>
    <row r="248" spans="1:41" x14ac:dyDescent="0.2">
      <c r="A248" s="6" t="s">
        <v>955</v>
      </c>
      <c r="B248" s="2" t="s">
        <v>958</v>
      </c>
      <c r="C248" s="15">
        <v>45419</v>
      </c>
      <c r="D248" s="2" t="s">
        <v>88</v>
      </c>
      <c r="E248" s="2" t="s">
        <v>37</v>
      </c>
      <c r="F248" s="2" t="s">
        <v>132</v>
      </c>
      <c r="G248" s="2" t="s">
        <v>138</v>
      </c>
      <c r="H248" s="13">
        <v>36054</v>
      </c>
      <c r="I248" s="4">
        <v>27</v>
      </c>
      <c r="J248" s="4" t="str" cm="1">
        <f t="array" ref="J24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48" s="2" t="s">
        <v>1573</v>
      </c>
      <c r="L248" s="2" t="s">
        <v>110</v>
      </c>
      <c r="M248" s="2" t="s">
        <v>79</v>
      </c>
      <c r="N248" s="2" t="s">
        <v>1574</v>
      </c>
      <c r="O248" s="2" t="s">
        <v>45</v>
      </c>
      <c r="P248" s="2" t="s">
        <v>497</v>
      </c>
      <c r="Q248" s="2" t="str">
        <f>_xlfn.XLOOKUP(EHR[[#This Row],[Primary_ICD11_Code]],'03_ICD11_Reference'!A:A,'03_ICD11_Reference'!D:D,,0)</f>
        <v>Endocrine</v>
      </c>
      <c r="R248" s="2" t="s">
        <v>498</v>
      </c>
      <c r="S248" s="2" t="s">
        <v>69</v>
      </c>
      <c r="T248" s="2" t="s">
        <v>960</v>
      </c>
      <c r="U248" s="2">
        <v>3</v>
      </c>
      <c r="V248" s="2" t="str">
        <f>_xlfn.XLOOKUP(EHR[[#This Row],[Encounter_ID]],'02_Lab_Results'!B:B,'02_Lab_Results'!D:D,,0)</f>
        <v>718-7</v>
      </c>
      <c r="W248" s="2" t="str">
        <f>_xlfn.XLOOKUP(EHR[[#This Row],[LOINC Code]],'04_LOINC_Reference'!A:A,'04_LOINC_Reference'!F:F,,0)</f>
        <v>Biochemistry</v>
      </c>
      <c r="X248" s="2" t="str">
        <f>_xlfn.XLOOKUP(EHR[[#This Row],[LOINC Code]],'02_Lab_Results'!D:D,'02_Lab_Results'!E:E,,0)</f>
        <v>Haemoglobin</v>
      </c>
      <c r="Y248" s="2" t="str">
        <f>_xlfn.XLOOKUP(EHR[[#This Row],[LOINC Code]],'02_Lab_Results'!D:D,'02_Lab_Results'!J:J,,0)</f>
        <v>Normal</v>
      </c>
      <c r="Z248" s="2" t="str" cm="1">
        <f t="array" ref="Z248">_xlfn.XLOOKUP(1,(B248=B$2:B$500)*(V$2:V$500="4548-4"),Y$2:Y$500,"Not Tested")</f>
        <v>Not Tested</v>
      </c>
      <c r="AA248" s="4">
        <v>152</v>
      </c>
      <c r="AB248" s="4">
        <v>67</v>
      </c>
      <c r="AC248" s="4" t="str">
        <f>IF(AND(EHR[[#This Row],[BP_Systolic_mmHg]]&lt;140,EHR[[#This Row],[BP_Diastolic_mmHg]]&lt;90),"Controlled",IF(OR(EHR[[#This Row],[BP_Systolic_mmHg]]="Not Recorded",EHR[[#This Row],[BP_Diastolic_mmHg]]="Not Recorded"),"No Reading","Uncontrolled"))</f>
        <v>Uncontrolled</v>
      </c>
      <c r="AD248" s="4" t="str">
        <f>_xlfn.CONCAT(EHR[[#This Row],[BP_Systolic_mmHg]],"/",EHR[[#This Row],[BP_Diastolic_mmHg]])</f>
        <v>152/67</v>
      </c>
      <c r="AE248" s="2">
        <v>117</v>
      </c>
      <c r="AF248" s="2">
        <v>26</v>
      </c>
      <c r="AG248" s="2">
        <v>36.700000000000003</v>
      </c>
      <c r="AH248" s="4" t="s">
        <v>1576</v>
      </c>
      <c r="AI248" s="4" t="str">
        <f>IF(EHR[[#This Row],[BMI_kg_m2]]&gt;=30,"Obese","Non-Obese")</f>
        <v>Obese</v>
      </c>
      <c r="AJ248" s="2">
        <v>95</v>
      </c>
      <c r="AK248" s="2" t="s">
        <v>50</v>
      </c>
      <c r="AL248" s="2" t="s">
        <v>51</v>
      </c>
      <c r="AM248" s="2" t="s">
        <v>52</v>
      </c>
      <c r="AN248" s="2" t="s">
        <v>53</v>
      </c>
      <c r="AO248" s="2" t="s">
        <v>54</v>
      </c>
    </row>
    <row r="249" spans="1:41" x14ac:dyDescent="0.2">
      <c r="A249" s="7" t="s">
        <v>961</v>
      </c>
      <c r="B249" s="3" t="s">
        <v>962</v>
      </c>
      <c r="C249" s="14">
        <v>45084</v>
      </c>
      <c r="D249" s="3" t="s">
        <v>103</v>
      </c>
      <c r="E249" s="3" t="s">
        <v>167</v>
      </c>
      <c r="F249" s="3" t="s">
        <v>75</v>
      </c>
      <c r="G249" s="3" t="s">
        <v>98</v>
      </c>
      <c r="H249" s="14">
        <v>27835</v>
      </c>
      <c r="I249" s="3">
        <v>49</v>
      </c>
      <c r="J249" s="3" t="str" cm="1">
        <f t="array" ref="J24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49" s="3" t="s">
        <v>1572</v>
      </c>
      <c r="L249" s="3" t="s">
        <v>116</v>
      </c>
      <c r="M249" s="3" t="s">
        <v>79</v>
      </c>
      <c r="N249" s="3" t="s">
        <v>44</v>
      </c>
      <c r="O249" s="3" t="s">
        <v>45</v>
      </c>
      <c r="P249" s="3" t="s">
        <v>195</v>
      </c>
      <c r="Q249" s="3" t="str">
        <f>_xlfn.XLOOKUP(EHR[[#This Row],[Primary_ICD11_Code]],'03_ICD11_Reference'!A:A,'03_ICD11_Reference'!D:D,,0)</f>
        <v>Respiratory</v>
      </c>
      <c r="R249" s="3" t="s">
        <v>196</v>
      </c>
      <c r="S249" s="3" t="s">
        <v>69</v>
      </c>
      <c r="T249" s="3" t="s">
        <v>965</v>
      </c>
      <c r="U249" s="3">
        <v>4</v>
      </c>
      <c r="V249" s="3" t="str">
        <f>_xlfn.XLOOKUP(EHR[[#This Row],[Encounter_ID]],'02_Lab_Results'!B:B,'02_Lab_Results'!D:D,,0)</f>
        <v>13457-7</v>
      </c>
      <c r="W249" s="3" t="str">
        <f>_xlfn.XLOOKUP(EHR[[#This Row],[LOINC Code]],'04_LOINC_Reference'!A:A,'04_LOINC_Reference'!F:F,,0)</f>
        <v>Biochemistry</v>
      </c>
      <c r="X249" s="3" t="str">
        <f>_xlfn.XLOOKUP(EHR[[#This Row],[LOINC Code]],'02_Lab_Results'!D:D,'02_Lab_Results'!E:E,,0)</f>
        <v>LDL cholesterol</v>
      </c>
      <c r="Y249" s="3" t="str">
        <f>_xlfn.XLOOKUP(EHR[[#This Row],[LOINC Code]],'02_Lab_Results'!D:D,'02_Lab_Results'!J:J,,0)</f>
        <v>High</v>
      </c>
      <c r="Z249" s="3" t="str" cm="1">
        <f t="array" ref="Z249">_xlfn.XLOOKUP(1,(B249=B$2:B$500)*(V$2:V$500="4548-4"),Y$2:Y$500,"Not Tested")</f>
        <v>Not Tested</v>
      </c>
      <c r="AA249" s="3">
        <v>158</v>
      </c>
      <c r="AB249" s="3">
        <v>102</v>
      </c>
      <c r="AC249" s="3" t="str">
        <f>IF(AND(EHR[[#This Row],[BP_Systolic_mmHg]]&lt;140,EHR[[#This Row],[BP_Diastolic_mmHg]]&lt;90),"Controlled",IF(OR(EHR[[#This Row],[BP_Systolic_mmHg]]="Not Recorded",EHR[[#This Row],[BP_Diastolic_mmHg]]="Not Recorded"),"No Reading","Uncontrolled"))</f>
        <v>Uncontrolled</v>
      </c>
      <c r="AD249" s="3" t="str">
        <f>_xlfn.CONCAT(EHR[[#This Row],[BP_Systolic_mmHg]],"/",EHR[[#This Row],[BP_Diastolic_mmHg]])</f>
        <v>158/102</v>
      </c>
      <c r="AE249" s="3">
        <v>59</v>
      </c>
      <c r="AF249" s="3">
        <v>16</v>
      </c>
      <c r="AG249" s="3">
        <v>39.1</v>
      </c>
      <c r="AH249" s="3">
        <v>40</v>
      </c>
      <c r="AI249" s="3" t="str">
        <f>IF(EHR[[#This Row],[BMI_kg_m2]]&gt;=30,"Obese","Non-Obese")</f>
        <v>Obese</v>
      </c>
      <c r="AJ249" s="3">
        <v>97</v>
      </c>
      <c r="AK249" s="3" t="s">
        <v>50</v>
      </c>
      <c r="AL249" s="3" t="s">
        <v>51</v>
      </c>
      <c r="AM249" s="3" t="s">
        <v>52</v>
      </c>
      <c r="AN249" s="3" t="s">
        <v>53</v>
      </c>
      <c r="AO249" s="3" t="s">
        <v>54</v>
      </c>
    </row>
    <row r="250" spans="1:41" x14ac:dyDescent="0.2">
      <c r="A250" s="6" t="s">
        <v>961</v>
      </c>
      <c r="B250" s="2" t="s">
        <v>966</v>
      </c>
      <c r="C250" s="13">
        <v>45375</v>
      </c>
      <c r="D250" s="2" t="s">
        <v>103</v>
      </c>
      <c r="E250" s="2" t="s">
        <v>96</v>
      </c>
      <c r="F250" s="2" t="s">
        <v>62</v>
      </c>
      <c r="G250" s="2" t="s">
        <v>104</v>
      </c>
      <c r="H250" s="13">
        <v>27835</v>
      </c>
      <c r="I250" s="2">
        <v>49</v>
      </c>
      <c r="J250" s="2" t="str" cm="1">
        <f t="array" ref="J25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50" s="2" t="s">
        <v>1572</v>
      </c>
      <c r="L250" s="2" t="s">
        <v>90</v>
      </c>
      <c r="M250" s="2" t="s">
        <v>79</v>
      </c>
      <c r="N250" s="2" t="s">
        <v>44</v>
      </c>
      <c r="O250" s="2" t="s">
        <v>45</v>
      </c>
      <c r="P250" s="2" t="s">
        <v>195</v>
      </c>
      <c r="Q250" s="2" t="str">
        <f>_xlfn.XLOOKUP(EHR[[#This Row],[Primary_ICD11_Code]],'03_ICD11_Reference'!A:A,'03_ICD11_Reference'!D:D,,0)</f>
        <v>Respiratory</v>
      </c>
      <c r="R250" s="2" t="s">
        <v>196</v>
      </c>
      <c r="S250" s="2" t="s">
        <v>69</v>
      </c>
      <c r="T250" s="2" t="s">
        <v>968</v>
      </c>
      <c r="U250" s="2">
        <v>2</v>
      </c>
      <c r="V250" s="2" t="str">
        <f>_xlfn.XLOOKUP(EHR[[#This Row],[Encounter_ID]],'02_Lab_Results'!B:B,'02_Lab_Results'!D:D,,0)</f>
        <v>14627-4</v>
      </c>
      <c r="W250" s="2" t="str">
        <f>_xlfn.XLOOKUP(EHR[[#This Row],[LOINC Code]],'04_LOINC_Reference'!A:A,'04_LOINC_Reference'!F:F,,0)</f>
        <v>Biochemistry</v>
      </c>
      <c r="X250" s="2" t="str">
        <f>_xlfn.XLOOKUP(EHR[[#This Row],[LOINC Code]],'02_Lab_Results'!D:D,'02_Lab_Results'!E:E,,0)</f>
        <v>eGFR (CKD-EPI)</v>
      </c>
      <c r="Y250" s="2" t="str">
        <f>_xlfn.XLOOKUP(EHR[[#This Row],[LOINC Code]],'02_Lab_Results'!D:D,'02_Lab_Results'!J:J,,0)</f>
        <v>High</v>
      </c>
      <c r="Z250" s="2" t="str" cm="1">
        <f t="array" ref="Z250">_xlfn.XLOOKUP(1,(B250=B$2:B$500)*(V$2:V$500="4548-4"),Y$2:Y$500,"Not Tested")</f>
        <v>Not Tested</v>
      </c>
      <c r="AA250" s="2">
        <v>145</v>
      </c>
      <c r="AB250" s="2">
        <v>88</v>
      </c>
      <c r="AC250" s="2" t="str">
        <f>IF(AND(EHR[[#This Row],[BP_Systolic_mmHg]]&lt;140,EHR[[#This Row],[BP_Diastolic_mmHg]]&lt;90),"Controlled",IF(OR(EHR[[#This Row],[BP_Systolic_mmHg]]="Not Recorded",EHR[[#This Row],[BP_Diastolic_mmHg]]="Not Recorded"),"No Reading","Uncontrolled"))</f>
        <v>Uncontrolled</v>
      </c>
      <c r="AD250" s="2" t="str">
        <f>_xlfn.CONCAT(EHR[[#This Row],[BP_Systolic_mmHg]],"/",EHR[[#This Row],[BP_Diastolic_mmHg]])</f>
        <v>145/88</v>
      </c>
      <c r="AE250" s="2">
        <v>87</v>
      </c>
      <c r="AF250" s="2">
        <v>21</v>
      </c>
      <c r="AG250" s="2">
        <v>37.700000000000003</v>
      </c>
      <c r="AH250" s="2">
        <v>26.7</v>
      </c>
      <c r="AI250" s="2" t="str">
        <f>IF(EHR[[#This Row],[BMI_kg_m2]]&gt;=30,"Obese","Non-Obese")</f>
        <v>Non-Obese</v>
      </c>
      <c r="AJ250" s="2">
        <v>93</v>
      </c>
      <c r="AK250" s="2" t="s">
        <v>50</v>
      </c>
      <c r="AL250" s="2" t="s">
        <v>51</v>
      </c>
      <c r="AM250" s="2" t="s">
        <v>52</v>
      </c>
      <c r="AN250" s="2" t="s">
        <v>53</v>
      </c>
      <c r="AO250" s="2" t="s">
        <v>54</v>
      </c>
    </row>
    <row r="251" spans="1:41" x14ac:dyDescent="0.2">
      <c r="A251" s="7" t="s">
        <v>961</v>
      </c>
      <c r="B251" s="3" t="s">
        <v>969</v>
      </c>
      <c r="C251" s="14">
        <v>45302</v>
      </c>
      <c r="D251" s="3" t="s">
        <v>88</v>
      </c>
      <c r="E251" s="3" t="s">
        <v>96</v>
      </c>
      <c r="F251" s="3" t="s">
        <v>189</v>
      </c>
      <c r="G251" s="3" t="s">
        <v>98</v>
      </c>
      <c r="H251" s="14">
        <v>27835</v>
      </c>
      <c r="I251" s="3">
        <v>49</v>
      </c>
      <c r="J251" s="3" t="str" cm="1">
        <f t="array" ref="J25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51" s="3" t="s">
        <v>1572</v>
      </c>
      <c r="L251" s="3" t="s">
        <v>66</v>
      </c>
      <c r="M251" s="3" t="s">
        <v>79</v>
      </c>
      <c r="N251" s="3" t="s">
        <v>44</v>
      </c>
      <c r="O251" s="3" t="s">
        <v>45</v>
      </c>
      <c r="P251" s="3" t="s">
        <v>195</v>
      </c>
      <c r="Q251" s="3" t="str">
        <f>_xlfn.XLOOKUP(EHR[[#This Row],[Primary_ICD11_Code]],'03_ICD11_Reference'!A:A,'03_ICD11_Reference'!D:D,,0)</f>
        <v>Respiratory</v>
      </c>
      <c r="R251" s="3" t="s">
        <v>196</v>
      </c>
      <c r="S251" s="3" t="s">
        <v>69</v>
      </c>
      <c r="T251" s="3" t="s">
        <v>745</v>
      </c>
      <c r="U251" s="3">
        <v>2</v>
      </c>
      <c r="V251" s="3" t="str">
        <f>_xlfn.XLOOKUP(EHR[[#This Row],[Encounter_ID]],'02_Lab_Results'!B:B,'02_Lab_Results'!D:D,,0)</f>
        <v>2823-3</v>
      </c>
      <c r="W251" s="3" t="str">
        <f>_xlfn.XLOOKUP(EHR[[#This Row],[LOINC Code]],'04_LOINC_Reference'!A:A,'04_LOINC_Reference'!F:F,,0)</f>
        <v>Biochemistry</v>
      </c>
      <c r="X251" s="3" t="str">
        <f>_xlfn.XLOOKUP(EHR[[#This Row],[LOINC Code]],'02_Lab_Results'!D:D,'02_Lab_Results'!E:E,,0)</f>
        <v>Serum potassium</v>
      </c>
      <c r="Y251" s="3" t="str">
        <f>_xlfn.XLOOKUP(EHR[[#This Row],[LOINC Code]],'02_Lab_Results'!D:D,'02_Lab_Results'!J:J,,0)</f>
        <v>Normal</v>
      </c>
      <c r="Z251" s="3" t="str" cm="1">
        <f t="array" ref="Z251">_xlfn.XLOOKUP(1,(B251=B$2:B$500)*(V$2:V$500="4548-4"),Y$2:Y$500,"Not Tested")</f>
        <v>Not Tested</v>
      </c>
      <c r="AA251" s="3">
        <v>136</v>
      </c>
      <c r="AB251" s="3">
        <v>102</v>
      </c>
      <c r="AC251" s="3" t="str">
        <f>IF(AND(EHR[[#This Row],[BP_Systolic_mmHg]]&lt;140,EHR[[#This Row],[BP_Diastolic_mmHg]]&lt;90),"Controlled",IF(OR(EHR[[#This Row],[BP_Systolic_mmHg]]="Not Recorded",EHR[[#This Row],[BP_Diastolic_mmHg]]="Not Recorded"),"No Reading","Uncontrolled"))</f>
        <v>Uncontrolled</v>
      </c>
      <c r="AD251" s="3" t="str">
        <f>_xlfn.CONCAT(EHR[[#This Row],[BP_Systolic_mmHg]],"/",EHR[[#This Row],[BP_Diastolic_mmHg]])</f>
        <v>136/102</v>
      </c>
      <c r="AE251" s="3">
        <v>88</v>
      </c>
      <c r="AF251" s="3">
        <v>24</v>
      </c>
      <c r="AG251" s="3">
        <v>38.799999999999997</v>
      </c>
      <c r="AH251" s="3">
        <v>35.200000000000003</v>
      </c>
      <c r="AI251" s="3" t="str">
        <f>IF(EHR[[#This Row],[BMI_kg_m2]]&gt;=30,"Obese","Non-Obese")</f>
        <v>Obese</v>
      </c>
      <c r="AJ251" s="3">
        <v>92</v>
      </c>
      <c r="AK251" s="3" t="s">
        <v>50</v>
      </c>
      <c r="AL251" s="3" t="s">
        <v>51</v>
      </c>
      <c r="AM251" s="3" t="s">
        <v>52</v>
      </c>
      <c r="AN251" s="3" t="s">
        <v>53</v>
      </c>
      <c r="AO251" s="3" t="s">
        <v>54</v>
      </c>
    </row>
    <row r="252" spans="1:41" x14ac:dyDescent="0.2">
      <c r="A252" s="6" t="s">
        <v>961</v>
      </c>
      <c r="B252" s="2" t="s">
        <v>971</v>
      </c>
      <c r="C252" s="13">
        <v>45491</v>
      </c>
      <c r="D252" s="2" t="s">
        <v>103</v>
      </c>
      <c r="E252" s="2" t="s">
        <v>37</v>
      </c>
      <c r="F252" s="2" t="s">
        <v>219</v>
      </c>
      <c r="G252" s="2" t="s">
        <v>138</v>
      </c>
      <c r="H252" s="13">
        <v>27835</v>
      </c>
      <c r="I252" s="2">
        <v>49</v>
      </c>
      <c r="J252" s="2" t="str" cm="1">
        <f t="array" ref="J25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52" s="2" t="s">
        <v>1572</v>
      </c>
      <c r="L252" s="2" t="s">
        <v>110</v>
      </c>
      <c r="M252" s="2" t="s">
        <v>79</v>
      </c>
      <c r="N252" s="2" t="s">
        <v>44</v>
      </c>
      <c r="O252" s="2" t="s">
        <v>45</v>
      </c>
      <c r="P252" s="2" t="s">
        <v>195</v>
      </c>
      <c r="Q252" s="2" t="str">
        <f>_xlfn.XLOOKUP(EHR[[#This Row],[Primary_ICD11_Code]],'03_ICD11_Reference'!A:A,'03_ICD11_Reference'!D:D,,0)</f>
        <v>Respiratory</v>
      </c>
      <c r="R252" s="2" t="s">
        <v>196</v>
      </c>
      <c r="S252" s="2" t="s">
        <v>69</v>
      </c>
      <c r="T252" s="2" t="s">
        <v>973</v>
      </c>
      <c r="U252" s="2">
        <v>2</v>
      </c>
      <c r="V252" s="2" t="str">
        <f>_xlfn.XLOOKUP(EHR[[#This Row],[Encounter_ID]],'02_Lab_Results'!B:B,'02_Lab_Results'!D:D,,0)</f>
        <v>14627-4</v>
      </c>
      <c r="W252" s="2" t="str">
        <f>_xlfn.XLOOKUP(EHR[[#This Row],[LOINC Code]],'04_LOINC_Reference'!A:A,'04_LOINC_Reference'!F:F,,0)</f>
        <v>Biochemistry</v>
      </c>
      <c r="X252" s="2" t="str">
        <f>_xlfn.XLOOKUP(EHR[[#This Row],[LOINC Code]],'02_Lab_Results'!D:D,'02_Lab_Results'!E:E,,0)</f>
        <v>eGFR (CKD-EPI)</v>
      </c>
      <c r="Y252" s="2" t="str">
        <f>_xlfn.XLOOKUP(EHR[[#This Row],[LOINC Code]],'02_Lab_Results'!D:D,'02_Lab_Results'!J:J,,0)</f>
        <v>High</v>
      </c>
      <c r="Z252" s="2" t="str" cm="1">
        <f t="array" ref="Z252">_xlfn.XLOOKUP(1,(B252=B$2:B$500)*(V$2:V$500="4548-4"),Y$2:Y$500,"Not Tested")</f>
        <v>Not Tested</v>
      </c>
      <c r="AA252" s="2">
        <v>109</v>
      </c>
      <c r="AB252" s="2">
        <v>72</v>
      </c>
      <c r="AC252" s="2" t="str">
        <f>IF(AND(EHR[[#This Row],[BP_Systolic_mmHg]]&lt;140,EHR[[#This Row],[BP_Diastolic_mmHg]]&lt;90),"Controlled",IF(OR(EHR[[#This Row],[BP_Systolic_mmHg]]="Not Recorded",EHR[[#This Row],[BP_Diastolic_mmHg]]="Not Recorded"),"No Reading","Uncontrolled"))</f>
        <v>Controlled</v>
      </c>
      <c r="AD252" s="2" t="str">
        <f>_xlfn.CONCAT(EHR[[#This Row],[BP_Systolic_mmHg]],"/",EHR[[#This Row],[BP_Diastolic_mmHg]])</f>
        <v>109/72</v>
      </c>
      <c r="AE252" s="2">
        <v>81</v>
      </c>
      <c r="AF252" s="2">
        <v>17</v>
      </c>
      <c r="AG252" s="2">
        <v>36.299999999999997</v>
      </c>
      <c r="AH252" s="2">
        <v>36.299999999999997</v>
      </c>
      <c r="AI252" s="2" t="str">
        <f>IF(EHR[[#This Row],[BMI_kg_m2]]&gt;=30,"Obese","Non-Obese")</f>
        <v>Obese</v>
      </c>
      <c r="AJ252" s="2">
        <v>88</v>
      </c>
      <c r="AK252" s="2" t="s">
        <v>50</v>
      </c>
      <c r="AL252" s="2" t="s">
        <v>51</v>
      </c>
      <c r="AM252" s="2" t="s">
        <v>52</v>
      </c>
      <c r="AN252" s="2" t="s">
        <v>53</v>
      </c>
      <c r="AO252" s="2" t="s">
        <v>54</v>
      </c>
    </row>
    <row r="253" spans="1:41" x14ac:dyDescent="0.2">
      <c r="A253" s="7" t="s">
        <v>961</v>
      </c>
      <c r="B253" s="3" t="s">
        <v>974</v>
      </c>
      <c r="C253" s="14">
        <v>44959</v>
      </c>
      <c r="D253" s="3" t="s">
        <v>103</v>
      </c>
      <c r="E253" s="3" t="s">
        <v>96</v>
      </c>
      <c r="F253" s="3" t="s">
        <v>122</v>
      </c>
      <c r="G253" s="3" t="s">
        <v>98</v>
      </c>
      <c r="H253" s="14">
        <v>27835</v>
      </c>
      <c r="I253" s="3">
        <v>49</v>
      </c>
      <c r="J253" s="3" t="str" cm="1">
        <f t="array" ref="J25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53" s="3" t="s">
        <v>1572</v>
      </c>
      <c r="L253" s="3" t="s">
        <v>66</v>
      </c>
      <c r="M253" s="3" t="s">
        <v>79</v>
      </c>
      <c r="N253" s="3" t="s">
        <v>44</v>
      </c>
      <c r="O253" s="3" t="s">
        <v>45</v>
      </c>
      <c r="P253" s="3" t="s">
        <v>195</v>
      </c>
      <c r="Q253" s="3" t="str">
        <f>_xlfn.XLOOKUP(EHR[[#This Row],[Primary_ICD11_Code]],'03_ICD11_Reference'!A:A,'03_ICD11_Reference'!D:D,,0)</f>
        <v>Respiratory</v>
      </c>
      <c r="R253" s="3" t="s">
        <v>196</v>
      </c>
      <c r="S253" s="3" t="s">
        <v>69</v>
      </c>
      <c r="T253" s="3" t="s">
        <v>163</v>
      </c>
      <c r="U253" s="3">
        <v>1</v>
      </c>
      <c r="V253" s="3" t="str">
        <f>_xlfn.XLOOKUP(EHR[[#This Row],[Encounter_ID]],'02_Lab_Results'!B:B,'02_Lab_Results'!D:D,,0)</f>
        <v>17861-6</v>
      </c>
      <c r="W253" s="3" t="str">
        <f>_xlfn.XLOOKUP(EHR[[#This Row],[LOINC Code]],'04_LOINC_Reference'!A:A,'04_LOINC_Reference'!F:F,,0)</f>
        <v>Biochemistry</v>
      </c>
      <c r="X253" s="3" t="str">
        <f>_xlfn.XLOOKUP(EHR[[#This Row],[LOINC Code]],'02_Lab_Results'!D:D,'02_Lab_Results'!E:E,,0)</f>
        <v>Serum calcium</v>
      </c>
      <c r="Y253" s="3" t="str">
        <f>_xlfn.XLOOKUP(EHR[[#This Row],[LOINC Code]],'02_Lab_Results'!D:D,'02_Lab_Results'!J:J,,0)</f>
        <v>High</v>
      </c>
      <c r="Z253" s="3" t="str" cm="1">
        <f t="array" ref="Z253">_xlfn.XLOOKUP(1,(B253=B$2:B$500)*(V$2:V$500="4548-4"),Y$2:Y$500,"Not Tested")</f>
        <v>Not Tested</v>
      </c>
      <c r="AA253" s="3">
        <v>146</v>
      </c>
      <c r="AB253" s="3">
        <v>105</v>
      </c>
      <c r="AC253" s="3" t="str">
        <f>IF(AND(EHR[[#This Row],[BP_Systolic_mmHg]]&lt;140,EHR[[#This Row],[BP_Diastolic_mmHg]]&lt;90),"Controlled",IF(OR(EHR[[#This Row],[BP_Systolic_mmHg]]="Not Recorded",EHR[[#This Row],[BP_Diastolic_mmHg]]="Not Recorded"),"No Reading","Uncontrolled"))</f>
        <v>Uncontrolled</v>
      </c>
      <c r="AD253" s="3" t="str">
        <f>_xlfn.CONCAT(EHR[[#This Row],[BP_Systolic_mmHg]],"/",EHR[[#This Row],[BP_Diastolic_mmHg]])</f>
        <v>146/105</v>
      </c>
      <c r="AE253" s="3">
        <v>99</v>
      </c>
      <c r="AF253" s="3">
        <v>20</v>
      </c>
      <c r="AG253" s="3">
        <v>38.200000000000003</v>
      </c>
      <c r="AH253" s="3">
        <v>24.8</v>
      </c>
      <c r="AI253" s="3" t="str">
        <f>IF(EHR[[#This Row],[BMI_kg_m2]]&gt;=30,"Obese","Non-Obese")</f>
        <v>Non-Obese</v>
      </c>
      <c r="AJ253" s="3">
        <v>92</v>
      </c>
      <c r="AK253" s="3" t="s">
        <v>50</v>
      </c>
      <c r="AL253" s="3" t="s">
        <v>51</v>
      </c>
      <c r="AM253" s="3" t="s">
        <v>52</v>
      </c>
      <c r="AN253" s="3" t="s">
        <v>53</v>
      </c>
      <c r="AO253" s="3" t="s">
        <v>54</v>
      </c>
    </row>
    <row r="254" spans="1:41" x14ac:dyDescent="0.2">
      <c r="A254" s="6" t="s">
        <v>961</v>
      </c>
      <c r="B254" s="2" t="s">
        <v>975</v>
      </c>
      <c r="C254" s="13">
        <v>45581</v>
      </c>
      <c r="D254" s="2" t="s">
        <v>36</v>
      </c>
      <c r="E254" s="2" t="s">
        <v>37</v>
      </c>
      <c r="F254" s="2" t="s">
        <v>189</v>
      </c>
      <c r="G254" s="2" t="s">
        <v>63</v>
      </c>
      <c r="H254" s="13">
        <v>27835</v>
      </c>
      <c r="I254" s="2">
        <v>49</v>
      </c>
      <c r="J254" s="2" t="str" cm="1">
        <f t="array" ref="J25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54" s="2" t="s">
        <v>1572</v>
      </c>
      <c r="L254" s="2" t="s">
        <v>110</v>
      </c>
      <c r="M254" s="2" t="s">
        <v>79</v>
      </c>
      <c r="N254" s="2" t="s">
        <v>44</v>
      </c>
      <c r="O254" s="2" t="s">
        <v>45</v>
      </c>
      <c r="P254" s="2" t="s">
        <v>195</v>
      </c>
      <c r="Q254" s="2" t="str">
        <f>_xlfn.XLOOKUP(EHR[[#This Row],[Primary_ICD11_Code]],'03_ICD11_Reference'!A:A,'03_ICD11_Reference'!D:D,,0)</f>
        <v>Respiratory</v>
      </c>
      <c r="R254" s="2" t="s">
        <v>196</v>
      </c>
      <c r="S254" s="2" t="s">
        <v>69</v>
      </c>
      <c r="T254" s="2" t="s">
        <v>976</v>
      </c>
      <c r="U254" s="2">
        <v>3</v>
      </c>
      <c r="V254" s="2" t="str">
        <f>_xlfn.XLOOKUP(EHR[[#This Row],[Encounter_ID]],'02_Lab_Results'!B:B,'02_Lab_Results'!D:D,,0)</f>
        <v>718-7</v>
      </c>
      <c r="W254" s="2" t="str">
        <f>_xlfn.XLOOKUP(EHR[[#This Row],[LOINC Code]],'04_LOINC_Reference'!A:A,'04_LOINC_Reference'!F:F,,0)</f>
        <v>Biochemistry</v>
      </c>
      <c r="X254" s="2" t="str">
        <f>_xlfn.XLOOKUP(EHR[[#This Row],[LOINC Code]],'02_Lab_Results'!D:D,'02_Lab_Results'!E:E,,0)</f>
        <v>Haemoglobin</v>
      </c>
      <c r="Y254" s="2" t="str">
        <f>_xlfn.XLOOKUP(EHR[[#This Row],[LOINC Code]],'02_Lab_Results'!D:D,'02_Lab_Results'!J:J,,0)</f>
        <v>Normal</v>
      </c>
      <c r="Z254" s="2" t="str" cm="1">
        <f t="array" ref="Z254">_xlfn.XLOOKUP(1,(B254=B$2:B$500)*(V$2:V$500="4548-4"),Y$2:Y$500,"Not Tested")</f>
        <v>Not Tested</v>
      </c>
      <c r="AA254" s="2">
        <v>100</v>
      </c>
      <c r="AB254" s="2">
        <v>88</v>
      </c>
      <c r="AC254" s="2" t="str">
        <f>IF(AND(EHR[[#This Row],[BP_Systolic_mmHg]]&lt;140,EHR[[#This Row],[BP_Diastolic_mmHg]]&lt;90),"Controlled",IF(OR(EHR[[#This Row],[BP_Systolic_mmHg]]="Not Recorded",EHR[[#This Row],[BP_Diastolic_mmHg]]="Not Recorded"),"No Reading","Uncontrolled"))</f>
        <v>Controlled</v>
      </c>
      <c r="AD254" s="2" t="str">
        <f>_xlfn.CONCAT(EHR[[#This Row],[BP_Systolic_mmHg]],"/",EHR[[#This Row],[BP_Diastolic_mmHg]])</f>
        <v>100/88</v>
      </c>
      <c r="AE254" s="2">
        <v>120</v>
      </c>
      <c r="AF254" s="2">
        <v>19</v>
      </c>
      <c r="AG254" s="2">
        <v>37.200000000000003</v>
      </c>
      <c r="AH254" s="2">
        <v>37.700000000000003</v>
      </c>
      <c r="AI254" s="2" t="str">
        <f>IF(EHR[[#This Row],[BMI_kg_m2]]&gt;=30,"Obese","Non-Obese")</f>
        <v>Obese</v>
      </c>
      <c r="AJ254" s="2">
        <v>98</v>
      </c>
      <c r="AK254" s="2" t="s">
        <v>50</v>
      </c>
      <c r="AL254" s="2" t="s">
        <v>51</v>
      </c>
      <c r="AM254" s="2" t="s">
        <v>52</v>
      </c>
      <c r="AN254" s="2" t="s">
        <v>53</v>
      </c>
      <c r="AO254" s="2" t="s">
        <v>54</v>
      </c>
    </row>
    <row r="255" spans="1:41" x14ac:dyDescent="0.2">
      <c r="A255" s="7" t="s">
        <v>977</v>
      </c>
      <c r="B255" s="3" t="s">
        <v>978</v>
      </c>
      <c r="C255" s="14">
        <v>45711</v>
      </c>
      <c r="D255" s="3" t="s">
        <v>36</v>
      </c>
      <c r="E255" s="3" t="s">
        <v>167</v>
      </c>
      <c r="F255" s="3" t="s">
        <v>148</v>
      </c>
      <c r="G255" s="3" t="s">
        <v>76</v>
      </c>
      <c r="H255" s="14">
        <v>21282</v>
      </c>
      <c r="I255" s="3">
        <v>67</v>
      </c>
      <c r="J255" s="3" t="str" cm="1">
        <f t="array" ref="J25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55" s="3" t="s">
        <v>1572</v>
      </c>
      <c r="L255" s="3" t="s">
        <v>66</v>
      </c>
      <c r="M255" s="3" t="s">
        <v>43</v>
      </c>
      <c r="N255" s="3" t="s">
        <v>80</v>
      </c>
      <c r="O255" s="3" t="s">
        <v>1574</v>
      </c>
      <c r="P255" s="3" t="s">
        <v>283</v>
      </c>
      <c r="Q255" s="3" t="str">
        <f>_xlfn.XLOOKUP(EHR[[#This Row],[Primary_ICD11_Code]],'03_ICD11_Reference'!A:A,'03_ICD11_Reference'!D:D,,0)</f>
        <v>Multi-system</v>
      </c>
      <c r="R255" s="3" t="s">
        <v>284</v>
      </c>
      <c r="S255" s="3" t="s">
        <v>69</v>
      </c>
      <c r="T255" s="3" t="s">
        <v>981</v>
      </c>
      <c r="U255" s="3">
        <v>4</v>
      </c>
      <c r="V255" s="3" t="str">
        <f>_xlfn.XLOOKUP(EHR[[#This Row],[Encounter_ID]],'02_Lab_Results'!B:B,'02_Lab_Results'!D:D,,0)</f>
        <v>6768-6</v>
      </c>
      <c r="W255" s="3" t="str">
        <f>_xlfn.XLOOKUP(EHR[[#This Row],[LOINC Code]],'04_LOINC_Reference'!A:A,'04_LOINC_Reference'!F:F,,0)</f>
        <v>Biochemistry</v>
      </c>
      <c r="X255" s="3" t="str">
        <f>_xlfn.XLOOKUP(EHR[[#This Row],[LOINC Code]],'02_Lab_Results'!D:D,'02_Lab_Results'!E:E,,0)</f>
        <v>ALP</v>
      </c>
      <c r="Y255" s="3" t="str">
        <f>_xlfn.XLOOKUP(EHR[[#This Row],[LOINC Code]],'02_Lab_Results'!D:D,'02_Lab_Results'!J:J,,0)</f>
        <v>High</v>
      </c>
      <c r="Z255" s="3" t="str" cm="1">
        <f t="array" ref="Z255">_xlfn.XLOOKUP(1,(B255=B$2:B$500)*(V$2:V$500="4548-4"),Y$2:Y$500,"Not Tested")</f>
        <v>Not Tested</v>
      </c>
      <c r="AA255" s="3">
        <v>152</v>
      </c>
      <c r="AB255" s="3">
        <v>76</v>
      </c>
      <c r="AC255" s="3" t="str">
        <f>IF(AND(EHR[[#This Row],[BP_Systolic_mmHg]]&lt;140,EHR[[#This Row],[BP_Diastolic_mmHg]]&lt;90),"Controlled",IF(OR(EHR[[#This Row],[BP_Systolic_mmHg]]="Not Recorded",EHR[[#This Row],[BP_Diastolic_mmHg]]="Not Recorded"),"No Reading","Uncontrolled"))</f>
        <v>Uncontrolled</v>
      </c>
      <c r="AD255" s="3" t="str">
        <f>_xlfn.CONCAT(EHR[[#This Row],[BP_Systolic_mmHg]],"/",EHR[[#This Row],[BP_Diastolic_mmHg]])</f>
        <v>152/76</v>
      </c>
      <c r="AE255" s="3">
        <v>84</v>
      </c>
      <c r="AF255" s="3">
        <v>23</v>
      </c>
      <c r="AG255" s="3">
        <v>38.799999999999997</v>
      </c>
      <c r="AH255" s="3">
        <v>22.3</v>
      </c>
      <c r="AI255" s="3" t="str">
        <f>IF(EHR[[#This Row],[BMI_kg_m2]]&gt;=30,"Obese","Non-Obese")</f>
        <v>Non-Obese</v>
      </c>
      <c r="AJ255" s="3">
        <v>89</v>
      </c>
      <c r="AK255" s="3" t="s">
        <v>50</v>
      </c>
      <c r="AL255" s="3" t="s">
        <v>51</v>
      </c>
      <c r="AM255" s="3" t="s">
        <v>52</v>
      </c>
      <c r="AN255" s="3" t="s">
        <v>53</v>
      </c>
      <c r="AO255" s="3" t="s">
        <v>54</v>
      </c>
    </row>
    <row r="256" spans="1:41" x14ac:dyDescent="0.2">
      <c r="A256" s="6" t="s">
        <v>977</v>
      </c>
      <c r="B256" s="2" t="s">
        <v>982</v>
      </c>
      <c r="C256" s="13">
        <v>45307</v>
      </c>
      <c r="D256" s="2" t="s">
        <v>95</v>
      </c>
      <c r="E256" s="2" t="s">
        <v>37</v>
      </c>
      <c r="F256" s="2" t="s">
        <v>75</v>
      </c>
      <c r="G256" s="2" t="s">
        <v>104</v>
      </c>
      <c r="H256" s="13">
        <v>21282</v>
      </c>
      <c r="I256" s="2">
        <v>67</v>
      </c>
      <c r="J256" s="2" t="str" cm="1">
        <f t="array" ref="J25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56" s="2" t="s">
        <v>1572</v>
      </c>
      <c r="L256" s="2" t="s">
        <v>90</v>
      </c>
      <c r="M256" s="2" t="s">
        <v>43</v>
      </c>
      <c r="N256" s="2" t="s">
        <v>80</v>
      </c>
      <c r="O256" s="2" t="s">
        <v>1574</v>
      </c>
      <c r="P256" s="2" t="s">
        <v>283</v>
      </c>
      <c r="Q256" s="2" t="str">
        <f>_xlfn.XLOOKUP(EHR[[#This Row],[Primary_ICD11_Code]],'03_ICD11_Reference'!A:A,'03_ICD11_Reference'!D:D,,0)</f>
        <v>Multi-system</v>
      </c>
      <c r="R256" s="2" t="s">
        <v>284</v>
      </c>
      <c r="S256" s="2" t="s">
        <v>69</v>
      </c>
      <c r="T256" s="2" t="s">
        <v>984</v>
      </c>
      <c r="U256" s="2">
        <v>3</v>
      </c>
      <c r="V256" s="2" t="str">
        <f>_xlfn.XLOOKUP(EHR[[#This Row],[Encounter_ID]],'02_Lab_Results'!B:B,'02_Lab_Results'!D:D,,0)</f>
        <v>2951-2</v>
      </c>
      <c r="W256" s="2" t="str">
        <f>_xlfn.XLOOKUP(EHR[[#This Row],[LOINC Code]],'04_LOINC_Reference'!A:A,'04_LOINC_Reference'!F:F,,0)</f>
        <v>Biochemistry</v>
      </c>
      <c r="X256" s="2" t="str">
        <f>_xlfn.XLOOKUP(EHR[[#This Row],[LOINC Code]],'02_Lab_Results'!D:D,'02_Lab_Results'!E:E,,0)</f>
        <v>Serum sodium</v>
      </c>
      <c r="Y256" s="2" t="str">
        <f>_xlfn.XLOOKUP(EHR[[#This Row],[LOINC Code]],'02_Lab_Results'!D:D,'02_Lab_Results'!J:J,,0)</f>
        <v>Low</v>
      </c>
      <c r="Z256" s="2" t="str" cm="1">
        <f t="array" ref="Z256">_xlfn.XLOOKUP(1,(B256=B$2:B$500)*(V$2:V$500="4548-4"),Y$2:Y$500,"Not Tested")</f>
        <v>Not Tested</v>
      </c>
      <c r="AA256" s="2">
        <v>132</v>
      </c>
      <c r="AB256" s="2">
        <v>93</v>
      </c>
      <c r="AC256" s="2" t="str">
        <f>IF(AND(EHR[[#This Row],[BP_Systolic_mmHg]]&lt;140,EHR[[#This Row],[BP_Diastolic_mmHg]]&lt;90),"Controlled",IF(OR(EHR[[#This Row],[BP_Systolic_mmHg]]="Not Recorded",EHR[[#This Row],[BP_Diastolic_mmHg]]="Not Recorded"),"No Reading","Uncontrolled"))</f>
        <v>Uncontrolled</v>
      </c>
      <c r="AD256" s="2" t="str">
        <f>_xlfn.CONCAT(EHR[[#This Row],[BP_Systolic_mmHg]],"/",EHR[[#This Row],[BP_Diastolic_mmHg]])</f>
        <v>132/93</v>
      </c>
      <c r="AE256" s="2">
        <v>112</v>
      </c>
      <c r="AF256" s="2">
        <v>17</v>
      </c>
      <c r="AG256" s="2">
        <v>36.799999999999997</v>
      </c>
      <c r="AH256" s="2">
        <v>33.1</v>
      </c>
      <c r="AI256" s="2" t="str">
        <f>IF(EHR[[#This Row],[BMI_kg_m2]]&gt;=30,"Obese","Non-Obese")</f>
        <v>Obese</v>
      </c>
      <c r="AJ256" s="2">
        <v>92</v>
      </c>
      <c r="AK256" s="2" t="s">
        <v>50</v>
      </c>
      <c r="AL256" s="2" t="s">
        <v>51</v>
      </c>
      <c r="AM256" s="2" t="s">
        <v>52</v>
      </c>
      <c r="AN256" s="2" t="s">
        <v>53</v>
      </c>
      <c r="AO256" s="2" t="s">
        <v>54</v>
      </c>
    </row>
    <row r="257" spans="1:41" x14ac:dyDescent="0.2">
      <c r="A257" s="7" t="s">
        <v>977</v>
      </c>
      <c r="B257" s="3" t="s">
        <v>985</v>
      </c>
      <c r="C257" s="14">
        <v>44943</v>
      </c>
      <c r="D257" s="3" t="s">
        <v>88</v>
      </c>
      <c r="E257" s="3" t="s">
        <v>89</v>
      </c>
      <c r="F257" s="3" t="s">
        <v>38</v>
      </c>
      <c r="G257" s="3" t="s">
        <v>63</v>
      </c>
      <c r="H257" s="14">
        <v>21282</v>
      </c>
      <c r="I257" s="3">
        <v>67</v>
      </c>
      <c r="J257" s="3" t="str" cm="1">
        <f t="array" ref="J25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57" s="3" t="s">
        <v>1572</v>
      </c>
      <c r="L257" s="3" t="s">
        <v>110</v>
      </c>
      <c r="M257" s="3" t="s">
        <v>43</v>
      </c>
      <c r="N257" s="3" t="s">
        <v>80</v>
      </c>
      <c r="O257" s="3" t="s">
        <v>1574</v>
      </c>
      <c r="P257" s="3" t="s">
        <v>283</v>
      </c>
      <c r="Q257" s="3" t="str">
        <f>_xlfn.XLOOKUP(EHR[[#This Row],[Primary_ICD11_Code]],'03_ICD11_Reference'!A:A,'03_ICD11_Reference'!D:D,,0)</f>
        <v>Multi-system</v>
      </c>
      <c r="R257" s="3" t="s">
        <v>284</v>
      </c>
      <c r="S257" s="3" t="s">
        <v>69</v>
      </c>
      <c r="T257" s="3" t="s">
        <v>986</v>
      </c>
      <c r="U257" s="3">
        <v>3</v>
      </c>
      <c r="V257" s="3" t="str">
        <f>_xlfn.XLOOKUP(EHR[[#This Row],[Encounter_ID]],'02_Lab_Results'!B:B,'02_Lab_Results'!D:D,,0)</f>
        <v>2085-9</v>
      </c>
      <c r="W257" s="3" t="str">
        <f>_xlfn.XLOOKUP(EHR[[#This Row],[LOINC Code]],'04_LOINC_Reference'!A:A,'04_LOINC_Reference'!F:F,,0)</f>
        <v>Biochemistry</v>
      </c>
      <c r="X257" s="3" t="str">
        <f>_xlfn.XLOOKUP(EHR[[#This Row],[LOINC Code]],'02_Lab_Results'!D:D,'02_Lab_Results'!E:E,,0)</f>
        <v>HDL cholesterol</v>
      </c>
      <c r="Y257" s="3" t="str">
        <f>_xlfn.XLOOKUP(EHR[[#This Row],[LOINC Code]],'02_Lab_Results'!D:D,'02_Lab_Results'!J:J,,0)</f>
        <v>Normal</v>
      </c>
      <c r="Z257" s="3" t="str" cm="1">
        <f t="array" ref="Z257">_xlfn.XLOOKUP(1,(B257=B$2:B$500)*(V$2:V$500="4548-4"),Y$2:Y$500,"Not Tested")</f>
        <v>Not Tested</v>
      </c>
      <c r="AA257" s="3">
        <v>142</v>
      </c>
      <c r="AB257" s="3">
        <v>115</v>
      </c>
      <c r="AC257" s="3" t="str">
        <f>IF(AND(EHR[[#This Row],[BP_Systolic_mmHg]]&lt;140,EHR[[#This Row],[BP_Diastolic_mmHg]]&lt;90),"Controlled",IF(OR(EHR[[#This Row],[BP_Systolic_mmHg]]="Not Recorded",EHR[[#This Row],[BP_Diastolic_mmHg]]="Not Recorded"),"No Reading","Uncontrolled"))</f>
        <v>Uncontrolled</v>
      </c>
      <c r="AD257" s="3" t="str">
        <f>_xlfn.CONCAT(EHR[[#This Row],[BP_Systolic_mmHg]],"/",EHR[[#This Row],[BP_Diastolic_mmHg]])</f>
        <v>142/115</v>
      </c>
      <c r="AE257" s="3">
        <v>73</v>
      </c>
      <c r="AF257" s="3">
        <v>17</v>
      </c>
      <c r="AG257" s="3">
        <v>36.700000000000003</v>
      </c>
      <c r="AH257" s="3">
        <v>41.9</v>
      </c>
      <c r="AI257" s="3" t="str">
        <f>IF(EHR[[#This Row],[BMI_kg_m2]]&gt;=30,"Obese","Non-Obese")</f>
        <v>Obese</v>
      </c>
      <c r="AJ257" s="3">
        <v>87</v>
      </c>
      <c r="AK257" s="3" t="s">
        <v>50</v>
      </c>
      <c r="AL257" s="3" t="s">
        <v>51</v>
      </c>
      <c r="AM257" s="3" t="s">
        <v>52</v>
      </c>
      <c r="AN257" s="3" t="s">
        <v>53</v>
      </c>
      <c r="AO257" s="3" t="s">
        <v>54</v>
      </c>
    </row>
    <row r="258" spans="1:41" x14ac:dyDescent="0.2">
      <c r="A258" s="6" t="s">
        <v>977</v>
      </c>
      <c r="B258" s="2" t="s">
        <v>987</v>
      </c>
      <c r="C258" s="13">
        <v>45398</v>
      </c>
      <c r="D258" s="2" t="s">
        <v>95</v>
      </c>
      <c r="E258" s="2" t="s">
        <v>61</v>
      </c>
      <c r="F258" s="2" t="s">
        <v>219</v>
      </c>
      <c r="G258" s="2" t="s">
        <v>63</v>
      </c>
      <c r="H258" s="13">
        <v>21282</v>
      </c>
      <c r="I258" s="2">
        <v>67</v>
      </c>
      <c r="J258" s="2" t="str" cm="1">
        <f t="array" ref="J25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58" s="2" t="s">
        <v>1572</v>
      </c>
      <c r="L258" s="2" t="s">
        <v>90</v>
      </c>
      <c r="M258" s="2" t="s">
        <v>43</v>
      </c>
      <c r="N258" s="2" t="s">
        <v>80</v>
      </c>
      <c r="O258" s="2" t="s">
        <v>1574</v>
      </c>
      <c r="P258" s="2" t="s">
        <v>283</v>
      </c>
      <c r="Q258" s="2" t="str">
        <f>_xlfn.XLOOKUP(EHR[[#This Row],[Primary_ICD11_Code]],'03_ICD11_Reference'!A:A,'03_ICD11_Reference'!D:D,,0)</f>
        <v>Multi-system</v>
      </c>
      <c r="R258" s="2" t="s">
        <v>284</v>
      </c>
      <c r="S258" s="2" t="s">
        <v>69</v>
      </c>
      <c r="T258" s="2" t="s">
        <v>989</v>
      </c>
      <c r="U258" s="2">
        <v>4</v>
      </c>
      <c r="V258" s="2" t="str">
        <f>_xlfn.XLOOKUP(EHR[[#This Row],[Encounter_ID]],'02_Lab_Results'!B:B,'02_Lab_Results'!D:D,,0)</f>
        <v>17861-6</v>
      </c>
      <c r="W258" s="2" t="str">
        <f>_xlfn.XLOOKUP(EHR[[#This Row],[LOINC Code]],'04_LOINC_Reference'!A:A,'04_LOINC_Reference'!F:F,,0)</f>
        <v>Biochemistry</v>
      </c>
      <c r="X258" s="2" t="str">
        <f>_xlfn.XLOOKUP(EHR[[#This Row],[LOINC Code]],'02_Lab_Results'!D:D,'02_Lab_Results'!E:E,,0)</f>
        <v>Serum calcium</v>
      </c>
      <c r="Y258" s="2" t="str">
        <f>_xlfn.XLOOKUP(EHR[[#This Row],[LOINC Code]],'02_Lab_Results'!D:D,'02_Lab_Results'!J:J,,0)</f>
        <v>High</v>
      </c>
      <c r="Z258" s="2" t="str" cm="1">
        <f t="array" ref="Z258">_xlfn.XLOOKUP(1,(B258=B$2:B$500)*(V$2:V$500="4548-4"),Y$2:Y$500,"Not Tested")</f>
        <v>Not Tested</v>
      </c>
      <c r="AA258" s="2">
        <v>127</v>
      </c>
      <c r="AB258" s="2">
        <v>63</v>
      </c>
      <c r="AC258" s="2" t="str">
        <f>IF(AND(EHR[[#This Row],[BP_Systolic_mmHg]]&lt;140,EHR[[#This Row],[BP_Diastolic_mmHg]]&lt;90),"Controlled",IF(OR(EHR[[#This Row],[BP_Systolic_mmHg]]="Not Recorded",EHR[[#This Row],[BP_Diastolic_mmHg]]="Not Recorded"),"No Reading","Uncontrolled"))</f>
        <v>Controlled</v>
      </c>
      <c r="AD258" s="2" t="str">
        <f>_xlfn.CONCAT(EHR[[#This Row],[BP_Systolic_mmHg]],"/",EHR[[#This Row],[BP_Diastolic_mmHg]])</f>
        <v>127/63</v>
      </c>
      <c r="AE258" s="2">
        <v>78</v>
      </c>
      <c r="AF258" s="2">
        <v>21</v>
      </c>
      <c r="AG258" s="2">
        <v>36.700000000000003</v>
      </c>
      <c r="AH258" s="2">
        <v>40.6</v>
      </c>
      <c r="AI258" s="2" t="str">
        <f>IF(EHR[[#This Row],[BMI_kg_m2]]&gt;=30,"Obese","Non-Obese")</f>
        <v>Obese</v>
      </c>
      <c r="AJ258" s="2">
        <v>88</v>
      </c>
      <c r="AK258" s="2" t="s">
        <v>50</v>
      </c>
      <c r="AL258" s="2" t="s">
        <v>51</v>
      </c>
      <c r="AM258" s="2" t="s">
        <v>52</v>
      </c>
      <c r="AN258" s="2" t="s">
        <v>53</v>
      </c>
      <c r="AO258" s="2" t="s">
        <v>54</v>
      </c>
    </row>
    <row r="259" spans="1:41" x14ac:dyDescent="0.2">
      <c r="A259" s="7" t="s">
        <v>977</v>
      </c>
      <c r="B259" s="3" t="s">
        <v>990</v>
      </c>
      <c r="C259" s="14">
        <v>45584</v>
      </c>
      <c r="D259" s="3" t="s">
        <v>95</v>
      </c>
      <c r="E259" s="3" t="s">
        <v>37</v>
      </c>
      <c r="F259" s="3" t="s">
        <v>62</v>
      </c>
      <c r="G259" s="3" t="s">
        <v>123</v>
      </c>
      <c r="H259" s="14">
        <v>21282</v>
      </c>
      <c r="I259" s="3">
        <v>67</v>
      </c>
      <c r="J259" s="3" t="str" cm="1">
        <f t="array" ref="J25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59" s="3" t="s">
        <v>1572</v>
      </c>
      <c r="L259" s="3" t="s">
        <v>42</v>
      </c>
      <c r="M259" s="3" t="s">
        <v>43</v>
      </c>
      <c r="N259" s="3" t="s">
        <v>80</v>
      </c>
      <c r="O259" s="3" t="s">
        <v>1574</v>
      </c>
      <c r="P259" s="3" t="s">
        <v>283</v>
      </c>
      <c r="Q259" s="3" t="str">
        <f>_xlfn.XLOOKUP(EHR[[#This Row],[Primary_ICD11_Code]],'03_ICD11_Reference'!A:A,'03_ICD11_Reference'!D:D,,0)</f>
        <v>Multi-system</v>
      </c>
      <c r="R259" s="3" t="s">
        <v>284</v>
      </c>
      <c r="S259" s="3" t="s">
        <v>69</v>
      </c>
      <c r="T259" s="3" t="s">
        <v>992</v>
      </c>
      <c r="U259" s="3">
        <v>4</v>
      </c>
      <c r="V259" s="3" t="str">
        <f>_xlfn.XLOOKUP(EHR[[#This Row],[Encounter_ID]],'02_Lab_Results'!B:B,'02_Lab_Results'!D:D,,0)</f>
        <v>14627-4</v>
      </c>
      <c r="W259" s="3" t="str">
        <f>_xlfn.XLOOKUP(EHR[[#This Row],[LOINC Code]],'04_LOINC_Reference'!A:A,'04_LOINC_Reference'!F:F,,0)</f>
        <v>Biochemistry</v>
      </c>
      <c r="X259" s="3" t="str">
        <f>_xlfn.XLOOKUP(EHR[[#This Row],[LOINC Code]],'02_Lab_Results'!D:D,'02_Lab_Results'!E:E,,0)</f>
        <v>eGFR (CKD-EPI)</v>
      </c>
      <c r="Y259" s="3" t="str">
        <f>_xlfn.XLOOKUP(EHR[[#This Row],[LOINC Code]],'02_Lab_Results'!D:D,'02_Lab_Results'!J:J,,0)</f>
        <v>High</v>
      </c>
      <c r="Z259" s="3" t="str" cm="1">
        <f t="array" ref="Z259">_xlfn.XLOOKUP(1,(B259=B$2:B$500)*(V$2:V$500="4548-4"),Y$2:Y$500,"Not Tested")</f>
        <v>Not Tested</v>
      </c>
      <c r="AA259" s="3">
        <v>122</v>
      </c>
      <c r="AB259" s="3">
        <v>99</v>
      </c>
      <c r="AC259" s="3" t="str">
        <f>IF(AND(EHR[[#This Row],[BP_Systolic_mmHg]]&lt;140,EHR[[#This Row],[BP_Diastolic_mmHg]]&lt;90),"Controlled",IF(OR(EHR[[#This Row],[BP_Systolic_mmHg]]="Not Recorded",EHR[[#This Row],[BP_Diastolic_mmHg]]="Not Recorded"),"No Reading","Uncontrolled"))</f>
        <v>Uncontrolled</v>
      </c>
      <c r="AD259" s="3" t="str">
        <f>_xlfn.CONCAT(EHR[[#This Row],[BP_Systolic_mmHg]],"/",EHR[[#This Row],[BP_Diastolic_mmHg]])</f>
        <v>122/99</v>
      </c>
      <c r="AE259" s="3">
        <v>93</v>
      </c>
      <c r="AF259" s="3">
        <v>13</v>
      </c>
      <c r="AG259" s="3">
        <v>36.200000000000003</v>
      </c>
      <c r="AH259" s="3">
        <v>39.5</v>
      </c>
      <c r="AI259" s="3" t="str">
        <f>IF(EHR[[#This Row],[BMI_kg_m2]]&gt;=30,"Obese","Non-Obese")</f>
        <v>Obese</v>
      </c>
      <c r="AJ259" s="3">
        <v>92</v>
      </c>
      <c r="AK259" s="3" t="s">
        <v>50</v>
      </c>
      <c r="AL259" s="3" t="s">
        <v>51</v>
      </c>
      <c r="AM259" s="3" t="s">
        <v>52</v>
      </c>
      <c r="AN259" s="3" t="s">
        <v>53</v>
      </c>
      <c r="AO259" s="3" t="s">
        <v>54</v>
      </c>
    </row>
    <row r="260" spans="1:41" x14ac:dyDescent="0.2">
      <c r="A260" s="6" t="s">
        <v>977</v>
      </c>
      <c r="B260" s="2" t="s">
        <v>993</v>
      </c>
      <c r="C260" s="13">
        <v>45479</v>
      </c>
      <c r="D260" s="2" t="s">
        <v>95</v>
      </c>
      <c r="E260" s="2" t="s">
        <v>167</v>
      </c>
      <c r="F260" s="2" t="s">
        <v>132</v>
      </c>
      <c r="G260" s="2" t="s">
        <v>115</v>
      </c>
      <c r="H260" s="13">
        <v>21282</v>
      </c>
      <c r="I260" s="2">
        <v>67</v>
      </c>
      <c r="J260" s="2" t="str" cm="1">
        <f t="array" ref="J26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60" s="2" t="s">
        <v>1572</v>
      </c>
      <c r="L260" s="2" t="s">
        <v>140</v>
      </c>
      <c r="M260" s="2" t="s">
        <v>43</v>
      </c>
      <c r="N260" s="2" t="s">
        <v>80</v>
      </c>
      <c r="O260" s="2" t="s">
        <v>1574</v>
      </c>
      <c r="P260" s="2" t="s">
        <v>283</v>
      </c>
      <c r="Q260" s="2" t="str">
        <f>_xlfn.XLOOKUP(EHR[[#This Row],[Primary_ICD11_Code]],'03_ICD11_Reference'!A:A,'03_ICD11_Reference'!D:D,,0)</f>
        <v>Multi-system</v>
      </c>
      <c r="R260" s="2" t="s">
        <v>284</v>
      </c>
      <c r="S260" s="2" t="s">
        <v>69</v>
      </c>
      <c r="T260" s="2" t="s">
        <v>320</v>
      </c>
      <c r="U260" s="2">
        <v>1</v>
      </c>
      <c r="V260" s="2" t="str">
        <f>_xlfn.XLOOKUP(EHR[[#This Row],[Encounter_ID]],'02_Lab_Results'!B:B,'02_Lab_Results'!D:D,,0)</f>
        <v>789-8</v>
      </c>
      <c r="W260" s="2" t="str">
        <f>_xlfn.XLOOKUP(EHR[[#This Row],[LOINC Code]],'04_LOINC_Reference'!A:A,'04_LOINC_Reference'!F:F,,0)</f>
        <v>Biochemistry</v>
      </c>
      <c r="X260" s="2" t="str">
        <f>_xlfn.XLOOKUP(EHR[[#This Row],[LOINC Code]],'02_Lab_Results'!D:D,'02_Lab_Results'!E:E,,0)</f>
        <v>RBC count</v>
      </c>
      <c r="Y260" s="2" t="str">
        <f>_xlfn.XLOOKUP(EHR[[#This Row],[LOINC Code]],'02_Lab_Results'!D:D,'02_Lab_Results'!J:J,,0)</f>
        <v>High</v>
      </c>
      <c r="Z260" s="2" t="str" cm="1">
        <f t="array" ref="Z260">_xlfn.XLOOKUP(1,(B260=B$2:B$500)*(V$2:V$500="4548-4"),Y$2:Y$500,"Not Tested")</f>
        <v>Not Tested</v>
      </c>
      <c r="AA260" s="2">
        <v>146</v>
      </c>
      <c r="AB260" s="2">
        <v>75</v>
      </c>
      <c r="AC260" s="2" t="str">
        <f>IF(AND(EHR[[#This Row],[BP_Systolic_mmHg]]&lt;140,EHR[[#This Row],[BP_Diastolic_mmHg]]&lt;90),"Controlled",IF(OR(EHR[[#This Row],[BP_Systolic_mmHg]]="Not Recorded",EHR[[#This Row],[BP_Diastolic_mmHg]]="Not Recorded"),"No Reading","Uncontrolled"))</f>
        <v>Uncontrolled</v>
      </c>
      <c r="AD260" s="2" t="str">
        <f>_xlfn.CONCAT(EHR[[#This Row],[BP_Systolic_mmHg]],"/",EHR[[#This Row],[BP_Diastolic_mmHg]])</f>
        <v>146/75</v>
      </c>
      <c r="AE260" s="2">
        <v>102</v>
      </c>
      <c r="AF260" s="2">
        <v>14</v>
      </c>
      <c r="AG260" s="2">
        <v>38.200000000000003</v>
      </c>
      <c r="AH260" s="2">
        <v>45.9</v>
      </c>
      <c r="AI260" s="2" t="str">
        <f>IF(EHR[[#This Row],[BMI_kg_m2]]&gt;=30,"Obese","Non-Obese")</f>
        <v>Obese</v>
      </c>
      <c r="AJ260" s="2">
        <v>100</v>
      </c>
      <c r="AK260" s="2" t="s">
        <v>50</v>
      </c>
      <c r="AL260" s="2" t="s">
        <v>51</v>
      </c>
      <c r="AM260" s="2" t="s">
        <v>52</v>
      </c>
      <c r="AN260" s="2" t="s">
        <v>53</v>
      </c>
      <c r="AO260" s="2" t="s">
        <v>54</v>
      </c>
    </row>
    <row r="261" spans="1:41" x14ac:dyDescent="0.2">
      <c r="A261" s="7" t="s">
        <v>995</v>
      </c>
      <c r="B261" s="3" t="s">
        <v>996</v>
      </c>
      <c r="C261" s="14">
        <v>45371</v>
      </c>
      <c r="D261" s="3" t="s">
        <v>36</v>
      </c>
      <c r="E261" s="3" t="s">
        <v>96</v>
      </c>
      <c r="F261" s="3" t="s">
        <v>109</v>
      </c>
      <c r="G261" s="3" t="s">
        <v>63</v>
      </c>
      <c r="H261" s="14">
        <v>35661</v>
      </c>
      <c r="I261" s="3">
        <v>28</v>
      </c>
      <c r="J261" s="3" t="str" cm="1">
        <f t="array" ref="J26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61" s="3" t="s">
        <v>1573</v>
      </c>
      <c r="L261" s="3" t="s">
        <v>110</v>
      </c>
      <c r="M261" s="3" t="s">
        <v>141</v>
      </c>
      <c r="N261" s="3" t="s">
        <v>125</v>
      </c>
      <c r="O261" s="3" t="s">
        <v>45</v>
      </c>
      <c r="P261" s="3" t="s">
        <v>315</v>
      </c>
      <c r="Q261" s="3" t="str">
        <f>_xlfn.XLOOKUP(EHR[[#This Row],[Primary_ICD11_Code]],'03_ICD11_Reference'!A:A,'03_ICD11_Reference'!D:D,,0)</f>
        <v>Endocrine</v>
      </c>
      <c r="R261" s="3" t="s">
        <v>316</v>
      </c>
      <c r="S261" s="3" t="s">
        <v>69</v>
      </c>
      <c r="T261" s="3" t="s">
        <v>999</v>
      </c>
      <c r="U261" s="3">
        <v>2</v>
      </c>
      <c r="V261" s="3" t="str">
        <f>_xlfn.XLOOKUP(EHR[[#This Row],[Encounter_ID]],'02_Lab_Results'!B:B,'02_Lab_Results'!D:D,,0)</f>
        <v>2951-2</v>
      </c>
      <c r="W261" s="3" t="str">
        <f>_xlfn.XLOOKUP(EHR[[#This Row],[LOINC Code]],'04_LOINC_Reference'!A:A,'04_LOINC_Reference'!F:F,,0)</f>
        <v>Biochemistry</v>
      </c>
      <c r="X261" s="3" t="str">
        <f>_xlfn.XLOOKUP(EHR[[#This Row],[LOINC Code]],'02_Lab_Results'!D:D,'02_Lab_Results'!E:E,,0)</f>
        <v>Serum sodium</v>
      </c>
      <c r="Y261" s="3" t="str">
        <f>_xlfn.XLOOKUP(EHR[[#This Row],[LOINC Code]],'02_Lab_Results'!D:D,'02_Lab_Results'!J:J,,0)</f>
        <v>Low</v>
      </c>
      <c r="Z261" s="3" t="str" cm="1">
        <f t="array" ref="Z261">_xlfn.XLOOKUP(1,(B261=B$2:B$500)*(V$2:V$500="4548-4"),Y$2:Y$500,"Not Tested")</f>
        <v>Not Tested</v>
      </c>
      <c r="AA261" s="3">
        <v>165</v>
      </c>
      <c r="AB261" s="3">
        <v>63</v>
      </c>
      <c r="AC261" s="3" t="str">
        <f>IF(AND(EHR[[#This Row],[BP_Systolic_mmHg]]&lt;140,EHR[[#This Row],[BP_Diastolic_mmHg]]&lt;90),"Controlled",IF(OR(EHR[[#This Row],[BP_Systolic_mmHg]]="Not Recorded",EHR[[#This Row],[BP_Diastolic_mmHg]]="Not Recorded"),"No Reading","Uncontrolled"))</f>
        <v>Uncontrolled</v>
      </c>
      <c r="AD261" s="3" t="str">
        <f>_xlfn.CONCAT(EHR[[#This Row],[BP_Systolic_mmHg]],"/",EHR[[#This Row],[BP_Diastolic_mmHg]])</f>
        <v>165/63</v>
      </c>
      <c r="AE261" s="3">
        <v>60</v>
      </c>
      <c r="AF261" s="3">
        <v>21</v>
      </c>
      <c r="AG261" s="3">
        <v>37.6</v>
      </c>
      <c r="AH261" s="3">
        <v>36.1</v>
      </c>
      <c r="AI261" s="3" t="str">
        <f>IF(EHR[[#This Row],[BMI_kg_m2]]&gt;=30,"Obese","Non-Obese")</f>
        <v>Obese</v>
      </c>
      <c r="AJ261" s="3">
        <v>90</v>
      </c>
      <c r="AK261" s="3" t="s">
        <v>50</v>
      </c>
      <c r="AL261" s="3" t="s">
        <v>51</v>
      </c>
      <c r="AM261" s="3" t="s">
        <v>52</v>
      </c>
      <c r="AN261" s="3" t="s">
        <v>53</v>
      </c>
      <c r="AO261" s="3" t="s">
        <v>54</v>
      </c>
    </row>
    <row r="262" spans="1:41" x14ac:dyDescent="0.2">
      <c r="A262" s="6" t="s">
        <v>995</v>
      </c>
      <c r="B262" s="2" t="s">
        <v>1000</v>
      </c>
      <c r="C262" s="13">
        <v>45614</v>
      </c>
      <c r="D262" s="2" t="s">
        <v>95</v>
      </c>
      <c r="E262" s="2" t="s">
        <v>37</v>
      </c>
      <c r="F262" s="2" t="s">
        <v>189</v>
      </c>
      <c r="G262" s="2" t="s">
        <v>138</v>
      </c>
      <c r="H262" s="13">
        <v>35661</v>
      </c>
      <c r="I262" s="2">
        <v>28</v>
      </c>
      <c r="J262" s="2" t="str" cm="1">
        <f t="array" ref="J26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62" s="2" t="s">
        <v>1573</v>
      </c>
      <c r="L262" s="2" t="s">
        <v>116</v>
      </c>
      <c r="M262" s="2" t="s">
        <v>141</v>
      </c>
      <c r="N262" s="2" t="s">
        <v>125</v>
      </c>
      <c r="O262" s="2" t="s">
        <v>45</v>
      </c>
      <c r="P262" s="2" t="s">
        <v>315</v>
      </c>
      <c r="Q262" s="2" t="str">
        <f>_xlfn.XLOOKUP(EHR[[#This Row],[Primary_ICD11_Code]],'03_ICD11_Reference'!A:A,'03_ICD11_Reference'!D:D,,0)</f>
        <v>Endocrine</v>
      </c>
      <c r="R262" s="2" t="s">
        <v>316</v>
      </c>
      <c r="S262" s="2" t="s">
        <v>69</v>
      </c>
      <c r="T262" s="2" t="s">
        <v>1001</v>
      </c>
      <c r="U262" s="2">
        <v>3</v>
      </c>
      <c r="V262" s="2" t="str">
        <f>_xlfn.XLOOKUP(EHR[[#This Row],[Encounter_ID]],'02_Lab_Results'!B:B,'02_Lab_Results'!D:D,,0)</f>
        <v>4548-4</v>
      </c>
      <c r="W262" s="2" t="str">
        <f>_xlfn.XLOOKUP(EHR[[#This Row],[LOINC Code]],'04_LOINC_Reference'!A:A,'04_LOINC_Reference'!F:F,,0)</f>
        <v>Biochemistry</v>
      </c>
      <c r="X262" s="2" t="str">
        <f>_xlfn.XLOOKUP(EHR[[#This Row],[LOINC Code]],'02_Lab_Results'!D:D,'02_Lab_Results'!E:E,,0)</f>
        <v>HbA1c</v>
      </c>
      <c r="Y262" s="2" t="str">
        <f>_xlfn.XLOOKUP(EHR[[#This Row],[LOINC Code]],'02_Lab_Results'!D:D,'02_Lab_Results'!J:J,,0)</f>
        <v>High</v>
      </c>
      <c r="Z262" s="2" t="str" cm="1">
        <f t="array" ref="Z262">_xlfn.XLOOKUP(1,(B262=B$2:B$500)*(V$2:V$500="4548-4"),Y$2:Y$500,"Not Tested")</f>
        <v>High</v>
      </c>
      <c r="AA262" s="2">
        <v>132</v>
      </c>
      <c r="AB262" s="2">
        <v>77</v>
      </c>
      <c r="AC262" s="2" t="str">
        <f>IF(AND(EHR[[#This Row],[BP_Systolic_mmHg]]&lt;140,EHR[[#This Row],[BP_Diastolic_mmHg]]&lt;90),"Controlled",IF(OR(EHR[[#This Row],[BP_Systolic_mmHg]]="Not Recorded",EHR[[#This Row],[BP_Diastolic_mmHg]]="Not Recorded"),"No Reading","Uncontrolled"))</f>
        <v>Controlled</v>
      </c>
      <c r="AD262" s="2" t="str">
        <f>_xlfn.CONCAT(EHR[[#This Row],[BP_Systolic_mmHg]],"/",EHR[[#This Row],[BP_Diastolic_mmHg]])</f>
        <v>132/77</v>
      </c>
      <c r="AE262" s="2">
        <v>64</v>
      </c>
      <c r="AF262" s="2">
        <v>18</v>
      </c>
      <c r="AG262" s="2">
        <v>38.1</v>
      </c>
      <c r="AH262" s="2">
        <v>39.4</v>
      </c>
      <c r="AI262" s="2" t="str">
        <f>IF(EHR[[#This Row],[BMI_kg_m2]]&gt;=30,"Obese","Non-Obese")</f>
        <v>Obese</v>
      </c>
      <c r="AJ262" s="2">
        <v>89</v>
      </c>
      <c r="AK262" s="2" t="s">
        <v>50</v>
      </c>
      <c r="AL262" s="2" t="s">
        <v>51</v>
      </c>
      <c r="AM262" s="2" t="s">
        <v>52</v>
      </c>
      <c r="AN262" s="2" t="s">
        <v>53</v>
      </c>
      <c r="AO262" s="2" t="s">
        <v>54</v>
      </c>
    </row>
    <row r="263" spans="1:41" x14ac:dyDescent="0.2">
      <c r="A263" s="7" t="s">
        <v>995</v>
      </c>
      <c r="B263" s="3" t="s">
        <v>1002</v>
      </c>
      <c r="C263" s="14">
        <v>45309</v>
      </c>
      <c r="D263" s="3" t="s">
        <v>36</v>
      </c>
      <c r="E263" s="3" t="s">
        <v>96</v>
      </c>
      <c r="F263" s="3" t="s">
        <v>219</v>
      </c>
      <c r="G263" s="3" t="s">
        <v>123</v>
      </c>
      <c r="H263" s="14">
        <v>35661</v>
      </c>
      <c r="I263" s="3">
        <v>28</v>
      </c>
      <c r="J263" s="3" t="str" cm="1">
        <f t="array" ref="J26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63" s="3" t="s">
        <v>1573</v>
      </c>
      <c r="L263" s="3" t="s">
        <v>42</v>
      </c>
      <c r="M263" s="3" t="s">
        <v>141</v>
      </c>
      <c r="N263" s="3" t="s">
        <v>125</v>
      </c>
      <c r="O263" s="3" t="s">
        <v>45</v>
      </c>
      <c r="P263" s="3" t="s">
        <v>315</v>
      </c>
      <c r="Q263" s="3" t="str">
        <f>_xlfn.XLOOKUP(EHR[[#This Row],[Primary_ICD11_Code]],'03_ICD11_Reference'!A:A,'03_ICD11_Reference'!D:D,,0)</f>
        <v>Endocrine</v>
      </c>
      <c r="R263" s="3" t="s">
        <v>316</v>
      </c>
      <c r="S263" s="3" t="s">
        <v>69</v>
      </c>
      <c r="T263" s="3" t="s">
        <v>1004</v>
      </c>
      <c r="U263" s="3">
        <v>3</v>
      </c>
      <c r="V263" s="3" t="str">
        <f>_xlfn.XLOOKUP(EHR[[#This Row],[Encounter_ID]],'02_Lab_Results'!B:B,'02_Lab_Results'!D:D,,0)</f>
        <v>17861-6</v>
      </c>
      <c r="W263" s="3" t="str">
        <f>_xlfn.XLOOKUP(EHR[[#This Row],[LOINC Code]],'04_LOINC_Reference'!A:A,'04_LOINC_Reference'!F:F,,0)</f>
        <v>Biochemistry</v>
      </c>
      <c r="X263" s="3" t="str">
        <f>_xlfn.XLOOKUP(EHR[[#This Row],[LOINC Code]],'02_Lab_Results'!D:D,'02_Lab_Results'!E:E,,0)</f>
        <v>Serum calcium</v>
      </c>
      <c r="Y263" s="3" t="str">
        <f>_xlfn.XLOOKUP(EHR[[#This Row],[LOINC Code]],'02_Lab_Results'!D:D,'02_Lab_Results'!J:J,,0)</f>
        <v>High</v>
      </c>
      <c r="Z263" s="3" t="str" cm="1">
        <f t="array" ref="Z263">_xlfn.XLOOKUP(1,(B263=B$2:B$500)*(V$2:V$500="4548-4"),Y$2:Y$500,"Not Tested")</f>
        <v>Not Tested</v>
      </c>
      <c r="AA263" s="3">
        <v>109</v>
      </c>
      <c r="AB263" s="3">
        <v>99</v>
      </c>
      <c r="AC263" s="3" t="str">
        <f>IF(AND(EHR[[#This Row],[BP_Systolic_mmHg]]&lt;140,EHR[[#This Row],[BP_Diastolic_mmHg]]&lt;90),"Controlled",IF(OR(EHR[[#This Row],[BP_Systolic_mmHg]]="Not Recorded",EHR[[#This Row],[BP_Diastolic_mmHg]]="Not Recorded"),"No Reading","Uncontrolled"))</f>
        <v>Uncontrolled</v>
      </c>
      <c r="AD263" s="3" t="str">
        <f>_xlfn.CONCAT(EHR[[#This Row],[BP_Systolic_mmHg]],"/",EHR[[#This Row],[BP_Diastolic_mmHg]])</f>
        <v>109/99</v>
      </c>
      <c r="AE263" s="3">
        <v>56</v>
      </c>
      <c r="AF263" s="3">
        <v>24</v>
      </c>
      <c r="AG263" s="3">
        <v>36.799999999999997</v>
      </c>
      <c r="AH263" s="3">
        <v>35.200000000000003</v>
      </c>
      <c r="AI263" s="3" t="str">
        <f>IF(EHR[[#This Row],[BMI_kg_m2]]&gt;=30,"Obese","Non-Obese")</f>
        <v>Obese</v>
      </c>
      <c r="AJ263" s="3">
        <v>89</v>
      </c>
      <c r="AK263" s="3" t="s">
        <v>50</v>
      </c>
      <c r="AL263" s="3" t="s">
        <v>51</v>
      </c>
      <c r="AM263" s="3" t="s">
        <v>52</v>
      </c>
      <c r="AN263" s="3" t="s">
        <v>53</v>
      </c>
      <c r="AO263" s="3" t="s">
        <v>54</v>
      </c>
    </row>
    <row r="264" spans="1:41" x14ac:dyDescent="0.2">
      <c r="A264" s="6" t="s">
        <v>995</v>
      </c>
      <c r="B264" s="2" t="s">
        <v>1005</v>
      </c>
      <c r="C264" s="13">
        <v>45141</v>
      </c>
      <c r="D264" s="2" t="s">
        <v>88</v>
      </c>
      <c r="E264" s="2" t="s">
        <v>89</v>
      </c>
      <c r="F264" s="2" t="s">
        <v>75</v>
      </c>
      <c r="G264" s="2" t="s">
        <v>104</v>
      </c>
      <c r="H264" s="13">
        <v>35661</v>
      </c>
      <c r="I264" s="2">
        <v>28</v>
      </c>
      <c r="J264" s="2" t="str" cm="1">
        <f t="array" ref="J26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64" s="2" t="s">
        <v>1573</v>
      </c>
      <c r="L264" s="2" t="s">
        <v>140</v>
      </c>
      <c r="M264" s="2" t="s">
        <v>141</v>
      </c>
      <c r="N264" s="2" t="s">
        <v>125</v>
      </c>
      <c r="O264" s="2" t="s">
        <v>45</v>
      </c>
      <c r="P264" s="2" t="s">
        <v>315</v>
      </c>
      <c r="Q264" s="2" t="str">
        <f>_xlfn.XLOOKUP(EHR[[#This Row],[Primary_ICD11_Code]],'03_ICD11_Reference'!A:A,'03_ICD11_Reference'!D:D,,0)</f>
        <v>Endocrine</v>
      </c>
      <c r="R264" s="2" t="s">
        <v>316</v>
      </c>
      <c r="S264" s="2" t="s">
        <v>69</v>
      </c>
      <c r="T264" s="2" t="s">
        <v>556</v>
      </c>
      <c r="U264" s="2">
        <v>1</v>
      </c>
      <c r="V264" s="2" t="str">
        <f>_xlfn.XLOOKUP(EHR[[#This Row],[Encounter_ID]],'02_Lab_Results'!B:B,'02_Lab_Results'!D:D,,0)</f>
        <v>2085-9</v>
      </c>
      <c r="W264" s="2" t="str">
        <f>_xlfn.XLOOKUP(EHR[[#This Row],[LOINC Code]],'04_LOINC_Reference'!A:A,'04_LOINC_Reference'!F:F,,0)</f>
        <v>Biochemistry</v>
      </c>
      <c r="X264" s="2" t="str">
        <f>_xlfn.XLOOKUP(EHR[[#This Row],[LOINC Code]],'02_Lab_Results'!D:D,'02_Lab_Results'!E:E,,0)</f>
        <v>HDL cholesterol</v>
      </c>
      <c r="Y264" s="2" t="str">
        <f>_xlfn.XLOOKUP(EHR[[#This Row],[LOINC Code]],'02_Lab_Results'!D:D,'02_Lab_Results'!J:J,,0)</f>
        <v>Normal</v>
      </c>
      <c r="Z264" s="2" t="str" cm="1">
        <f t="array" ref="Z264">_xlfn.XLOOKUP(1,(B264=B$2:B$500)*(V$2:V$500="4548-4"),Y$2:Y$500,"Not Tested")</f>
        <v>Not Tested</v>
      </c>
      <c r="AA264" s="2">
        <v>162</v>
      </c>
      <c r="AB264" s="2">
        <v>68</v>
      </c>
      <c r="AC264" s="2" t="str">
        <f>IF(AND(EHR[[#This Row],[BP_Systolic_mmHg]]&lt;140,EHR[[#This Row],[BP_Diastolic_mmHg]]&lt;90),"Controlled",IF(OR(EHR[[#This Row],[BP_Systolic_mmHg]]="Not Recorded",EHR[[#This Row],[BP_Diastolic_mmHg]]="Not Recorded"),"No Reading","Uncontrolled"))</f>
        <v>Uncontrolled</v>
      </c>
      <c r="AD264" s="2" t="str">
        <f>_xlfn.CONCAT(EHR[[#This Row],[BP_Systolic_mmHg]],"/",EHR[[#This Row],[BP_Diastolic_mmHg]])</f>
        <v>162/68</v>
      </c>
      <c r="AE264" s="2">
        <v>91</v>
      </c>
      <c r="AF264" s="2">
        <v>24</v>
      </c>
      <c r="AG264" s="2">
        <v>37.799999999999997</v>
      </c>
      <c r="AH264" s="2">
        <v>35.299999999999997</v>
      </c>
      <c r="AI264" s="2" t="str">
        <f>IF(EHR[[#This Row],[BMI_kg_m2]]&gt;=30,"Obese","Non-Obese")</f>
        <v>Obese</v>
      </c>
      <c r="AJ264" s="2">
        <v>100</v>
      </c>
      <c r="AK264" s="2" t="s">
        <v>50</v>
      </c>
      <c r="AL264" s="2" t="s">
        <v>51</v>
      </c>
      <c r="AM264" s="2" t="s">
        <v>52</v>
      </c>
      <c r="AN264" s="2" t="s">
        <v>53</v>
      </c>
      <c r="AO264" s="2" t="s">
        <v>54</v>
      </c>
    </row>
    <row r="265" spans="1:41" x14ac:dyDescent="0.2">
      <c r="A265" s="7" t="s">
        <v>995</v>
      </c>
      <c r="B265" s="3" t="s">
        <v>1007</v>
      </c>
      <c r="C265" s="14">
        <v>44988</v>
      </c>
      <c r="D265" s="3" t="s">
        <v>36</v>
      </c>
      <c r="E265" s="3" t="s">
        <v>96</v>
      </c>
      <c r="F265" s="3" t="s">
        <v>189</v>
      </c>
      <c r="G265" s="3" t="s">
        <v>39</v>
      </c>
      <c r="H265" s="14">
        <v>35661</v>
      </c>
      <c r="I265" s="3">
        <v>28</v>
      </c>
      <c r="J265" s="3" t="str" cm="1">
        <f t="array" ref="J26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65" s="3" t="s">
        <v>1573</v>
      </c>
      <c r="L265" s="3" t="s">
        <v>90</v>
      </c>
      <c r="M265" s="3" t="s">
        <v>141</v>
      </c>
      <c r="N265" s="3" t="s">
        <v>125</v>
      </c>
      <c r="O265" s="3" t="s">
        <v>45</v>
      </c>
      <c r="P265" s="3" t="s">
        <v>315</v>
      </c>
      <c r="Q265" s="3" t="str">
        <f>_xlfn.XLOOKUP(EHR[[#This Row],[Primary_ICD11_Code]],'03_ICD11_Reference'!A:A,'03_ICD11_Reference'!D:D,,0)</f>
        <v>Endocrine</v>
      </c>
      <c r="R265" s="3" t="s">
        <v>316</v>
      </c>
      <c r="S265" s="3" t="s">
        <v>69</v>
      </c>
      <c r="T265" s="3" t="s">
        <v>1009</v>
      </c>
      <c r="U265" s="3">
        <v>3</v>
      </c>
      <c r="V265" s="3" t="str">
        <f>_xlfn.XLOOKUP(EHR[[#This Row],[Encounter_ID]],'02_Lab_Results'!B:B,'02_Lab_Results'!D:D,,0)</f>
        <v>14627-4</v>
      </c>
      <c r="W265" s="3" t="str">
        <f>_xlfn.XLOOKUP(EHR[[#This Row],[LOINC Code]],'04_LOINC_Reference'!A:A,'04_LOINC_Reference'!F:F,,0)</f>
        <v>Biochemistry</v>
      </c>
      <c r="X265" s="3" t="str">
        <f>_xlfn.XLOOKUP(EHR[[#This Row],[LOINC Code]],'02_Lab_Results'!D:D,'02_Lab_Results'!E:E,,0)</f>
        <v>eGFR (CKD-EPI)</v>
      </c>
      <c r="Y265" s="3" t="str">
        <f>_xlfn.XLOOKUP(EHR[[#This Row],[LOINC Code]],'02_Lab_Results'!D:D,'02_Lab_Results'!J:J,,0)</f>
        <v>High</v>
      </c>
      <c r="Z265" s="3" t="str" cm="1">
        <f t="array" ref="Z265">_xlfn.XLOOKUP(1,(B265=B$2:B$500)*(V$2:V$500="4548-4"),Y$2:Y$500,"Not Tested")</f>
        <v>Not Tested</v>
      </c>
      <c r="AA265" s="3">
        <v>121</v>
      </c>
      <c r="AB265" s="3">
        <v>102</v>
      </c>
      <c r="AC265" s="3" t="str">
        <f>IF(AND(EHR[[#This Row],[BP_Systolic_mmHg]]&lt;140,EHR[[#This Row],[BP_Diastolic_mmHg]]&lt;90),"Controlled",IF(OR(EHR[[#This Row],[BP_Systolic_mmHg]]="Not Recorded",EHR[[#This Row],[BP_Diastolic_mmHg]]="Not Recorded"),"No Reading","Uncontrolled"))</f>
        <v>Uncontrolled</v>
      </c>
      <c r="AD265" s="3" t="str">
        <f>_xlfn.CONCAT(EHR[[#This Row],[BP_Systolic_mmHg]],"/",EHR[[#This Row],[BP_Diastolic_mmHg]])</f>
        <v>121/102</v>
      </c>
      <c r="AE265" s="3">
        <v>96</v>
      </c>
      <c r="AF265" s="3">
        <v>13</v>
      </c>
      <c r="AG265" s="3">
        <v>38.1</v>
      </c>
      <c r="AH265" s="3">
        <v>17.7</v>
      </c>
      <c r="AI265" s="3" t="str">
        <f>IF(EHR[[#This Row],[BMI_kg_m2]]&gt;=30,"Obese","Non-Obese")</f>
        <v>Non-Obese</v>
      </c>
      <c r="AJ265" s="3">
        <v>92</v>
      </c>
      <c r="AK265" s="3" t="s">
        <v>50</v>
      </c>
      <c r="AL265" s="3" t="s">
        <v>51</v>
      </c>
      <c r="AM265" s="3" t="s">
        <v>52</v>
      </c>
      <c r="AN265" s="3" t="s">
        <v>53</v>
      </c>
      <c r="AO265" s="3" t="s">
        <v>54</v>
      </c>
    </row>
    <row r="266" spans="1:41" x14ac:dyDescent="0.2">
      <c r="A266" s="6" t="s">
        <v>1010</v>
      </c>
      <c r="B266" s="2" t="s">
        <v>1011</v>
      </c>
      <c r="C266" s="15">
        <v>45469</v>
      </c>
      <c r="D266" s="2" t="s">
        <v>60</v>
      </c>
      <c r="E266" s="2" t="s">
        <v>89</v>
      </c>
      <c r="F266" s="2" t="s">
        <v>62</v>
      </c>
      <c r="G266" s="2" t="s">
        <v>138</v>
      </c>
      <c r="H266" s="13">
        <v>24712</v>
      </c>
      <c r="I266" s="18">
        <f>(EHR[[#This Row],[Encounter_Date]]-EHR[[#This Row],[Patient_DOB]])/365</f>
        <v>56.868493150684934</v>
      </c>
      <c r="J266" s="18" t="str" cm="1">
        <f t="array" ref="J26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66" s="2" t="s">
        <v>1572</v>
      </c>
      <c r="L266" s="2" t="s">
        <v>140</v>
      </c>
      <c r="M266" s="2" t="s">
        <v>43</v>
      </c>
      <c r="N266" s="2" t="s">
        <v>1574</v>
      </c>
      <c r="O266" s="2" t="s">
        <v>45</v>
      </c>
      <c r="P266" s="2" t="s">
        <v>195</v>
      </c>
      <c r="Q266" s="2" t="str">
        <f>_xlfn.XLOOKUP(EHR[[#This Row],[Primary_ICD11_Code]],'03_ICD11_Reference'!A:A,'03_ICD11_Reference'!D:D,,0)</f>
        <v>Respiratory</v>
      </c>
      <c r="R266" s="2" t="s">
        <v>196</v>
      </c>
      <c r="S266" s="2" t="s">
        <v>69</v>
      </c>
      <c r="T266" s="2" t="s">
        <v>1013</v>
      </c>
      <c r="U266" s="2">
        <v>3</v>
      </c>
      <c r="V266" s="2" t="str">
        <f>_xlfn.XLOOKUP(EHR[[#This Row],[Encounter_ID]],'02_Lab_Results'!B:B,'02_Lab_Results'!D:D,,0)</f>
        <v>2777-1</v>
      </c>
      <c r="W266" s="2" t="str">
        <f>_xlfn.XLOOKUP(EHR[[#This Row],[LOINC Code]],'04_LOINC_Reference'!A:A,'04_LOINC_Reference'!F:F,,0)</f>
        <v>Biochemistry</v>
      </c>
      <c r="X266" s="2" t="str">
        <f>_xlfn.XLOOKUP(EHR[[#This Row],[LOINC Code]],'02_Lab_Results'!D:D,'02_Lab_Results'!E:E,,0)</f>
        <v>Serum phosphate</v>
      </c>
      <c r="Y266" s="2" t="str">
        <f>_xlfn.XLOOKUP(EHR[[#This Row],[LOINC Code]],'02_Lab_Results'!D:D,'02_Lab_Results'!J:J,,0)</f>
        <v>Normal</v>
      </c>
      <c r="Z266" s="2" t="str" cm="1">
        <f t="array" ref="Z266">_xlfn.XLOOKUP(1,(B266=B$2:B$500)*(V$2:V$500="4548-4"),Y$2:Y$500,"Not Tested")</f>
        <v>Not Tested</v>
      </c>
      <c r="AA266" s="4" t="s">
        <v>1570</v>
      </c>
      <c r="AB266" s="4" t="s">
        <v>1570</v>
      </c>
      <c r="AC266" s="4" t="str">
        <f>IF(AND(EHR[[#This Row],[BP_Systolic_mmHg]]&lt;140,EHR[[#This Row],[BP_Diastolic_mmHg]]&lt;90),"Controlled",IF(OR(EHR[[#This Row],[BP_Systolic_mmHg]]="Not Recorded",EHR[[#This Row],[BP_Diastolic_mmHg]]="Not Recorded"),"No Reading","Uncontrolled"))</f>
        <v>No Reading</v>
      </c>
      <c r="AD266" s="4" t="str">
        <f>_xlfn.CONCAT(EHR[[#This Row],[BP_Systolic_mmHg]],"/",EHR[[#This Row],[BP_Diastolic_mmHg]])</f>
        <v>Not Recorded/Not Recorded</v>
      </c>
      <c r="AE266" s="2">
        <v>106</v>
      </c>
      <c r="AF266" s="2">
        <v>12</v>
      </c>
      <c r="AG266" s="2">
        <v>38.200000000000003</v>
      </c>
      <c r="AH266" s="4">
        <v>27.6</v>
      </c>
      <c r="AI266" s="4" t="str">
        <f>IF(EHR[[#This Row],[BMI_kg_m2]]&gt;=30,"Obese","Non-Obese")</f>
        <v>Non-Obese</v>
      </c>
      <c r="AJ266" s="2">
        <v>91</v>
      </c>
      <c r="AK266" s="2" t="s">
        <v>50</v>
      </c>
      <c r="AL266" s="2" t="s">
        <v>51</v>
      </c>
      <c r="AM266" s="2" t="s">
        <v>52</v>
      </c>
      <c r="AN266" s="2" t="s">
        <v>53</v>
      </c>
      <c r="AO266" s="2" t="s">
        <v>54</v>
      </c>
    </row>
    <row r="267" spans="1:41" x14ac:dyDescent="0.2">
      <c r="A267" s="7" t="s">
        <v>1010</v>
      </c>
      <c r="B267" s="3" t="s">
        <v>1014</v>
      </c>
      <c r="C267" s="14">
        <v>45621</v>
      </c>
      <c r="D267" s="3" t="s">
        <v>103</v>
      </c>
      <c r="E267" s="3" t="s">
        <v>61</v>
      </c>
      <c r="F267" s="3" t="s">
        <v>97</v>
      </c>
      <c r="G267" s="3" t="s">
        <v>138</v>
      </c>
      <c r="H267" s="14">
        <v>24712</v>
      </c>
      <c r="I267" s="3">
        <v>58</v>
      </c>
      <c r="J267" s="3" t="str" cm="1">
        <f t="array" ref="J26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67" s="3" t="s">
        <v>1572</v>
      </c>
      <c r="L267" s="3" t="s">
        <v>66</v>
      </c>
      <c r="M267" s="3" t="s">
        <v>43</v>
      </c>
      <c r="N267" s="3" t="s">
        <v>1574</v>
      </c>
      <c r="O267" s="3" t="s">
        <v>45</v>
      </c>
      <c r="P267" s="3" t="s">
        <v>195</v>
      </c>
      <c r="Q267" s="3" t="str">
        <f>_xlfn.XLOOKUP(EHR[[#This Row],[Primary_ICD11_Code]],'03_ICD11_Reference'!A:A,'03_ICD11_Reference'!D:D,,0)</f>
        <v>Respiratory</v>
      </c>
      <c r="R267" s="3" t="s">
        <v>196</v>
      </c>
      <c r="S267" s="3" t="s">
        <v>69</v>
      </c>
      <c r="T267" s="3" t="s">
        <v>1016</v>
      </c>
      <c r="U267" s="3">
        <v>3</v>
      </c>
      <c r="V267" s="3" t="str">
        <f>_xlfn.XLOOKUP(EHR[[#This Row],[Encounter_ID]],'02_Lab_Results'!B:B,'02_Lab_Results'!D:D,,0)</f>
        <v>2823-3</v>
      </c>
      <c r="W267" s="3" t="str">
        <f>_xlfn.XLOOKUP(EHR[[#This Row],[LOINC Code]],'04_LOINC_Reference'!A:A,'04_LOINC_Reference'!F:F,,0)</f>
        <v>Biochemistry</v>
      </c>
      <c r="X267" s="3" t="str">
        <f>_xlfn.XLOOKUP(EHR[[#This Row],[LOINC Code]],'02_Lab_Results'!D:D,'02_Lab_Results'!E:E,,0)</f>
        <v>Serum potassium</v>
      </c>
      <c r="Y267" s="3" t="str">
        <f>_xlfn.XLOOKUP(EHR[[#This Row],[LOINC Code]],'02_Lab_Results'!D:D,'02_Lab_Results'!J:J,,0)</f>
        <v>Normal</v>
      </c>
      <c r="Z267" s="3" t="str" cm="1">
        <f t="array" ref="Z267">_xlfn.XLOOKUP(1,(B267=B$2:B$500)*(V$2:V$500="4548-4"),Y$2:Y$500,"Not Tested")</f>
        <v>Not Tested</v>
      </c>
      <c r="AA267" s="3" t="s">
        <v>1570</v>
      </c>
      <c r="AB267" s="3">
        <v>93</v>
      </c>
      <c r="AC267" s="3" t="str">
        <f>IF(AND(EHR[[#This Row],[BP_Systolic_mmHg]]&lt;140,EHR[[#This Row],[BP_Diastolic_mmHg]]&lt;90),"Controlled",IF(OR(EHR[[#This Row],[BP_Systolic_mmHg]]="Not Recorded",EHR[[#This Row],[BP_Diastolic_mmHg]]="Not Recorded"),"No Reading","Uncontrolled"))</f>
        <v>No Reading</v>
      </c>
      <c r="AD267" s="3" t="str">
        <f>_xlfn.CONCAT(EHR[[#This Row],[BP_Systolic_mmHg]],"/",EHR[[#This Row],[BP_Diastolic_mmHg]])</f>
        <v>Not Recorded/93</v>
      </c>
      <c r="AE267" s="3">
        <v>67</v>
      </c>
      <c r="AF267" s="3">
        <v>16</v>
      </c>
      <c r="AG267" s="3">
        <v>36.5</v>
      </c>
      <c r="AH267" s="3">
        <v>45.2</v>
      </c>
      <c r="AI267" s="3" t="str">
        <f>IF(EHR[[#This Row],[BMI_kg_m2]]&gt;=30,"Obese","Non-Obese")</f>
        <v>Obese</v>
      </c>
      <c r="AJ267" s="3">
        <v>99</v>
      </c>
      <c r="AK267" s="3" t="s">
        <v>50</v>
      </c>
      <c r="AL267" s="3" t="s">
        <v>51</v>
      </c>
      <c r="AM267" s="3" t="s">
        <v>52</v>
      </c>
      <c r="AN267" s="3" t="s">
        <v>53</v>
      </c>
      <c r="AO267" s="3" t="s">
        <v>54</v>
      </c>
    </row>
    <row r="268" spans="1:41" x14ac:dyDescent="0.2">
      <c r="A268" s="6" t="s">
        <v>1017</v>
      </c>
      <c r="B268" s="2" t="s">
        <v>1018</v>
      </c>
      <c r="C268" s="13">
        <v>45350</v>
      </c>
      <c r="D268" s="2" t="s">
        <v>103</v>
      </c>
      <c r="E268" s="2" t="s">
        <v>37</v>
      </c>
      <c r="F268" s="2" t="s">
        <v>97</v>
      </c>
      <c r="G268" s="2" t="s">
        <v>104</v>
      </c>
      <c r="H268" s="13">
        <v>31931</v>
      </c>
      <c r="I268" s="2">
        <v>38</v>
      </c>
      <c r="J268" s="2" t="str" cm="1">
        <f t="array" ref="J26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68" s="2" t="s">
        <v>1572</v>
      </c>
      <c r="L268" s="2" t="s">
        <v>90</v>
      </c>
      <c r="M268" s="2" t="s">
        <v>79</v>
      </c>
      <c r="N268" s="2" t="s">
        <v>80</v>
      </c>
      <c r="O268" s="2" t="s">
        <v>45</v>
      </c>
      <c r="P268" s="2" t="s">
        <v>142</v>
      </c>
      <c r="Q268" s="2" t="str">
        <f>_xlfn.XLOOKUP(EHR[[#This Row],[Primary_ICD11_Code]],'03_ICD11_Reference'!A:A,'03_ICD11_Reference'!D:D,,0)</f>
        <v>Cardiovascular</v>
      </c>
      <c r="R268" s="2" t="s">
        <v>143</v>
      </c>
      <c r="S268" s="2" t="s">
        <v>48</v>
      </c>
      <c r="T268" s="2" t="s">
        <v>1021</v>
      </c>
      <c r="U268" s="2">
        <v>2</v>
      </c>
      <c r="V268" s="2" t="str">
        <f>_xlfn.XLOOKUP(EHR[[#This Row],[Encounter_ID]],'02_Lab_Results'!B:B,'02_Lab_Results'!D:D,,0)</f>
        <v>2085-9</v>
      </c>
      <c r="W268" s="2" t="str">
        <f>_xlfn.XLOOKUP(EHR[[#This Row],[LOINC Code]],'04_LOINC_Reference'!A:A,'04_LOINC_Reference'!F:F,,0)</f>
        <v>Biochemistry</v>
      </c>
      <c r="X268" s="2" t="str">
        <f>_xlfn.XLOOKUP(EHR[[#This Row],[LOINC Code]],'02_Lab_Results'!D:D,'02_Lab_Results'!E:E,,0)</f>
        <v>HDL cholesterol</v>
      </c>
      <c r="Y268" s="2" t="str">
        <f>_xlfn.XLOOKUP(EHR[[#This Row],[LOINC Code]],'02_Lab_Results'!D:D,'02_Lab_Results'!J:J,,0)</f>
        <v>Normal</v>
      </c>
      <c r="Z268" s="2" t="str" cm="1">
        <f t="array" ref="Z268">_xlfn.XLOOKUP(1,(B268=B$2:B$500)*(V$2:V$500="4548-4"),Y$2:Y$500,"Not Tested")</f>
        <v>Not Tested</v>
      </c>
      <c r="AA268" s="2">
        <v>182</v>
      </c>
      <c r="AB268" s="2">
        <v>73</v>
      </c>
      <c r="AC268" s="2" t="str">
        <f>IF(AND(EHR[[#This Row],[BP_Systolic_mmHg]]&lt;140,EHR[[#This Row],[BP_Diastolic_mmHg]]&lt;90),"Controlled",IF(OR(EHR[[#This Row],[BP_Systolic_mmHg]]="Not Recorded",EHR[[#This Row],[BP_Diastolic_mmHg]]="Not Recorded"),"No Reading","Uncontrolled"))</f>
        <v>Uncontrolled</v>
      </c>
      <c r="AD268" s="2" t="str">
        <f>_xlfn.CONCAT(EHR[[#This Row],[BP_Systolic_mmHg]],"/",EHR[[#This Row],[BP_Diastolic_mmHg]])</f>
        <v>182/73</v>
      </c>
      <c r="AE268" s="2">
        <v>106</v>
      </c>
      <c r="AF268" s="2">
        <v>25</v>
      </c>
      <c r="AG268" s="2">
        <v>38</v>
      </c>
      <c r="AH268" s="2">
        <v>38.5</v>
      </c>
      <c r="AI268" s="2" t="str">
        <f>IF(EHR[[#This Row],[BMI_kg_m2]]&gt;=30,"Obese","Non-Obese")</f>
        <v>Obese</v>
      </c>
      <c r="AJ268" s="2">
        <v>89</v>
      </c>
      <c r="AK268" s="2" t="s">
        <v>50</v>
      </c>
      <c r="AL268" s="2" t="s">
        <v>51</v>
      </c>
      <c r="AM268" s="2" t="s">
        <v>52</v>
      </c>
      <c r="AN268" s="2" t="s">
        <v>53</v>
      </c>
      <c r="AO268" s="2" t="s">
        <v>54</v>
      </c>
    </row>
    <row r="269" spans="1:41" x14ac:dyDescent="0.2">
      <c r="A269" s="7" t="s">
        <v>1022</v>
      </c>
      <c r="B269" s="3" t="s">
        <v>1023</v>
      </c>
      <c r="C269" s="14">
        <v>45546</v>
      </c>
      <c r="D269" s="3" t="s">
        <v>103</v>
      </c>
      <c r="E269" s="3" t="s">
        <v>61</v>
      </c>
      <c r="F269" s="3" t="s">
        <v>122</v>
      </c>
      <c r="G269" s="3" t="s">
        <v>115</v>
      </c>
      <c r="H269" s="14">
        <v>28602</v>
      </c>
      <c r="I269" s="3">
        <v>47</v>
      </c>
      <c r="J269" s="3" t="str" cm="1">
        <f t="array" ref="J26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69" s="3" t="s">
        <v>1572</v>
      </c>
      <c r="L269" s="3" t="s">
        <v>78</v>
      </c>
      <c r="M269" s="3" t="s">
        <v>45</v>
      </c>
      <c r="N269" s="3" t="s">
        <v>1574</v>
      </c>
      <c r="O269" s="3" t="s">
        <v>182</v>
      </c>
      <c r="P269" s="3" t="s">
        <v>504</v>
      </c>
      <c r="Q269" s="3" t="str">
        <f>_xlfn.XLOOKUP(EHR[[#This Row],[Primary_ICD11_Code]],'03_ICD11_Reference'!A:A,'03_ICD11_Reference'!D:D,,0)</f>
        <v>Cardiovascular</v>
      </c>
      <c r="R269" s="3" t="s">
        <v>505</v>
      </c>
      <c r="S269" s="3" t="s">
        <v>69</v>
      </c>
      <c r="T269" s="3" t="s">
        <v>1026</v>
      </c>
      <c r="U269" s="3">
        <v>4</v>
      </c>
      <c r="V269" s="3" t="str">
        <f>_xlfn.XLOOKUP(EHR[[#This Row],[Encounter_ID]],'02_Lab_Results'!B:B,'02_Lab_Results'!D:D,,0)</f>
        <v>2777-1</v>
      </c>
      <c r="W269" s="3" t="str">
        <f>_xlfn.XLOOKUP(EHR[[#This Row],[LOINC Code]],'04_LOINC_Reference'!A:A,'04_LOINC_Reference'!F:F,,0)</f>
        <v>Biochemistry</v>
      </c>
      <c r="X269" s="3" t="str">
        <f>_xlfn.XLOOKUP(EHR[[#This Row],[LOINC Code]],'02_Lab_Results'!D:D,'02_Lab_Results'!E:E,,0)</f>
        <v>Serum phosphate</v>
      </c>
      <c r="Y269" s="3" t="str">
        <f>_xlfn.XLOOKUP(EHR[[#This Row],[LOINC Code]],'02_Lab_Results'!D:D,'02_Lab_Results'!J:J,,0)</f>
        <v>Normal</v>
      </c>
      <c r="Z269" s="3" t="str" cm="1">
        <f t="array" ref="Z269">_xlfn.XLOOKUP(1,(B269=B$2:B$500)*(V$2:V$500="4548-4"),Y$2:Y$500,"Not Tested")</f>
        <v>Not Tested</v>
      </c>
      <c r="AA269" s="3">
        <v>137</v>
      </c>
      <c r="AB269" s="3">
        <v>94</v>
      </c>
      <c r="AC269" s="3" t="str">
        <f>IF(AND(EHR[[#This Row],[BP_Systolic_mmHg]]&lt;140,EHR[[#This Row],[BP_Diastolic_mmHg]]&lt;90),"Controlled",IF(OR(EHR[[#This Row],[BP_Systolic_mmHg]]="Not Recorded",EHR[[#This Row],[BP_Diastolic_mmHg]]="Not Recorded"),"No Reading","Uncontrolled"))</f>
        <v>Uncontrolled</v>
      </c>
      <c r="AD269" s="3" t="str">
        <f>_xlfn.CONCAT(EHR[[#This Row],[BP_Systolic_mmHg]],"/",EHR[[#This Row],[BP_Diastolic_mmHg]])</f>
        <v>137/94</v>
      </c>
      <c r="AE269" s="3">
        <v>64</v>
      </c>
      <c r="AF269" s="3">
        <v>18</v>
      </c>
      <c r="AG269" s="3">
        <v>37.5</v>
      </c>
      <c r="AH269" s="3">
        <v>22.2</v>
      </c>
      <c r="AI269" s="3" t="str">
        <f>IF(EHR[[#This Row],[BMI_kg_m2]]&gt;=30,"Obese","Non-Obese")</f>
        <v>Non-Obese</v>
      </c>
      <c r="AJ269" s="3">
        <v>90</v>
      </c>
      <c r="AK269" s="3" t="s">
        <v>50</v>
      </c>
      <c r="AL269" s="3" t="s">
        <v>51</v>
      </c>
      <c r="AM269" s="3" t="s">
        <v>52</v>
      </c>
      <c r="AN269" s="3" t="s">
        <v>53</v>
      </c>
      <c r="AO269" s="3" t="s">
        <v>54</v>
      </c>
    </row>
    <row r="270" spans="1:41" x14ac:dyDescent="0.2">
      <c r="A270" s="6" t="s">
        <v>1022</v>
      </c>
      <c r="B270" s="2" t="s">
        <v>1027</v>
      </c>
      <c r="C270" s="13">
        <v>45558</v>
      </c>
      <c r="D270" s="2" t="s">
        <v>60</v>
      </c>
      <c r="E270" s="2" t="s">
        <v>89</v>
      </c>
      <c r="F270" s="2" t="s">
        <v>122</v>
      </c>
      <c r="G270" s="2" t="s">
        <v>98</v>
      </c>
      <c r="H270" s="13">
        <v>28602</v>
      </c>
      <c r="I270" s="2">
        <v>47</v>
      </c>
      <c r="J270" s="2" t="str" cm="1">
        <f t="array" ref="J27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70" s="2" t="s">
        <v>1572</v>
      </c>
      <c r="L270" s="2" t="s">
        <v>78</v>
      </c>
      <c r="M270" s="2" t="s">
        <v>45</v>
      </c>
      <c r="N270" s="2" t="s">
        <v>1574</v>
      </c>
      <c r="O270" s="2" t="s">
        <v>182</v>
      </c>
      <c r="P270" s="2" t="s">
        <v>504</v>
      </c>
      <c r="Q270" s="2" t="str">
        <f>_xlfn.XLOOKUP(EHR[[#This Row],[Primary_ICD11_Code]],'03_ICD11_Reference'!A:A,'03_ICD11_Reference'!D:D,,0)</f>
        <v>Cardiovascular</v>
      </c>
      <c r="R270" s="2" t="s">
        <v>505</v>
      </c>
      <c r="S270" s="2" t="s">
        <v>69</v>
      </c>
      <c r="T270" s="2" t="s">
        <v>1029</v>
      </c>
      <c r="U270" s="2">
        <v>4</v>
      </c>
      <c r="V270" s="2" t="str">
        <f>_xlfn.XLOOKUP(EHR[[#This Row],[Encounter_ID]],'02_Lab_Results'!B:B,'02_Lab_Results'!D:D,,0)</f>
        <v>2085-9</v>
      </c>
      <c r="W270" s="2" t="str">
        <f>_xlfn.XLOOKUP(EHR[[#This Row],[LOINC Code]],'04_LOINC_Reference'!A:A,'04_LOINC_Reference'!F:F,,0)</f>
        <v>Biochemistry</v>
      </c>
      <c r="X270" s="2" t="str">
        <f>_xlfn.XLOOKUP(EHR[[#This Row],[LOINC Code]],'02_Lab_Results'!D:D,'02_Lab_Results'!E:E,,0)</f>
        <v>HDL cholesterol</v>
      </c>
      <c r="Y270" s="2" t="str">
        <f>_xlfn.XLOOKUP(EHR[[#This Row],[LOINC Code]],'02_Lab_Results'!D:D,'02_Lab_Results'!J:J,,0)</f>
        <v>Normal</v>
      </c>
      <c r="Z270" s="2" t="str" cm="1">
        <f t="array" ref="Z270">_xlfn.XLOOKUP(1,(B270=B$2:B$500)*(V$2:V$500="4548-4"),Y$2:Y$500,"Not Tested")</f>
        <v>Not Tested</v>
      </c>
      <c r="AA270" s="2">
        <v>139</v>
      </c>
      <c r="AB270" s="2">
        <v>74</v>
      </c>
      <c r="AC270" s="2" t="str">
        <f>IF(AND(EHR[[#This Row],[BP_Systolic_mmHg]]&lt;140,EHR[[#This Row],[BP_Diastolic_mmHg]]&lt;90),"Controlled",IF(OR(EHR[[#This Row],[BP_Systolic_mmHg]]="Not Recorded",EHR[[#This Row],[BP_Diastolic_mmHg]]="Not Recorded"),"No Reading","Uncontrolled"))</f>
        <v>Controlled</v>
      </c>
      <c r="AD270" s="2" t="str">
        <f>_xlfn.CONCAT(EHR[[#This Row],[BP_Systolic_mmHg]],"/",EHR[[#This Row],[BP_Diastolic_mmHg]])</f>
        <v>139/74</v>
      </c>
      <c r="AE270" s="2">
        <v>84</v>
      </c>
      <c r="AF270" s="2">
        <v>16</v>
      </c>
      <c r="AG270" s="2">
        <v>37.299999999999997</v>
      </c>
      <c r="AH270" s="2">
        <v>18.7</v>
      </c>
      <c r="AI270" s="2" t="str">
        <f>IF(EHR[[#This Row],[BMI_kg_m2]]&gt;=30,"Obese","Non-Obese")</f>
        <v>Non-Obese</v>
      </c>
      <c r="AJ270" s="2">
        <v>97</v>
      </c>
      <c r="AK270" s="2" t="s">
        <v>50</v>
      </c>
      <c r="AL270" s="2" t="s">
        <v>51</v>
      </c>
      <c r="AM270" s="2" t="s">
        <v>52</v>
      </c>
      <c r="AN270" s="2" t="s">
        <v>53</v>
      </c>
      <c r="AO270" s="2" t="s">
        <v>54</v>
      </c>
    </row>
    <row r="271" spans="1:41" x14ac:dyDescent="0.2">
      <c r="A271" s="7" t="s">
        <v>1022</v>
      </c>
      <c r="B271" s="3" t="s">
        <v>1030</v>
      </c>
      <c r="C271" s="14">
        <v>44970</v>
      </c>
      <c r="D271" s="3" t="s">
        <v>36</v>
      </c>
      <c r="E271" s="3" t="s">
        <v>96</v>
      </c>
      <c r="F271" s="3" t="s">
        <v>132</v>
      </c>
      <c r="G271" s="3" t="s">
        <v>104</v>
      </c>
      <c r="H271" s="14">
        <v>28602</v>
      </c>
      <c r="I271" s="3">
        <v>47</v>
      </c>
      <c r="J271" s="3" t="str" cm="1">
        <f t="array" ref="J27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71" s="3" t="s">
        <v>1572</v>
      </c>
      <c r="L271" s="3" t="s">
        <v>66</v>
      </c>
      <c r="M271" s="3" t="s">
        <v>45</v>
      </c>
      <c r="N271" s="3" t="s">
        <v>1574</v>
      </c>
      <c r="O271" s="3" t="s">
        <v>182</v>
      </c>
      <c r="P271" s="3" t="s">
        <v>504</v>
      </c>
      <c r="Q271" s="3" t="str">
        <f>_xlfn.XLOOKUP(EHR[[#This Row],[Primary_ICD11_Code]],'03_ICD11_Reference'!A:A,'03_ICD11_Reference'!D:D,,0)</f>
        <v>Cardiovascular</v>
      </c>
      <c r="R271" s="3" t="s">
        <v>505</v>
      </c>
      <c r="S271" s="3" t="s">
        <v>69</v>
      </c>
      <c r="T271" s="3" t="s">
        <v>518</v>
      </c>
      <c r="U271" s="3">
        <v>1</v>
      </c>
      <c r="V271" s="3" t="str">
        <f>_xlfn.XLOOKUP(EHR[[#This Row],[Encounter_ID]],'02_Lab_Results'!B:B,'02_Lab_Results'!D:D,,0)</f>
        <v>718-7</v>
      </c>
      <c r="W271" s="3" t="str">
        <f>_xlfn.XLOOKUP(EHR[[#This Row],[LOINC Code]],'04_LOINC_Reference'!A:A,'04_LOINC_Reference'!F:F,,0)</f>
        <v>Biochemistry</v>
      </c>
      <c r="X271" s="3" t="str">
        <f>_xlfn.XLOOKUP(EHR[[#This Row],[LOINC Code]],'02_Lab_Results'!D:D,'02_Lab_Results'!E:E,,0)</f>
        <v>Haemoglobin</v>
      </c>
      <c r="Y271" s="3" t="str">
        <f>_xlfn.XLOOKUP(EHR[[#This Row],[LOINC Code]],'02_Lab_Results'!D:D,'02_Lab_Results'!J:J,,0)</f>
        <v>Normal</v>
      </c>
      <c r="Z271" s="3" t="str" cm="1">
        <f t="array" ref="Z271">_xlfn.XLOOKUP(1,(B271=B$2:B$500)*(V$2:V$500="4548-4"),Y$2:Y$500,"Not Tested")</f>
        <v>Not Tested</v>
      </c>
      <c r="AA271" s="3">
        <v>174</v>
      </c>
      <c r="AB271" s="3">
        <v>70</v>
      </c>
      <c r="AC271" s="3" t="str">
        <f>IF(AND(EHR[[#This Row],[BP_Systolic_mmHg]]&lt;140,EHR[[#This Row],[BP_Diastolic_mmHg]]&lt;90),"Controlled",IF(OR(EHR[[#This Row],[BP_Systolic_mmHg]]="Not Recorded",EHR[[#This Row],[BP_Diastolic_mmHg]]="Not Recorded"),"No Reading","Uncontrolled"))</f>
        <v>Uncontrolled</v>
      </c>
      <c r="AD271" s="3" t="str">
        <f>_xlfn.CONCAT(EHR[[#This Row],[BP_Systolic_mmHg]],"/",EHR[[#This Row],[BP_Diastolic_mmHg]])</f>
        <v>174/70</v>
      </c>
      <c r="AE271" s="3">
        <v>90</v>
      </c>
      <c r="AF271" s="3">
        <v>28</v>
      </c>
      <c r="AG271" s="3">
        <v>36.1</v>
      </c>
      <c r="AH271" s="3">
        <v>28.5</v>
      </c>
      <c r="AI271" s="3" t="str">
        <f>IF(EHR[[#This Row],[BMI_kg_m2]]&gt;=30,"Obese","Non-Obese")</f>
        <v>Non-Obese</v>
      </c>
      <c r="AJ271" s="3">
        <v>97</v>
      </c>
      <c r="AK271" s="3" t="s">
        <v>50</v>
      </c>
      <c r="AL271" s="3" t="s">
        <v>51</v>
      </c>
      <c r="AM271" s="3" t="s">
        <v>52</v>
      </c>
      <c r="AN271" s="3" t="s">
        <v>53</v>
      </c>
      <c r="AO271" s="3" t="s">
        <v>54</v>
      </c>
    </row>
    <row r="272" spans="1:41" x14ac:dyDescent="0.2">
      <c r="A272" s="6" t="s">
        <v>1031</v>
      </c>
      <c r="B272" s="2" t="s">
        <v>1032</v>
      </c>
      <c r="C272" s="13">
        <v>45389</v>
      </c>
      <c r="D272" s="2" t="s">
        <v>95</v>
      </c>
      <c r="E272" s="2" t="s">
        <v>89</v>
      </c>
      <c r="F272" s="2" t="s">
        <v>189</v>
      </c>
      <c r="G272" s="2" t="s">
        <v>98</v>
      </c>
      <c r="H272" s="13">
        <v>17606</v>
      </c>
      <c r="I272" s="2">
        <v>77</v>
      </c>
      <c r="J272" s="2" t="str" cm="1">
        <f t="array" ref="J27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72" s="2" t="s">
        <v>1573</v>
      </c>
      <c r="L272" s="2" t="s">
        <v>110</v>
      </c>
      <c r="M272" s="2" t="s">
        <v>45</v>
      </c>
      <c r="N272" s="2" t="s">
        <v>80</v>
      </c>
      <c r="O272" s="2" t="s">
        <v>1574</v>
      </c>
      <c r="P272" s="2" t="s">
        <v>183</v>
      </c>
      <c r="Q272" s="2" t="str">
        <f>_xlfn.XLOOKUP(EHR[[#This Row],[Primary_ICD11_Code]],'03_ICD11_Reference'!A:A,'03_ICD11_Reference'!D:D,,0)</f>
        <v>Genitourinary</v>
      </c>
      <c r="R272" s="2" t="s">
        <v>184</v>
      </c>
      <c r="S272" s="2" t="s">
        <v>48</v>
      </c>
      <c r="T272" s="2" t="s">
        <v>1035</v>
      </c>
      <c r="U272" s="2">
        <v>3</v>
      </c>
      <c r="V272" s="2" t="str">
        <f>_xlfn.XLOOKUP(EHR[[#This Row],[Encounter_ID]],'02_Lab_Results'!B:B,'02_Lab_Results'!D:D,,0)</f>
        <v>2093-3</v>
      </c>
      <c r="W272" s="2" t="str">
        <f>_xlfn.XLOOKUP(EHR[[#This Row],[LOINC Code]],'04_LOINC_Reference'!A:A,'04_LOINC_Reference'!F:F,,0)</f>
        <v>Biochemistry</v>
      </c>
      <c r="X272" s="2" t="str">
        <f>_xlfn.XLOOKUP(EHR[[#This Row],[LOINC Code]],'02_Lab_Results'!D:D,'02_Lab_Results'!E:E,,0)</f>
        <v>Total cholesterol</v>
      </c>
      <c r="Y272" s="2" t="str">
        <f>_xlfn.XLOOKUP(EHR[[#This Row],[LOINC Code]],'02_Lab_Results'!D:D,'02_Lab_Results'!J:J,,0)</f>
        <v>Normal</v>
      </c>
      <c r="Z272" s="2" t="str" cm="1">
        <f t="array" ref="Z272">_xlfn.XLOOKUP(1,(B272=B$2:B$500)*(V$2:V$500="4548-4"),Y$2:Y$500,"Not Tested")</f>
        <v>Not Tested</v>
      </c>
      <c r="AA272" s="2">
        <v>103</v>
      </c>
      <c r="AB272" s="2">
        <v>85</v>
      </c>
      <c r="AC272" s="2" t="str">
        <f>IF(AND(EHR[[#This Row],[BP_Systolic_mmHg]]&lt;140,EHR[[#This Row],[BP_Diastolic_mmHg]]&lt;90),"Controlled",IF(OR(EHR[[#This Row],[BP_Systolic_mmHg]]="Not Recorded",EHR[[#This Row],[BP_Diastolic_mmHg]]="Not Recorded"),"No Reading","Uncontrolled"))</f>
        <v>Controlled</v>
      </c>
      <c r="AD272" s="2" t="str">
        <f>_xlfn.CONCAT(EHR[[#This Row],[BP_Systolic_mmHg]],"/",EHR[[#This Row],[BP_Diastolic_mmHg]])</f>
        <v>103/85</v>
      </c>
      <c r="AE272" s="2">
        <v>63</v>
      </c>
      <c r="AF272" s="2">
        <v>21</v>
      </c>
      <c r="AG272" s="2">
        <v>38.9</v>
      </c>
      <c r="AH272" s="2">
        <v>33.1</v>
      </c>
      <c r="AI272" s="2" t="str">
        <f>IF(EHR[[#This Row],[BMI_kg_m2]]&gt;=30,"Obese","Non-Obese")</f>
        <v>Obese</v>
      </c>
      <c r="AJ272" s="2">
        <v>92</v>
      </c>
      <c r="AK272" s="2" t="s">
        <v>50</v>
      </c>
      <c r="AL272" s="2" t="s">
        <v>51</v>
      </c>
      <c r="AM272" s="2" t="s">
        <v>52</v>
      </c>
      <c r="AN272" s="2" t="s">
        <v>53</v>
      </c>
      <c r="AO272" s="2" t="s">
        <v>54</v>
      </c>
    </row>
    <row r="273" spans="1:41" x14ac:dyDescent="0.2">
      <c r="A273" s="7" t="s">
        <v>1031</v>
      </c>
      <c r="B273" s="3" t="s">
        <v>1036</v>
      </c>
      <c r="C273" s="14">
        <v>45183</v>
      </c>
      <c r="D273" s="3" t="s">
        <v>88</v>
      </c>
      <c r="E273" s="3" t="s">
        <v>89</v>
      </c>
      <c r="F273" s="3" t="s">
        <v>38</v>
      </c>
      <c r="G273" s="3" t="s">
        <v>39</v>
      </c>
      <c r="H273" s="14">
        <v>17606</v>
      </c>
      <c r="I273" s="3">
        <v>77</v>
      </c>
      <c r="J273" s="3" t="str" cm="1">
        <f t="array" ref="J27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73" s="3" t="s">
        <v>1573</v>
      </c>
      <c r="L273" s="3" t="s">
        <v>90</v>
      </c>
      <c r="M273" s="3" t="s">
        <v>45</v>
      </c>
      <c r="N273" s="3" t="s">
        <v>80</v>
      </c>
      <c r="O273" s="3" t="s">
        <v>1574</v>
      </c>
      <c r="P273" s="3" t="s">
        <v>183</v>
      </c>
      <c r="Q273" s="3" t="str">
        <f>_xlfn.XLOOKUP(EHR[[#This Row],[Primary_ICD11_Code]],'03_ICD11_Reference'!A:A,'03_ICD11_Reference'!D:D,,0)</f>
        <v>Genitourinary</v>
      </c>
      <c r="R273" s="3" t="s">
        <v>184</v>
      </c>
      <c r="S273" s="3" t="s">
        <v>48</v>
      </c>
      <c r="T273" s="3" t="s">
        <v>1038</v>
      </c>
      <c r="U273" s="3">
        <v>3</v>
      </c>
      <c r="V273" s="3" t="str">
        <f>_xlfn.XLOOKUP(EHR[[#This Row],[Encounter_ID]],'02_Lab_Results'!B:B,'02_Lab_Results'!D:D,,0)</f>
        <v>789-8</v>
      </c>
      <c r="W273" s="3" t="str">
        <f>_xlfn.XLOOKUP(EHR[[#This Row],[LOINC Code]],'04_LOINC_Reference'!A:A,'04_LOINC_Reference'!F:F,,0)</f>
        <v>Biochemistry</v>
      </c>
      <c r="X273" s="3" t="str">
        <f>_xlfn.XLOOKUP(EHR[[#This Row],[LOINC Code]],'02_Lab_Results'!D:D,'02_Lab_Results'!E:E,,0)</f>
        <v>RBC count</v>
      </c>
      <c r="Y273" s="3" t="str">
        <f>_xlfn.XLOOKUP(EHR[[#This Row],[LOINC Code]],'02_Lab_Results'!D:D,'02_Lab_Results'!J:J,,0)</f>
        <v>High</v>
      </c>
      <c r="Z273" s="3" t="str" cm="1">
        <f t="array" ref="Z273">_xlfn.XLOOKUP(1,(B273=B$2:B$500)*(V$2:V$500="4548-4"),Y$2:Y$500,"Not Tested")</f>
        <v>Not Tested</v>
      </c>
      <c r="AA273" s="3">
        <v>124</v>
      </c>
      <c r="AB273" s="3">
        <v>94</v>
      </c>
      <c r="AC273" s="3" t="str">
        <f>IF(AND(EHR[[#This Row],[BP_Systolic_mmHg]]&lt;140,EHR[[#This Row],[BP_Diastolic_mmHg]]&lt;90),"Controlled",IF(OR(EHR[[#This Row],[BP_Systolic_mmHg]]="Not Recorded",EHR[[#This Row],[BP_Diastolic_mmHg]]="Not Recorded"),"No Reading","Uncontrolled"))</f>
        <v>Uncontrolled</v>
      </c>
      <c r="AD273" s="3" t="str">
        <f>_xlfn.CONCAT(EHR[[#This Row],[BP_Systolic_mmHg]],"/",EHR[[#This Row],[BP_Diastolic_mmHg]])</f>
        <v>124/94</v>
      </c>
      <c r="AE273" s="3">
        <v>103</v>
      </c>
      <c r="AF273" s="3">
        <v>15</v>
      </c>
      <c r="AG273" s="3">
        <v>38.299999999999997</v>
      </c>
      <c r="AH273" s="3">
        <v>20.100000000000001</v>
      </c>
      <c r="AI273" s="3" t="str">
        <f>IF(EHR[[#This Row],[BMI_kg_m2]]&gt;=30,"Obese","Non-Obese")</f>
        <v>Non-Obese</v>
      </c>
      <c r="AJ273" s="3">
        <v>96</v>
      </c>
      <c r="AK273" s="3" t="s">
        <v>50</v>
      </c>
      <c r="AL273" s="3" t="s">
        <v>51</v>
      </c>
      <c r="AM273" s="3" t="s">
        <v>52</v>
      </c>
      <c r="AN273" s="3" t="s">
        <v>53</v>
      </c>
      <c r="AO273" s="3" t="s">
        <v>54</v>
      </c>
    </row>
    <row r="274" spans="1:41" x14ac:dyDescent="0.2">
      <c r="A274" s="6" t="s">
        <v>1031</v>
      </c>
      <c r="B274" s="2" t="s">
        <v>1039</v>
      </c>
      <c r="C274" s="13">
        <v>45316</v>
      </c>
      <c r="D274" s="2" t="s">
        <v>36</v>
      </c>
      <c r="E274" s="2" t="s">
        <v>167</v>
      </c>
      <c r="F274" s="2" t="s">
        <v>219</v>
      </c>
      <c r="G274" s="2" t="s">
        <v>104</v>
      </c>
      <c r="H274" s="13">
        <v>17606</v>
      </c>
      <c r="I274" s="2">
        <v>77</v>
      </c>
      <c r="J274" s="2" t="str" cm="1">
        <f t="array" ref="J27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74" s="2" t="s">
        <v>1573</v>
      </c>
      <c r="L274" s="2" t="s">
        <v>116</v>
      </c>
      <c r="M274" s="2" t="s">
        <v>45</v>
      </c>
      <c r="N274" s="2" t="s">
        <v>80</v>
      </c>
      <c r="O274" s="2" t="s">
        <v>1574</v>
      </c>
      <c r="P274" s="2" t="s">
        <v>183</v>
      </c>
      <c r="Q274" s="2" t="str">
        <f>_xlfn.XLOOKUP(EHR[[#This Row],[Primary_ICD11_Code]],'03_ICD11_Reference'!A:A,'03_ICD11_Reference'!D:D,,0)</f>
        <v>Genitourinary</v>
      </c>
      <c r="R274" s="2" t="s">
        <v>184</v>
      </c>
      <c r="S274" s="2" t="s">
        <v>48</v>
      </c>
      <c r="T274" s="2" t="s">
        <v>159</v>
      </c>
      <c r="U274" s="2">
        <v>1</v>
      </c>
      <c r="V274" s="2" t="str">
        <f>_xlfn.XLOOKUP(EHR[[#This Row],[Encounter_ID]],'02_Lab_Results'!B:B,'02_Lab_Results'!D:D,,0)</f>
        <v>2093-3</v>
      </c>
      <c r="W274" s="2" t="str">
        <f>_xlfn.XLOOKUP(EHR[[#This Row],[LOINC Code]],'04_LOINC_Reference'!A:A,'04_LOINC_Reference'!F:F,,0)</f>
        <v>Biochemistry</v>
      </c>
      <c r="X274" s="2" t="str">
        <f>_xlfn.XLOOKUP(EHR[[#This Row],[LOINC Code]],'02_Lab_Results'!D:D,'02_Lab_Results'!E:E,,0)</f>
        <v>Total cholesterol</v>
      </c>
      <c r="Y274" s="2" t="str">
        <f>_xlfn.XLOOKUP(EHR[[#This Row],[LOINC Code]],'02_Lab_Results'!D:D,'02_Lab_Results'!J:J,,0)</f>
        <v>Normal</v>
      </c>
      <c r="Z274" s="2" t="str" cm="1">
        <f t="array" ref="Z274">_xlfn.XLOOKUP(1,(B274=B$2:B$500)*(V$2:V$500="4548-4"),Y$2:Y$500,"Not Tested")</f>
        <v>Not Tested</v>
      </c>
      <c r="AA274" s="2">
        <v>99</v>
      </c>
      <c r="AB274" s="2">
        <v>65</v>
      </c>
      <c r="AC274" s="2" t="str">
        <f>IF(AND(EHR[[#This Row],[BP_Systolic_mmHg]]&lt;140,EHR[[#This Row],[BP_Diastolic_mmHg]]&lt;90),"Controlled",IF(OR(EHR[[#This Row],[BP_Systolic_mmHg]]="Not Recorded",EHR[[#This Row],[BP_Diastolic_mmHg]]="Not Recorded"),"No Reading","Uncontrolled"))</f>
        <v>Controlled</v>
      </c>
      <c r="AD274" s="2" t="str">
        <f>_xlfn.CONCAT(EHR[[#This Row],[BP_Systolic_mmHg]],"/",EHR[[#This Row],[BP_Diastolic_mmHg]])</f>
        <v>99/65</v>
      </c>
      <c r="AE274" s="2">
        <v>75</v>
      </c>
      <c r="AF274" s="2">
        <v>26</v>
      </c>
      <c r="AG274" s="2">
        <v>38.799999999999997</v>
      </c>
      <c r="AH274" s="2">
        <v>22.1</v>
      </c>
      <c r="AI274" s="2" t="str">
        <f>IF(EHR[[#This Row],[BMI_kg_m2]]&gt;=30,"Obese","Non-Obese")</f>
        <v>Non-Obese</v>
      </c>
      <c r="AJ274" s="2">
        <v>89</v>
      </c>
      <c r="AK274" s="2" t="s">
        <v>50</v>
      </c>
      <c r="AL274" s="2" t="s">
        <v>51</v>
      </c>
      <c r="AM274" s="2" t="s">
        <v>52</v>
      </c>
      <c r="AN274" s="2" t="s">
        <v>53</v>
      </c>
      <c r="AO274" s="2" t="s">
        <v>54</v>
      </c>
    </row>
    <row r="275" spans="1:41" x14ac:dyDescent="0.2">
      <c r="A275" s="7" t="s">
        <v>1041</v>
      </c>
      <c r="B275" s="3" t="s">
        <v>1042</v>
      </c>
      <c r="C275" s="14">
        <v>45437</v>
      </c>
      <c r="D275" s="3" t="s">
        <v>88</v>
      </c>
      <c r="E275" s="3" t="s">
        <v>37</v>
      </c>
      <c r="F275" s="3" t="s">
        <v>189</v>
      </c>
      <c r="G275" s="3" t="s">
        <v>104</v>
      </c>
      <c r="H275" s="14">
        <v>33670</v>
      </c>
      <c r="I275" s="3">
        <v>33</v>
      </c>
      <c r="J275" s="3" t="str" cm="1">
        <f t="array" ref="J27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75" s="3" t="s">
        <v>1572</v>
      </c>
      <c r="L275" s="3" t="s">
        <v>90</v>
      </c>
      <c r="M275" s="3" t="s">
        <v>79</v>
      </c>
      <c r="N275" s="3" t="s">
        <v>44</v>
      </c>
      <c r="O275" s="3" t="s">
        <v>1574</v>
      </c>
      <c r="P275" s="3" t="s">
        <v>504</v>
      </c>
      <c r="Q275" s="3" t="str">
        <f>_xlfn.XLOOKUP(EHR[[#This Row],[Primary_ICD11_Code]],'03_ICD11_Reference'!A:A,'03_ICD11_Reference'!D:D,,0)</f>
        <v>Cardiovascular</v>
      </c>
      <c r="R275" s="3" t="s">
        <v>505</v>
      </c>
      <c r="S275" s="3" t="s">
        <v>69</v>
      </c>
      <c r="T275" s="3" t="s">
        <v>45</v>
      </c>
      <c r="U275" s="3">
        <v>1</v>
      </c>
      <c r="V275" s="3" t="str">
        <f>_xlfn.XLOOKUP(EHR[[#This Row],[Encounter_ID]],'02_Lab_Results'!B:B,'02_Lab_Results'!D:D,,0)</f>
        <v>2085-9</v>
      </c>
      <c r="W275" s="3" t="str">
        <f>_xlfn.XLOOKUP(EHR[[#This Row],[LOINC Code]],'04_LOINC_Reference'!A:A,'04_LOINC_Reference'!F:F,,0)</f>
        <v>Biochemistry</v>
      </c>
      <c r="X275" s="3" t="str">
        <f>_xlfn.XLOOKUP(EHR[[#This Row],[LOINC Code]],'02_Lab_Results'!D:D,'02_Lab_Results'!E:E,,0)</f>
        <v>HDL cholesterol</v>
      </c>
      <c r="Y275" s="3" t="str">
        <f>_xlfn.XLOOKUP(EHR[[#This Row],[LOINC Code]],'02_Lab_Results'!D:D,'02_Lab_Results'!J:J,,0)</f>
        <v>Normal</v>
      </c>
      <c r="Z275" s="3" t="str" cm="1">
        <f t="array" ref="Z275">_xlfn.XLOOKUP(1,(B275=B$2:B$500)*(V$2:V$500="4548-4"),Y$2:Y$500,"Not Tested")</f>
        <v>Not Tested</v>
      </c>
      <c r="AA275" s="3">
        <v>144</v>
      </c>
      <c r="AB275" s="3">
        <v>55</v>
      </c>
      <c r="AC275" s="3" t="str">
        <f>IF(AND(EHR[[#This Row],[BP_Systolic_mmHg]]&lt;140,EHR[[#This Row],[BP_Diastolic_mmHg]]&lt;90),"Controlled",IF(OR(EHR[[#This Row],[BP_Systolic_mmHg]]="Not Recorded",EHR[[#This Row],[BP_Diastolic_mmHg]]="Not Recorded"),"No Reading","Uncontrolled"))</f>
        <v>Uncontrolled</v>
      </c>
      <c r="AD275" s="3" t="str">
        <f>_xlfn.CONCAT(EHR[[#This Row],[BP_Systolic_mmHg]],"/",EHR[[#This Row],[BP_Diastolic_mmHg]])</f>
        <v>144/55</v>
      </c>
      <c r="AE275" s="3">
        <v>116</v>
      </c>
      <c r="AF275" s="3">
        <v>16</v>
      </c>
      <c r="AG275" s="3">
        <v>37.9</v>
      </c>
      <c r="AH275" s="3">
        <v>31.1</v>
      </c>
      <c r="AI275" s="3" t="str">
        <f>IF(EHR[[#This Row],[BMI_kg_m2]]&gt;=30,"Obese","Non-Obese")</f>
        <v>Obese</v>
      </c>
      <c r="AJ275" s="3">
        <v>92</v>
      </c>
      <c r="AK275" s="3" t="s">
        <v>50</v>
      </c>
      <c r="AL275" s="3" t="s">
        <v>51</v>
      </c>
      <c r="AM275" s="3" t="s">
        <v>52</v>
      </c>
      <c r="AN275" s="3" t="s">
        <v>53</v>
      </c>
      <c r="AO275" s="3" t="s">
        <v>54</v>
      </c>
    </row>
    <row r="276" spans="1:41" x14ac:dyDescent="0.2">
      <c r="A276" s="6" t="s">
        <v>1041</v>
      </c>
      <c r="B276" s="2" t="s">
        <v>1045</v>
      </c>
      <c r="C276" s="13">
        <v>45570</v>
      </c>
      <c r="D276" s="2" t="s">
        <v>60</v>
      </c>
      <c r="E276" s="2" t="s">
        <v>96</v>
      </c>
      <c r="F276" s="2" t="s">
        <v>38</v>
      </c>
      <c r="G276" s="2" t="s">
        <v>115</v>
      </c>
      <c r="H276" s="13">
        <v>33670</v>
      </c>
      <c r="I276" s="2">
        <v>33</v>
      </c>
      <c r="J276" s="2" t="str" cm="1">
        <f t="array" ref="J27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76" s="2" t="s">
        <v>1572</v>
      </c>
      <c r="L276" s="2" t="s">
        <v>116</v>
      </c>
      <c r="M276" s="2" t="s">
        <v>79</v>
      </c>
      <c r="N276" s="2" t="s">
        <v>44</v>
      </c>
      <c r="O276" s="2" t="s">
        <v>1574</v>
      </c>
      <c r="P276" s="2" t="s">
        <v>504</v>
      </c>
      <c r="Q276" s="2" t="str">
        <f>_xlfn.XLOOKUP(EHR[[#This Row],[Primary_ICD11_Code]],'03_ICD11_Reference'!A:A,'03_ICD11_Reference'!D:D,,0)</f>
        <v>Cardiovascular</v>
      </c>
      <c r="R276" s="2" t="s">
        <v>505</v>
      </c>
      <c r="S276" s="2" t="s">
        <v>69</v>
      </c>
      <c r="T276" s="2" t="s">
        <v>1047</v>
      </c>
      <c r="U276" s="2">
        <v>3</v>
      </c>
      <c r="V276" s="2" t="str">
        <f>_xlfn.XLOOKUP(EHR[[#This Row],[Encounter_ID]],'02_Lab_Results'!B:B,'02_Lab_Results'!D:D,,0)</f>
        <v>4548-4</v>
      </c>
      <c r="W276" s="2" t="str">
        <f>_xlfn.XLOOKUP(EHR[[#This Row],[LOINC Code]],'04_LOINC_Reference'!A:A,'04_LOINC_Reference'!F:F,,0)</f>
        <v>Biochemistry</v>
      </c>
      <c r="X276" s="2" t="str">
        <f>_xlfn.XLOOKUP(EHR[[#This Row],[LOINC Code]],'02_Lab_Results'!D:D,'02_Lab_Results'!E:E,,0)</f>
        <v>HbA1c</v>
      </c>
      <c r="Y276" s="2" t="str">
        <f>_xlfn.XLOOKUP(EHR[[#This Row],[LOINC Code]],'02_Lab_Results'!D:D,'02_Lab_Results'!J:J,,0)</f>
        <v>High</v>
      </c>
      <c r="Z276" s="2" t="str" cm="1">
        <f t="array" ref="Z276">_xlfn.XLOOKUP(1,(B276=B$2:B$500)*(V$2:V$500="4548-4"),Y$2:Y$500,"Not Tested")</f>
        <v>High</v>
      </c>
      <c r="AA276" s="2">
        <v>145</v>
      </c>
      <c r="AB276" s="2">
        <v>105</v>
      </c>
      <c r="AC276" s="2" t="str">
        <f>IF(AND(EHR[[#This Row],[BP_Systolic_mmHg]]&lt;140,EHR[[#This Row],[BP_Diastolic_mmHg]]&lt;90),"Controlled",IF(OR(EHR[[#This Row],[BP_Systolic_mmHg]]="Not Recorded",EHR[[#This Row],[BP_Diastolic_mmHg]]="Not Recorded"),"No Reading","Uncontrolled"))</f>
        <v>Uncontrolled</v>
      </c>
      <c r="AD276" s="2" t="str">
        <f>_xlfn.CONCAT(EHR[[#This Row],[BP_Systolic_mmHg]],"/",EHR[[#This Row],[BP_Diastolic_mmHg]])</f>
        <v>145/105</v>
      </c>
      <c r="AE276" s="2">
        <v>54</v>
      </c>
      <c r="AF276" s="2">
        <v>14</v>
      </c>
      <c r="AG276" s="2">
        <v>38.1</v>
      </c>
      <c r="AH276" s="2">
        <v>18.5</v>
      </c>
      <c r="AI276" s="2" t="str">
        <f>IF(EHR[[#This Row],[BMI_kg_m2]]&gt;=30,"Obese","Non-Obese")</f>
        <v>Non-Obese</v>
      </c>
      <c r="AJ276" s="2">
        <v>98</v>
      </c>
      <c r="AK276" s="2" t="s">
        <v>50</v>
      </c>
      <c r="AL276" s="2" t="s">
        <v>51</v>
      </c>
      <c r="AM276" s="2" t="s">
        <v>52</v>
      </c>
      <c r="AN276" s="2" t="s">
        <v>53</v>
      </c>
      <c r="AO276" s="2" t="s">
        <v>54</v>
      </c>
    </row>
    <row r="277" spans="1:41" x14ac:dyDescent="0.2">
      <c r="A277" s="7" t="s">
        <v>1041</v>
      </c>
      <c r="B277" s="3" t="s">
        <v>1048</v>
      </c>
      <c r="C277" s="14">
        <v>45218</v>
      </c>
      <c r="D277" s="3" t="s">
        <v>36</v>
      </c>
      <c r="E277" s="3" t="s">
        <v>167</v>
      </c>
      <c r="F277" s="3" t="s">
        <v>109</v>
      </c>
      <c r="G277" s="3" t="s">
        <v>39</v>
      </c>
      <c r="H277" s="14">
        <v>33670</v>
      </c>
      <c r="I277" s="3">
        <v>33</v>
      </c>
      <c r="J277" s="3" t="str" cm="1">
        <f t="array" ref="J27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77" s="3" t="s">
        <v>1572</v>
      </c>
      <c r="L277" s="3" t="s">
        <v>66</v>
      </c>
      <c r="M277" s="3" t="s">
        <v>79</v>
      </c>
      <c r="N277" s="3" t="s">
        <v>44</v>
      </c>
      <c r="O277" s="3" t="s">
        <v>1574</v>
      </c>
      <c r="P277" s="3" t="s">
        <v>504</v>
      </c>
      <c r="Q277" s="3" t="str">
        <f>_xlfn.XLOOKUP(EHR[[#This Row],[Primary_ICD11_Code]],'03_ICD11_Reference'!A:A,'03_ICD11_Reference'!D:D,,0)</f>
        <v>Cardiovascular</v>
      </c>
      <c r="R277" s="3" t="s">
        <v>505</v>
      </c>
      <c r="S277" s="3" t="s">
        <v>69</v>
      </c>
      <c r="T277" s="3" t="s">
        <v>176</v>
      </c>
      <c r="U277" s="3">
        <v>1</v>
      </c>
      <c r="V277" s="3" t="str">
        <f>_xlfn.XLOOKUP(EHR[[#This Row],[Encounter_ID]],'02_Lab_Results'!B:B,'02_Lab_Results'!D:D,,0)</f>
        <v>6768-6</v>
      </c>
      <c r="W277" s="3" t="str">
        <f>_xlfn.XLOOKUP(EHR[[#This Row],[LOINC Code]],'04_LOINC_Reference'!A:A,'04_LOINC_Reference'!F:F,,0)</f>
        <v>Biochemistry</v>
      </c>
      <c r="X277" s="3" t="str">
        <f>_xlfn.XLOOKUP(EHR[[#This Row],[LOINC Code]],'02_Lab_Results'!D:D,'02_Lab_Results'!E:E,,0)</f>
        <v>ALP</v>
      </c>
      <c r="Y277" s="3" t="str">
        <f>_xlfn.XLOOKUP(EHR[[#This Row],[LOINC Code]],'02_Lab_Results'!D:D,'02_Lab_Results'!J:J,,0)</f>
        <v>High</v>
      </c>
      <c r="Z277" s="3" t="str" cm="1">
        <f t="array" ref="Z277">_xlfn.XLOOKUP(1,(B277=B$2:B$500)*(V$2:V$500="4548-4"),Y$2:Y$500,"Not Tested")</f>
        <v>Not Tested</v>
      </c>
      <c r="AA277" s="3">
        <v>150</v>
      </c>
      <c r="AB277" s="3">
        <v>96</v>
      </c>
      <c r="AC277" s="3" t="str">
        <f>IF(AND(EHR[[#This Row],[BP_Systolic_mmHg]]&lt;140,EHR[[#This Row],[BP_Diastolic_mmHg]]&lt;90),"Controlled",IF(OR(EHR[[#This Row],[BP_Systolic_mmHg]]="Not Recorded",EHR[[#This Row],[BP_Diastolic_mmHg]]="Not Recorded"),"No Reading","Uncontrolled"))</f>
        <v>Uncontrolled</v>
      </c>
      <c r="AD277" s="3" t="str">
        <f>_xlfn.CONCAT(EHR[[#This Row],[BP_Systolic_mmHg]],"/",EHR[[#This Row],[BP_Diastolic_mmHg]])</f>
        <v>150/96</v>
      </c>
      <c r="AE277" s="3">
        <v>95</v>
      </c>
      <c r="AF277" s="3">
        <v>25</v>
      </c>
      <c r="AG277" s="3">
        <v>36.6</v>
      </c>
      <c r="AH277" s="3">
        <v>30.5</v>
      </c>
      <c r="AI277" s="3" t="str">
        <f>IF(EHR[[#This Row],[BMI_kg_m2]]&gt;=30,"Obese","Non-Obese")</f>
        <v>Obese</v>
      </c>
      <c r="AJ277" s="3">
        <v>95</v>
      </c>
      <c r="AK277" s="3" t="s">
        <v>50</v>
      </c>
      <c r="AL277" s="3" t="s">
        <v>51</v>
      </c>
      <c r="AM277" s="3" t="s">
        <v>52</v>
      </c>
      <c r="AN277" s="3" t="s">
        <v>53</v>
      </c>
      <c r="AO277" s="3" t="s">
        <v>54</v>
      </c>
    </row>
    <row r="278" spans="1:41" x14ac:dyDescent="0.2">
      <c r="A278" s="6" t="s">
        <v>1041</v>
      </c>
      <c r="B278" s="2" t="s">
        <v>1050</v>
      </c>
      <c r="C278" s="13">
        <v>44996</v>
      </c>
      <c r="D278" s="2" t="s">
        <v>60</v>
      </c>
      <c r="E278" s="2" t="s">
        <v>89</v>
      </c>
      <c r="F278" s="2" t="s">
        <v>148</v>
      </c>
      <c r="G278" s="2" t="s">
        <v>63</v>
      </c>
      <c r="H278" s="13">
        <v>33670</v>
      </c>
      <c r="I278" s="2">
        <v>33</v>
      </c>
      <c r="J278" s="2" t="str" cm="1">
        <f t="array" ref="J27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78" s="2" t="s">
        <v>1572</v>
      </c>
      <c r="L278" s="2" t="s">
        <v>78</v>
      </c>
      <c r="M278" s="2" t="s">
        <v>79</v>
      </c>
      <c r="N278" s="2" t="s">
        <v>44</v>
      </c>
      <c r="O278" s="2" t="s">
        <v>1574</v>
      </c>
      <c r="P278" s="2" t="s">
        <v>504</v>
      </c>
      <c r="Q278" s="2" t="str">
        <f>_xlfn.XLOOKUP(EHR[[#This Row],[Primary_ICD11_Code]],'03_ICD11_Reference'!A:A,'03_ICD11_Reference'!D:D,,0)</f>
        <v>Cardiovascular</v>
      </c>
      <c r="R278" s="2" t="s">
        <v>505</v>
      </c>
      <c r="S278" s="2" t="s">
        <v>69</v>
      </c>
      <c r="T278" s="2" t="s">
        <v>1052</v>
      </c>
      <c r="U278" s="2">
        <v>4</v>
      </c>
      <c r="V278" s="2" t="str">
        <f>_xlfn.XLOOKUP(EHR[[#This Row],[Encounter_ID]],'02_Lab_Results'!B:B,'02_Lab_Results'!D:D,,0)</f>
        <v>2085-9</v>
      </c>
      <c r="W278" s="2" t="str">
        <f>_xlfn.XLOOKUP(EHR[[#This Row],[LOINC Code]],'04_LOINC_Reference'!A:A,'04_LOINC_Reference'!F:F,,0)</f>
        <v>Biochemistry</v>
      </c>
      <c r="X278" s="2" t="str">
        <f>_xlfn.XLOOKUP(EHR[[#This Row],[LOINC Code]],'02_Lab_Results'!D:D,'02_Lab_Results'!E:E,,0)</f>
        <v>HDL cholesterol</v>
      </c>
      <c r="Y278" s="2" t="str">
        <f>_xlfn.XLOOKUP(EHR[[#This Row],[LOINC Code]],'02_Lab_Results'!D:D,'02_Lab_Results'!J:J,,0)</f>
        <v>Normal</v>
      </c>
      <c r="Z278" s="2" t="str" cm="1">
        <f t="array" ref="Z278">_xlfn.XLOOKUP(1,(B278=B$2:B$500)*(V$2:V$500="4548-4"),Y$2:Y$500,"Not Tested")</f>
        <v>Not Tested</v>
      </c>
      <c r="AA278" s="2">
        <v>163</v>
      </c>
      <c r="AB278" s="2">
        <v>106</v>
      </c>
      <c r="AC278" s="2" t="str">
        <f>IF(AND(EHR[[#This Row],[BP_Systolic_mmHg]]&lt;140,EHR[[#This Row],[BP_Diastolic_mmHg]]&lt;90),"Controlled",IF(OR(EHR[[#This Row],[BP_Systolic_mmHg]]="Not Recorded",EHR[[#This Row],[BP_Diastolic_mmHg]]="Not Recorded"),"No Reading","Uncontrolled"))</f>
        <v>Uncontrolled</v>
      </c>
      <c r="AD278" s="2" t="str">
        <f>_xlfn.CONCAT(EHR[[#This Row],[BP_Systolic_mmHg]],"/",EHR[[#This Row],[BP_Diastolic_mmHg]])</f>
        <v>163/106</v>
      </c>
      <c r="AE278" s="2">
        <v>55</v>
      </c>
      <c r="AF278" s="2">
        <v>20</v>
      </c>
      <c r="AG278" s="2">
        <v>36.4</v>
      </c>
      <c r="AH278" s="2">
        <v>42</v>
      </c>
      <c r="AI278" s="2" t="str">
        <f>IF(EHR[[#This Row],[BMI_kg_m2]]&gt;=30,"Obese","Non-Obese")</f>
        <v>Obese</v>
      </c>
      <c r="AJ278" s="2">
        <v>91</v>
      </c>
      <c r="AK278" s="2" t="s">
        <v>50</v>
      </c>
      <c r="AL278" s="2" t="s">
        <v>51</v>
      </c>
      <c r="AM278" s="2" t="s">
        <v>52</v>
      </c>
      <c r="AN278" s="2" t="s">
        <v>53</v>
      </c>
      <c r="AO278" s="2" t="s">
        <v>54</v>
      </c>
    </row>
    <row r="279" spans="1:41" x14ac:dyDescent="0.2">
      <c r="A279" s="7" t="s">
        <v>1041</v>
      </c>
      <c r="B279" s="3" t="s">
        <v>1053</v>
      </c>
      <c r="C279" s="14">
        <v>45668</v>
      </c>
      <c r="D279" s="3" t="s">
        <v>88</v>
      </c>
      <c r="E279" s="3" t="s">
        <v>96</v>
      </c>
      <c r="F279" s="3" t="s">
        <v>219</v>
      </c>
      <c r="G279" s="3" t="s">
        <v>115</v>
      </c>
      <c r="H279" s="14">
        <v>33670</v>
      </c>
      <c r="I279" s="3">
        <v>33</v>
      </c>
      <c r="J279" s="3" t="str" cm="1">
        <f t="array" ref="J27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79" s="3" t="s">
        <v>1572</v>
      </c>
      <c r="L279" s="3" t="s">
        <v>90</v>
      </c>
      <c r="M279" s="3" t="s">
        <v>79</v>
      </c>
      <c r="N279" s="3" t="s">
        <v>44</v>
      </c>
      <c r="O279" s="3" t="s">
        <v>1574</v>
      </c>
      <c r="P279" s="3" t="s">
        <v>504</v>
      </c>
      <c r="Q279" s="3" t="str">
        <f>_xlfn.XLOOKUP(EHR[[#This Row],[Primary_ICD11_Code]],'03_ICD11_Reference'!A:A,'03_ICD11_Reference'!D:D,,0)</f>
        <v>Cardiovascular</v>
      </c>
      <c r="R279" s="3" t="s">
        <v>505</v>
      </c>
      <c r="S279" s="3" t="s">
        <v>69</v>
      </c>
      <c r="T279" s="3" t="s">
        <v>1054</v>
      </c>
      <c r="U279" s="3">
        <v>3</v>
      </c>
      <c r="V279" s="3" t="str">
        <f>_xlfn.XLOOKUP(EHR[[#This Row],[Encounter_ID]],'02_Lab_Results'!B:B,'02_Lab_Results'!D:D,,0)</f>
        <v>2777-1</v>
      </c>
      <c r="W279" s="3" t="str">
        <f>_xlfn.XLOOKUP(EHR[[#This Row],[LOINC Code]],'04_LOINC_Reference'!A:A,'04_LOINC_Reference'!F:F,,0)</f>
        <v>Biochemistry</v>
      </c>
      <c r="X279" s="3" t="str">
        <f>_xlfn.XLOOKUP(EHR[[#This Row],[LOINC Code]],'02_Lab_Results'!D:D,'02_Lab_Results'!E:E,,0)</f>
        <v>Serum phosphate</v>
      </c>
      <c r="Y279" s="3" t="str">
        <f>_xlfn.XLOOKUP(EHR[[#This Row],[LOINC Code]],'02_Lab_Results'!D:D,'02_Lab_Results'!J:J,,0)</f>
        <v>Normal</v>
      </c>
      <c r="Z279" s="3" t="str" cm="1">
        <f t="array" ref="Z279">_xlfn.XLOOKUP(1,(B279=B$2:B$500)*(V$2:V$500="4548-4"),Y$2:Y$500,"Not Tested")</f>
        <v>Not Tested</v>
      </c>
      <c r="AA279" s="3">
        <v>157</v>
      </c>
      <c r="AB279" s="3">
        <v>111</v>
      </c>
      <c r="AC279" s="3" t="str">
        <f>IF(AND(EHR[[#This Row],[BP_Systolic_mmHg]]&lt;140,EHR[[#This Row],[BP_Diastolic_mmHg]]&lt;90),"Controlled",IF(OR(EHR[[#This Row],[BP_Systolic_mmHg]]="Not Recorded",EHR[[#This Row],[BP_Diastolic_mmHg]]="Not Recorded"),"No Reading","Uncontrolled"))</f>
        <v>Uncontrolled</v>
      </c>
      <c r="AD279" s="3" t="str">
        <f>_xlfn.CONCAT(EHR[[#This Row],[BP_Systolic_mmHg]],"/",EHR[[#This Row],[BP_Diastolic_mmHg]])</f>
        <v>157/111</v>
      </c>
      <c r="AE279" s="3">
        <v>124</v>
      </c>
      <c r="AF279" s="3">
        <v>17</v>
      </c>
      <c r="AG279" s="3">
        <v>37.9</v>
      </c>
      <c r="AH279" s="3">
        <v>26.5</v>
      </c>
      <c r="AI279" s="3" t="str">
        <f>IF(EHR[[#This Row],[BMI_kg_m2]]&gt;=30,"Obese","Non-Obese")</f>
        <v>Non-Obese</v>
      </c>
      <c r="AJ279" s="3">
        <v>94</v>
      </c>
      <c r="AK279" s="3" t="s">
        <v>50</v>
      </c>
      <c r="AL279" s="3" t="s">
        <v>51</v>
      </c>
      <c r="AM279" s="3" t="s">
        <v>52</v>
      </c>
      <c r="AN279" s="3" t="s">
        <v>53</v>
      </c>
      <c r="AO279" s="3" t="s">
        <v>54</v>
      </c>
    </row>
    <row r="280" spans="1:41" x14ac:dyDescent="0.2">
      <c r="A280" s="6" t="s">
        <v>1055</v>
      </c>
      <c r="B280" s="2" t="s">
        <v>1056</v>
      </c>
      <c r="C280" s="13">
        <v>45351</v>
      </c>
      <c r="D280" s="2" t="s">
        <v>36</v>
      </c>
      <c r="E280" s="2" t="s">
        <v>89</v>
      </c>
      <c r="F280" s="2" t="s">
        <v>148</v>
      </c>
      <c r="G280" s="2" t="s">
        <v>76</v>
      </c>
      <c r="H280" s="13">
        <v>25659</v>
      </c>
      <c r="I280" s="2">
        <v>55</v>
      </c>
      <c r="J280" s="2" t="str" cm="1">
        <f t="array" ref="J28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280" s="2" t="s">
        <v>1572</v>
      </c>
      <c r="L280" s="2" t="s">
        <v>66</v>
      </c>
      <c r="M280" s="2" t="s">
        <v>141</v>
      </c>
      <c r="N280" s="2" t="s">
        <v>44</v>
      </c>
      <c r="O280" s="2" t="s">
        <v>182</v>
      </c>
      <c r="P280" s="2" t="s">
        <v>142</v>
      </c>
      <c r="Q280" s="2" t="str">
        <f>_xlfn.XLOOKUP(EHR[[#This Row],[Primary_ICD11_Code]],'03_ICD11_Reference'!A:A,'03_ICD11_Reference'!D:D,,0)</f>
        <v>Cardiovascular</v>
      </c>
      <c r="R280" s="2" t="s">
        <v>143</v>
      </c>
      <c r="S280" s="2" t="s">
        <v>48</v>
      </c>
      <c r="T280" s="2" t="s">
        <v>243</v>
      </c>
      <c r="U280" s="2">
        <v>1</v>
      </c>
      <c r="V280" s="2" t="str">
        <f>_xlfn.XLOOKUP(EHR[[#This Row],[Encounter_ID]],'02_Lab_Results'!B:B,'02_Lab_Results'!D:D,,0)</f>
        <v>2093-3</v>
      </c>
      <c r="W280" s="2" t="str">
        <f>_xlfn.XLOOKUP(EHR[[#This Row],[LOINC Code]],'04_LOINC_Reference'!A:A,'04_LOINC_Reference'!F:F,,0)</f>
        <v>Biochemistry</v>
      </c>
      <c r="X280" s="2" t="str">
        <f>_xlfn.XLOOKUP(EHR[[#This Row],[LOINC Code]],'02_Lab_Results'!D:D,'02_Lab_Results'!E:E,,0)</f>
        <v>Total cholesterol</v>
      </c>
      <c r="Y280" s="2" t="str">
        <f>_xlfn.XLOOKUP(EHR[[#This Row],[LOINC Code]],'02_Lab_Results'!D:D,'02_Lab_Results'!J:J,,0)</f>
        <v>Normal</v>
      </c>
      <c r="Z280" s="2" t="str" cm="1">
        <f t="array" ref="Z280">_xlfn.XLOOKUP(1,(B280=B$2:B$500)*(V$2:V$500="4548-4"),Y$2:Y$500,"Not Tested")</f>
        <v>Not Tested</v>
      </c>
      <c r="AA280" s="2">
        <v>132</v>
      </c>
      <c r="AB280" s="2">
        <v>75</v>
      </c>
      <c r="AC280" s="2" t="str">
        <f>IF(AND(EHR[[#This Row],[BP_Systolic_mmHg]]&lt;140,EHR[[#This Row],[BP_Diastolic_mmHg]]&lt;90),"Controlled",IF(OR(EHR[[#This Row],[BP_Systolic_mmHg]]="Not Recorded",EHR[[#This Row],[BP_Diastolic_mmHg]]="Not Recorded"),"No Reading","Uncontrolled"))</f>
        <v>Controlled</v>
      </c>
      <c r="AD280" s="2" t="str">
        <f>_xlfn.CONCAT(EHR[[#This Row],[BP_Systolic_mmHg]],"/",EHR[[#This Row],[BP_Diastolic_mmHg]])</f>
        <v>132/75</v>
      </c>
      <c r="AE280" s="2">
        <v>92</v>
      </c>
      <c r="AF280" s="2">
        <v>22</v>
      </c>
      <c r="AG280" s="2">
        <v>36</v>
      </c>
      <c r="AH280" s="2">
        <v>23.2</v>
      </c>
      <c r="AI280" s="2" t="str">
        <f>IF(EHR[[#This Row],[BMI_kg_m2]]&gt;=30,"Obese","Non-Obese")</f>
        <v>Non-Obese</v>
      </c>
      <c r="AJ280" s="2">
        <v>91</v>
      </c>
      <c r="AK280" s="2" t="s">
        <v>50</v>
      </c>
      <c r="AL280" s="2" t="s">
        <v>51</v>
      </c>
      <c r="AM280" s="2" t="s">
        <v>52</v>
      </c>
      <c r="AN280" s="2" t="s">
        <v>53</v>
      </c>
      <c r="AO280" s="2" t="s">
        <v>54</v>
      </c>
    </row>
    <row r="281" spans="1:41" x14ac:dyDescent="0.2">
      <c r="A281" s="7" t="s">
        <v>1058</v>
      </c>
      <c r="B281" s="3" t="s">
        <v>1059</v>
      </c>
      <c r="C281" s="14">
        <v>45273</v>
      </c>
      <c r="D281" s="3" t="s">
        <v>88</v>
      </c>
      <c r="E281" s="3" t="s">
        <v>167</v>
      </c>
      <c r="F281" s="3" t="s">
        <v>97</v>
      </c>
      <c r="G281" s="3" t="s">
        <v>76</v>
      </c>
      <c r="H281" s="14">
        <v>34284</v>
      </c>
      <c r="I281" s="3">
        <v>32</v>
      </c>
      <c r="J281" s="3" t="str" cm="1">
        <f t="array" ref="J28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81" s="3" t="s">
        <v>1572</v>
      </c>
      <c r="L281" s="3" t="s">
        <v>90</v>
      </c>
      <c r="M281" s="3" t="s">
        <v>45</v>
      </c>
      <c r="N281" s="3" t="s">
        <v>80</v>
      </c>
      <c r="O281" s="3" t="s">
        <v>182</v>
      </c>
      <c r="P281" s="3" t="s">
        <v>67</v>
      </c>
      <c r="Q281" s="3" t="str">
        <f>_xlfn.XLOOKUP(EHR[[#This Row],[Primary_ICD11_Code]],'03_ICD11_Reference'!A:A,'03_ICD11_Reference'!D:D,,0)</f>
        <v>Endocrine</v>
      </c>
      <c r="R281" s="3" t="s">
        <v>68</v>
      </c>
      <c r="S281" s="3" t="s">
        <v>69</v>
      </c>
      <c r="T281" s="3" t="s">
        <v>1062</v>
      </c>
      <c r="U281" s="3">
        <v>3</v>
      </c>
      <c r="V281" s="3" t="str">
        <f>_xlfn.XLOOKUP(EHR[[#This Row],[Encounter_ID]],'02_Lab_Results'!B:B,'02_Lab_Results'!D:D,,0)</f>
        <v>718-7</v>
      </c>
      <c r="W281" s="3" t="str">
        <f>_xlfn.XLOOKUP(EHR[[#This Row],[LOINC Code]],'04_LOINC_Reference'!A:A,'04_LOINC_Reference'!F:F,,0)</f>
        <v>Biochemistry</v>
      </c>
      <c r="X281" s="3" t="str">
        <f>_xlfn.XLOOKUP(EHR[[#This Row],[LOINC Code]],'02_Lab_Results'!D:D,'02_Lab_Results'!E:E,,0)</f>
        <v>Haemoglobin</v>
      </c>
      <c r="Y281" s="3" t="str">
        <f>_xlfn.XLOOKUP(EHR[[#This Row],[LOINC Code]],'02_Lab_Results'!D:D,'02_Lab_Results'!J:J,,0)</f>
        <v>Normal</v>
      </c>
      <c r="Z281" s="3" t="str" cm="1">
        <f t="array" ref="Z281">_xlfn.XLOOKUP(1,(B281=B$2:B$500)*(V$2:V$500="4548-4"),Y$2:Y$500,"Not Tested")</f>
        <v>Not Tested</v>
      </c>
      <c r="AA281" s="3">
        <v>178</v>
      </c>
      <c r="AB281" s="3">
        <v>84</v>
      </c>
      <c r="AC281" s="3" t="str">
        <f>IF(AND(EHR[[#This Row],[BP_Systolic_mmHg]]&lt;140,EHR[[#This Row],[BP_Diastolic_mmHg]]&lt;90),"Controlled",IF(OR(EHR[[#This Row],[BP_Systolic_mmHg]]="Not Recorded",EHR[[#This Row],[BP_Diastolic_mmHg]]="Not Recorded"),"No Reading","Uncontrolled"))</f>
        <v>Uncontrolled</v>
      </c>
      <c r="AD281" s="3" t="str">
        <f>_xlfn.CONCAT(EHR[[#This Row],[BP_Systolic_mmHg]],"/",EHR[[#This Row],[BP_Diastolic_mmHg]])</f>
        <v>178/84</v>
      </c>
      <c r="AE281" s="3">
        <v>86</v>
      </c>
      <c r="AF281" s="3">
        <v>13</v>
      </c>
      <c r="AG281" s="3">
        <v>36.4</v>
      </c>
      <c r="AH281" s="3">
        <v>21.9</v>
      </c>
      <c r="AI281" s="3" t="str">
        <f>IF(EHR[[#This Row],[BMI_kg_m2]]&gt;=30,"Obese","Non-Obese")</f>
        <v>Non-Obese</v>
      </c>
      <c r="AJ281" s="3">
        <v>93</v>
      </c>
      <c r="AK281" s="3" t="s">
        <v>50</v>
      </c>
      <c r="AL281" s="3" t="s">
        <v>51</v>
      </c>
      <c r="AM281" s="3" t="s">
        <v>52</v>
      </c>
      <c r="AN281" s="3" t="s">
        <v>53</v>
      </c>
      <c r="AO281" s="3" t="s">
        <v>54</v>
      </c>
    </row>
    <row r="282" spans="1:41" x14ac:dyDescent="0.2">
      <c r="A282" s="6" t="s">
        <v>1058</v>
      </c>
      <c r="B282" s="2" t="s">
        <v>1063</v>
      </c>
      <c r="C282" s="13">
        <v>45475</v>
      </c>
      <c r="D282" s="2" t="s">
        <v>95</v>
      </c>
      <c r="E282" s="2" t="s">
        <v>89</v>
      </c>
      <c r="F282" s="2" t="s">
        <v>38</v>
      </c>
      <c r="G282" s="2" t="s">
        <v>39</v>
      </c>
      <c r="H282" s="13">
        <v>34284</v>
      </c>
      <c r="I282" s="2">
        <v>32</v>
      </c>
      <c r="J282" s="2" t="str" cm="1">
        <f t="array" ref="J28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82" s="2" t="s">
        <v>1572</v>
      </c>
      <c r="L282" s="2" t="s">
        <v>140</v>
      </c>
      <c r="M282" s="2" t="s">
        <v>45</v>
      </c>
      <c r="N282" s="2" t="s">
        <v>80</v>
      </c>
      <c r="O282" s="2" t="s">
        <v>182</v>
      </c>
      <c r="P282" s="2" t="s">
        <v>67</v>
      </c>
      <c r="Q282" s="2" t="str">
        <f>_xlfn.XLOOKUP(EHR[[#This Row],[Primary_ICD11_Code]],'03_ICD11_Reference'!A:A,'03_ICD11_Reference'!D:D,,0)</f>
        <v>Endocrine</v>
      </c>
      <c r="R282" s="2" t="s">
        <v>68</v>
      </c>
      <c r="S282" s="2" t="s">
        <v>69</v>
      </c>
      <c r="T282" s="2" t="s">
        <v>460</v>
      </c>
      <c r="U282" s="2">
        <v>1</v>
      </c>
      <c r="V282" s="2" t="str">
        <f>_xlfn.XLOOKUP(EHR[[#This Row],[Encounter_ID]],'02_Lab_Results'!B:B,'02_Lab_Results'!D:D,,0)</f>
        <v>2093-3</v>
      </c>
      <c r="W282" s="2" t="str">
        <f>_xlfn.XLOOKUP(EHR[[#This Row],[LOINC Code]],'04_LOINC_Reference'!A:A,'04_LOINC_Reference'!F:F,,0)</f>
        <v>Biochemistry</v>
      </c>
      <c r="X282" s="2" t="str">
        <f>_xlfn.XLOOKUP(EHR[[#This Row],[LOINC Code]],'02_Lab_Results'!D:D,'02_Lab_Results'!E:E,,0)</f>
        <v>Total cholesterol</v>
      </c>
      <c r="Y282" s="2" t="str">
        <f>_xlfn.XLOOKUP(EHR[[#This Row],[LOINC Code]],'02_Lab_Results'!D:D,'02_Lab_Results'!J:J,,0)</f>
        <v>Normal</v>
      </c>
      <c r="Z282" s="2" t="str" cm="1">
        <f t="array" ref="Z282">_xlfn.XLOOKUP(1,(B282=B$2:B$500)*(V$2:V$500="4548-4"),Y$2:Y$500,"Not Tested")</f>
        <v>Not Tested</v>
      </c>
      <c r="AA282" s="2">
        <v>97</v>
      </c>
      <c r="AB282" s="2">
        <v>90</v>
      </c>
      <c r="AC282" s="2" t="str">
        <f>IF(AND(EHR[[#This Row],[BP_Systolic_mmHg]]&lt;140,EHR[[#This Row],[BP_Diastolic_mmHg]]&lt;90),"Controlled",IF(OR(EHR[[#This Row],[BP_Systolic_mmHg]]="Not Recorded",EHR[[#This Row],[BP_Diastolic_mmHg]]="Not Recorded"),"No Reading","Uncontrolled"))</f>
        <v>Uncontrolled</v>
      </c>
      <c r="AD282" s="2" t="str">
        <f>_xlfn.CONCAT(EHR[[#This Row],[BP_Systolic_mmHg]],"/",EHR[[#This Row],[BP_Diastolic_mmHg]])</f>
        <v>97/90</v>
      </c>
      <c r="AE282" s="2">
        <v>75</v>
      </c>
      <c r="AF282" s="2">
        <v>27</v>
      </c>
      <c r="AG282" s="2">
        <v>38.5</v>
      </c>
      <c r="AH282" s="2">
        <v>19.399999999999999</v>
      </c>
      <c r="AI282" s="2" t="str">
        <f>IF(EHR[[#This Row],[BMI_kg_m2]]&gt;=30,"Obese","Non-Obese")</f>
        <v>Non-Obese</v>
      </c>
      <c r="AJ282" s="2">
        <v>89</v>
      </c>
      <c r="AK282" s="2" t="s">
        <v>50</v>
      </c>
      <c r="AL282" s="2" t="s">
        <v>51</v>
      </c>
      <c r="AM282" s="2" t="s">
        <v>52</v>
      </c>
      <c r="AN282" s="2" t="s">
        <v>53</v>
      </c>
      <c r="AO282" s="2" t="s">
        <v>54</v>
      </c>
    </row>
    <row r="283" spans="1:41" x14ac:dyDescent="0.2">
      <c r="A283" s="7" t="s">
        <v>1058</v>
      </c>
      <c r="B283" s="3" t="s">
        <v>1065</v>
      </c>
      <c r="C283" s="14">
        <v>45536</v>
      </c>
      <c r="D283" s="3" t="s">
        <v>36</v>
      </c>
      <c r="E283" s="3" t="s">
        <v>61</v>
      </c>
      <c r="F283" s="3" t="s">
        <v>148</v>
      </c>
      <c r="G283" s="3" t="s">
        <v>104</v>
      </c>
      <c r="H283" s="14">
        <v>34284</v>
      </c>
      <c r="I283" s="3">
        <v>32</v>
      </c>
      <c r="J283" s="3" t="str" cm="1">
        <f t="array" ref="J28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83" s="3" t="s">
        <v>1572</v>
      </c>
      <c r="L283" s="3" t="s">
        <v>140</v>
      </c>
      <c r="M283" s="3" t="s">
        <v>45</v>
      </c>
      <c r="N283" s="3" t="s">
        <v>80</v>
      </c>
      <c r="O283" s="3" t="s">
        <v>182</v>
      </c>
      <c r="P283" s="3" t="s">
        <v>67</v>
      </c>
      <c r="Q283" s="3" t="str">
        <f>_xlfn.XLOOKUP(EHR[[#This Row],[Primary_ICD11_Code]],'03_ICD11_Reference'!A:A,'03_ICD11_Reference'!D:D,,0)</f>
        <v>Endocrine</v>
      </c>
      <c r="R283" s="3" t="s">
        <v>68</v>
      </c>
      <c r="S283" s="3" t="s">
        <v>69</v>
      </c>
      <c r="T283" s="3" t="s">
        <v>1067</v>
      </c>
      <c r="U283" s="3">
        <v>2</v>
      </c>
      <c r="V283" s="3" t="str">
        <f>_xlfn.XLOOKUP(EHR[[#This Row],[Encounter_ID]],'02_Lab_Results'!B:B,'02_Lab_Results'!D:D,,0)</f>
        <v>6768-6</v>
      </c>
      <c r="W283" s="3" t="str">
        <f>_xlfn.XLOOKUP(EHR[[#This Row],[LOINC Code]],'04_LOINC_Reference'!A:A,'04_LOINC_Reference'!F:F,,0)</f>
        <v>Biochemistry</v>
      </c>
      <c r="X283" s="3" t="str">
        <f>_xlfn.XLOOKUP(EHR[[#This Row],[LOINC Code]],'02_Lab_Results'!D:D,'02_Lab_Results'!E:E,,0)</f>
        <v>ALP</v>
      </c>
      <c r="Y283" s="3" t="str">
        <f>_xlfn.XLOOKUP(EHR[[#This Row],[LOINC Code]],'02_Lab_Results'!D:D,'02_Lab_Results'!J:J,,0)</f>
        <v>High</v>
      </c>
      <c r="Z283" s="3" t="str" cm="1">
        <f t="array" ref="Z283">_xlfn.XLOOKUP(1,(B283=B$2:B$500)*(V$2:V$500="4548-4"),Y$2:Y$500,"Not Tested")</f>
        <v>Not Tested</v>
      </c>
      <c r="AA283" s="3">
        <v>106</v>
      </c>
      <c r="AB283" s="3">
        <v>102</v>
      </c>
      <c r="AC283" s="3" t="str">
        <f>IF(AND(EHR[[#This Row],[BP_Systolic_mmHg]]&lt;140,EHR[[#This Row],[BP_Diastolic_mmHg]]&lt;90),"Controlled",IF(OR(EHR[[#This Row],[BP_Systolic_mmHg]]="Not Recorded",EHR[[#This Row],[BP_Diastolic_mmHg]]="Not Recorded"),"No Reading","Uncontrolled"))</f>
        <v>Uncontrolled</v>
      </c>
      <c r="AD283" s="3" t="str">
        <f>_xlfn.CONCAT(EHR[[#This Row],[BP_Systolic_mmHg]],"/",EHR[[#This Row],[BP_Diastolic_mmHg]])</f>
        <v>106/102</v>
      </c>
      <c r="AE283" s="3">
        <v>73</v>
      </c>
      <c r="AF283" s="3">
        <v>26</v>
      </c>
      <c r="AG283" s="3">
        <v>38.299999999999997</v>
      </c>
      <c r="AH283" s="3">
        <v>25.2</v>
      </c>
      <c r="AI283" s="3" t="str">
        <f>IF(EHR[[#This Row],[BMI_kg_m2]]&gt;=30,"Obese","Non-Obese")</f>
        <v>Non-Obese</v>
      </c>
      <c r="AJ283" s="3">
        <v>88</v>
      </c>
      <c r="AK283" s="3" t="s">
        <v>50</v>
      </c>
      <c r="AL283" s="3" t="s">
        <v>51</v>
      </c>
      <c r="AM283" s="3" t="s">
        <v>52</v>
      </c>
      <c r="AN283" s="3" t="s">
        <v>53</v>
      </c>
      <c r="AO283" s="3" t="s">
        <v>54</v>
      </c>
    </row>
    <row r="284" spans="1:41" x14ac:dyDescent="0.2">
      <c r="A284" s="6" t="s">
        <v>1058</v>
      </c>
      <c r="B284" s="2" t="s">
        <v>1068</v>
      </c>
      <c r="C284" s="13">
        <v>45041</v>
      </c>
      <c r="D284" s="2" t="s">
        <v>95</v>
      </c>
      <c r="E284" s="2" t="s">
        <v>89</v>
      </c>
      <c r="F284" s="2" t="s">
        <v>62</v>
      </c>
      <c r="G284" s="2" t="s">
        <v>76</v>
      </c>
      <c r="H284" s="13">
        <v>34284</v>
      </c>
      <c r="I284" s="2">
        <v>32</v>
      </c>
      <c r="J284" s="2" t="str" cm="1">
        <f t="array" ref="J28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284" s="2" t="s">
        <v>1572</v>
      </c>
      <c r="L284" s="2" t="s">
        <v>140</v>
      </c>
      <c r="M284" s="2" t="s">
        <v>45</v>
      </c>
      <c r="N284" s="2" t="s">
        <v>80</v>
      </c>
      <c r="O284" s="2" t="s">
        <v>182</v>
      </c>
      <c r="P284" s="2" t="s">
        <v>67</v>
      </c>
      <c r="Q284" s="2" t="str">
        <f>_xlfn.XLOOKUP(EHR[[#This Row],[Primary_ICD11_Code]],'03_ICD11_Reference'!A:A,'03_ICD11_Reference'!D:D,,0)</f>
        <v>Endocrine</v>
      </c>
      <c r="R284" s="2" t="s">
        <v>68</v>
      </c>
      <c r="S284" s="2" t="s">
        <v>69</v>
      </c>
      <c r="T284" s="2" t="s">
        <v>1069</v>
      </c>
      <c r="U284" s="2">
        <v>2</v>
      </c>
      <c r="V284" s="2" t="str">
        <f>_xlfn.XLOOKUP(EHR[[#This Row],[Encounter_ID]],'02_Lab_Results'!B:B,'02_Lab_Results'!D:D,,0)</f>
        <v>2951-2</v>
      </c>
      <c r="W284" s="2" t="str">
        <f>_xlfn.XLOOKUP(EHR[[#This Row],[LOINC Code]],'04_LOINC_Reference'!A:A,'04_LOINC_Reference'!F:F,,0)</f>
        <v>Biochemistry</v>
      </c>
      <c r="X284" s="2" t="str">
        <f>_xlfn.XLOOKUP(EHR[[#This Row],[LOINC Code]],'02_Lab_Results'!D:D,'02_Lab_Results'!E:E,,0)</f>
        <v>Serum sodium</v>
      </c>
      <c r="Y284" s="2" t="str">
        <f>_xlfn.XLOOKUP(EHR[[#This Row],[LOINC Code]],'02_Lab_Results'!D:D,'02_Lab_Results'!J:J,,0)</f>
        <v>Low</v>
      </c>
      <c r="Z284" s="2" t="str" cm="1">
        <f t="array" ref="Z284">_xlfn.XLOOKUP(1,(B284=B$2:B$500)*(V$2:V$500="4548-4"),Y$2:Y$500,"Not Tested")</f>
        <v>Not Tested</v>
      </c>
      <c r="AA284" s="2">
        <v>129</v>
      </c>
      <c r="AB284" s="2">
        <v>57</v>
      </c>
      <c r="AC284" s="2" t="str">
        <f>IF(AND(EHR[[#This Row],[BP_Systolic_mmHg]]&lt;140,EHR[[#This Row],[BP_Diastolic_mmHg]]&lt;90),"Controlled",IF(OR(EHR[[#This Row],[BP_Systolic_mmHg]]="Not Recorded",EHR[[#This Row],[BP_Diastolic_mmHg]]="Not Recorded"),"No Reading","Uncontrolled"))</f>
        <v>Controlled</v>
      </c>
      <c r="AD284" s="2" t="str">
        <f>_xlfn.CONCAT(EHR[[#This Row],[BP_Systolic_mmHg]],"/",EHR[[#This Row],[BP_Diastolic_mmHg]])</f>
        <v>129/57</v>
      </c>
      <c r="AE284" s="2">
        <v>65</v>
      </c>
      <c r="AF284" s="2">
        <v>13</v>
      </c>
      <c r="AG284" s="2">
        <v>37.6</v>
      </c>
      <c r="AH284" s="2">
        <v>40.299999999999997</v>
      </c>
      <c r="AI284" s="2" t="str">
        <f>IF(EHR[[#This Row],[BMI_kg_m2]]&gt;=30,"Obese","Non-Obese")</f>
        <v>Obese</v>
      </c>
      <c r="AJ284" s="2">
        <v>99</v>
      </c>
      <c r="AK284" s="2" t="s">
        <v>50</v>
      </c>
      <c r="AL284" s="2" t="s">
        <v>51</v>
      </c>
      <c r="AM284" s="2" t="s">
        <v>52</v>
      </c>
      <c r="AN284" s="2" t="s">
        <v>53</v>
      </c>
      <c r="AO284" s="2" t="s">
        <v>54</v>
      </c>
    </row>
    <row r="285" spans="1:41" x14ac:dyDescent="0.2">
      <c r="A285" s="7" t="s">
        <v>1070</v>
      </c>
      <c r="B285" s="3" t="s">
        <v>1071</v>
      </c>
      <c r="C285" s="14">
        <v>45461</v>
      </c>
      <c r="D285" s="3" t="s">
        <v>36</v>
      </c>
      <c r="E285" s="3" t="s">
        <v>37</v>
      </c>
      <c r="F285" s="3" t="s">
        <v>97</v>
      </c>
      <c r="G285" s="3" t="s">
        <v>104</v>
      </c>
      <c r="H285" s="14">
        <v>15285</v>
      </c>
      <c r="I285" s="3">
        <v>84</v>
      </c>
      <c r="J285" s="3" t="str" cm="1">
        <f t="array" ref="J28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85" s="3" t="s">
        <v>1572</v>
      </c>
      <c r="L285" s="3" t="s">
        <v>116</v>
      </c>
      <c r="M285" s="3" t="s">
        <v>45</v>
      </c>
      <c r="N285" s="3" t="s">
        <v>1574</v>
      </c>
      <c r="O285" s="3" t="s">
        <v>1574</v>
      </c>
      <c r="P285" s="3" t="s">
        <v>211</v>
      </c>
      <c r="Q285" s="3" t="str">
        <f>_xlfn.XLOOKUP(EHR[[#This Row],[Primary_ICD11_Code]],'03_ICD11_Reference'!A:A,'03_ICD11_Reference'!D:D,,0)</f>
        <v>Neurological</v>
      </c>
      <c r="R285" s="3" t="s">
        <v>212</v>
      </c>
      <c r="S285" s="3" t="s">
        <v>48</v>
      </c>
      <c r="T285" s="3" t="s">
        <v>885</v>
      </c>
      <c r="U285" s="3">
        <v>1</v>
      </c>
      <c r="V285" s="3" t="str">
        <f>_xlfn.XLOOKUP(EHR[[#This Row],[Encounter_ID]],'02_Lab_Results'!B:B,'02_Lab_Results'!D:D,,0)</f>
        <v>2777-1</v>
      </c>
      <c r="W285" s="3" t="str">
        <f>_xlfn.XLOOKUP(EHR[[#This Row],[LOINC Code]],'04_LOINC_Reference'!A:A,'04_LOINC_Reference'!F:F,,0)</f>
        <v>Biochemistry</v>
      </c>
      <c r="X285" s="3" t="str">
        <f>_xlfn.XLOOKUP(EHR[[#This Row],[LOINC Code]],'02_Lab_Results'!D:D,'02_Lab_Results'!E:E,,0)</f>
        <v>Serum phosphate</v>
      </c>
      <c r="Y285" s="3" t="str">
        <f>_xlfn.XLOOKUP(EHR[[#This Row],[LOINC Code]],'02_Lab_Results'!D:D,'02_Lab_Results'!J:J,,0)</f>
        <v>Normal</v>
      </c>
      <c r="Z285" s="3" t="str" cm="1">
        <f t="array" ref="Z285">_xlfn.XLOOKUP(1,(B285=B$2:B$500)*(V$2:V$500="4548-4"),Y$2:Y$500,"Not Tested")</f>
        <v>Not Tested</v>
      </c>
      <c r="AA285" s="3">
        <v>105</v>
      </c>
      <c r="AB285" s="3">
        <v>74</v>
      </c>
      <c r="AC285" s="3" t="str">
        <f>IF(AND(EHR[[#This Row],[BP_Systolic_mmHg]]&lt;140,EHR[[#This Row],[BP_Diastolic_mmHg]]&lt;90),"Controlled",IF(OR(EHR[[#This Row],[BP_Systolic_mmHg]]="Not Recorded",EHR[[#This Row],[BP_Diastolic_mmHg]]="Not Recorded"),"No Reading","Uncontrolled"))</f>
        <v>Controlled</v>
      </c>
      <c r="AD285" s="3" t="str">
        <f>_xlfn.CONCAT(EHR[[#This Row],[BP_Systolic_mmHg]],"/",EHR[[#This Row],[BP_Diastolic_mmHg]])</f>
        <v>105/74</v>
      </c>
      <c r="AE285" s="3">
        <v>53</v>
      </c>
      <c r="AF285" s="3">
        <v>26</v>
      </c>
      <c r="AG285" s="3">
        <v>38.799999999999997</v>
      </c>
      <c r="AH285" s="3">
        <v>27</v>
      </c>
      <c r="AI285" s="3" t="str">
        <f>IF(EHR[[#This Row],[BMI_kg_m2]]&gt;=30,"Obese","Non-Obese")</f>
        <v>Non-Obese</v>
      </c>
      <c r="AJ285" s="3">
        <v>99</v>
      </c>
      <c r="AK285" s="3" t="s">
        <v>50</v>
      </c>
      <c r="AL285" s="3" t="s">
        <v>51</v>
      </c>
      <c r="AM285" s="3" t="s">
        <v>52</v>
      </c>
      <c r="AN285" s="3" t="s">
        <v>53</v>
      </c>
      <c r="AO285" s="3" t="s">
        <v>54</v>
      </c>
    </row>
    <row r="286" spans="1:41" x14ac:dyDescent="0.2">
      <c r="A286" s="6" t="s">
        <v>1070</v>
      </c>
      <c r="B286" s="2" t="s">
        <v>1074</v>
      </c>
      <c r="C286" s="13">
        <v>45141</v>
      </c>
      <c r="D286" s="2" t="s">
        <v>88</v>
      </c>
      <c r="E286" s="2" t="s">
        <v>37</v>
      </c>
      <c r="F286" s="2" t="s">
        <v>189</v>
      </c>
      <c r="G286" s="2" t="s">
        <v>76</v>
      </c>
      <c r="H286" s="13">
        <v>15285</v>
      </c>
      <c r="I286" s="2">
        <v>84</v>
      </c>
      <c r="J286" s="2" t="str" cm="1">
        <f t="array" ref="J28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86" s="2" t="s">
        <v>1572</v>
      </c>
      <c r="L286" s="2" t="s">
        <v>90</v>
      </c>
      <c r="M286" s="2" t="s">
        <v>45</v>
      </c>
      <c r="N286" s="2" t="s">
        <v>1574</v>
      </c>
      <c r="O286" s="2" t="s">
        <v>1574</v>
      </c>
      <c r="P286" s="2" t="s">
        <v>211</v>
      </c>
      <c r="Q286" s="2" t="str">
        <f>_xlfn.XLOOKUP(EHR[[#This Row],[Primary_ICD11_Code]],'03_ICD11_Reference'!A:A,'03_ICD11_Reference'!D:D,,0)</f>
        <v>Neurological</v>
      </c>
      <c r="R286" s="2" t="s">
        <v>212</v>
      </c>
      <c r="S286" s="2" t="s">
        <v>48</v>
      </c>
      <c r="T286" s="2" t="s">
        <v>1075</v>
      </c>
      <c r="U286" s="2">
        <v>3</v>
      </c>
      <c r="V286" s="2" t="str">
        <f>_xlfn.XLOOKUP(EHR[[#This Row],[Encounter_ID]],'02_Lab_Results'!B:B,'02_Lab_Results'!D:D,,0)</f>
        <v>718-7</v>
      </c>
      <c r="W286" s="2" t="str">
        <f>_xlfn.XLOOKUP(EHR[[#This Row],[LOINC Code]],'04_LOINC_Reference'!A:A,'04_LOINC_Reference'!F:F,,0)</f>
        <v>Biochemistry</v>
      </c>
      <c r="X286" s="2" t="str">
        <f>_xlfn.XLOOKUP(EHR[[#This Row],[LOINC Code]],'02_Lab_Results'!D:D,'02_Lab_Results'!E:E,,0)</f>
        <v>Haemoglobin</v>
      </c>
      <c r="Y286" s="2" t="str">
        <f>_xlfn.XLOOKUP(EHR[[#This Row],[LOINC Code]],'02_Lab_Results'!D:D,'02_Lab_Results'!J:J,,0)</f>
        <v>Normal</v>
      </c>
      <c r="Z286" s="2" t="str" cm="1">
        <f t="array" ref="Z286">_xlfn.XLOOKUP(1,(B286=B$2:B$500)*(V$2:V$500="4548-4"),Y$2:Y$500,"Not Tested")</f>
        <v>Not Tested</v>
      </c>
      <c r="AA286" s="2">
        <v>124</v>
      </c>
      <c r="AB286" s="2">
        <v>67</v>
      </c>
      <c r="AC286" s="2" t="str">
        <f>IF(AND(EHR[[#This Row],[BP_Systolic_mmHg]]&lt;140,EHR[[#This Row],[BP_Diastolic_mmHg]]&lt;90),"Controlled",IF(OR(EHR[[#This Row],[BP_Systolic_mmHg]]="Not Recorded",EHR[[#This Row],[BP_Diastolic_mmHg]]="Not Recorded"),"No Reading","Uncontrolled"))</f>
        <v>Controlled</v>
      </c>
      <c r="AD286" s="2" t="str">
        <f>_xlfn.CONCAT(EHR[[#This Row],[BP_Systolic_mmHg]],"/",EHR[[#This Row],[BP_Diastolic_mmHg]])</f>
        <v>124/67</v>
      </c>
      <c r="AE286" s="2">
        <v>71</v>
      </c>
      <c r="AF286" s="2">
        <v>17</v>
      </c>
      <c r="AG286" s="2">
        <v>37.4</v>
      </c>
      <c r="AH286" s="2">
        <v>20.9</v>
      </c>
      <c r="AI286" s="2" t="str">
        <f>IF(EHR[[#This Row],[BMI_kg_m2]]&gt;=30,"Obese","Non-Obese")</f>
        <v>Non-Obese</v>
      </c>
      <c r="AJ286" s="2">
        <v>89</v>
      </c>
      <c r="AK286" s="2" t="s">
        <v>50</v>
      </c>
      <c r="AL286" s="2" t="s">
        <v>51</v>
      </c>
      <c r="AM286" s="2" t="s">
        <v>52</v>
      </c>
      <c r="AN286" s="2" t="s">
        <v>53</v>
      </c>
      <c r="AO286" s="2" t="s">
        <v>54</v>
      </c>
    </row>
    <row r="287" spans="1:41" x14ac:dyDescent="0.2">
      <c r="A287" s="7" t="s">
        <v>1070</v>
      </c>
      <c r="B287" s="3" t="s">
        <v>1076</v>
      </c>
      <c r="C287" s="14">
        <v>45253</v>
      </c>
      <c r="D287" s="3" t="s">
        <v>60</v>
      </c>
      <c r="E287" s="3" t="s">
        <v>37</v>
      </c>
      <c r="F287" s="3" t="s">
        <v>132</v>
      </c>
      <c r="G287" s="3" t="s">
        <v>123</v>
      </c>
      <c r="H287" s="14">
        <v>15285</v>
      </c>
      <c r="I287" s="3">
        <v>84</v>
      </c>
      <c r="J287" s="3" t="str" cm="1">
        <f t="array" ref="J28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87" s="3" t="s">
        <v>1572</v>
      </c>
      <c r="L287" s="3" t="s">
        <v>110</v>
      </c>
      <c r="M287" s="3" t="s">
        <v>45</v>
      </c>
      <c r="N287" s="3" t="s">
        <v>1574</v>
      </c>
      <c r="O287" s="3" t="s">
        <v>1574</v>
      </c>
      <c r="P287" s="3" t="s">
        <v>211</v>
      </c>
      <c r="Q287" s="3" t="str">
        <f>_xlfn.XLOOKUP(EHR[[#This Row],[Primary_ICD11_Code]],'03_ICD11_Reference'!A:A,'03_ICD11_Reference'!D:D,,0)</f>
        <v>Neurological</v>
      </c>
      <c r="R287" s="3" t="s">
        <v>212</v>
      </c>
      <c r="S287" s="3" t="s">
        <v>48</v>
      </c>
      <c r="T287" s="3" t="s">
        <v>1078</v>
      </c>
      <c r="U287" s="3">
        <v>4</v>
      </c>
      <c r="V287" s="3" t="str">
        <f>_xlfn.XLOOKUP(EHR[[#This Row],[Encounter_ID]],'02_Lab_Results'!B:B,'02_Lab_Results'!D:D,,0)</f>
        <v>2951-2</v>
      </c>
      <c r="W287" s="3" t="str">
        <f>_xlfn.XLOOKUP(EHR[[#This Row],[LOINC Code]],'04_LOINC_Reference'!A:A,'04_LOINC_Reference'!F:F,,0)</f>
        <v>Biochemistry</v>
      </c>
      <c r="X287" s="3" t="str">
        <f>_xlfn.XLOOKUP(EHR[[#This Row],[LOINC Code]],'02_Lab_Results'!D:D,'02_Lab_Results'!E:E,,0)</f>
        <v>Serum sodium</v>
      </c>
      <c r="Y287" s="3" t="str">
        <f>_xlfn.XLOOKUP(EHR[[#This Row],[LOINC Code]],'02_Lab_Results'!D:D,'02_Lab_Results'!J:J,,0)</f>
        <v>Low</v>
      </c>
      <c r="Z287" s="3" t="str" cm="1">
        <f t="array" ref="Z287">_xlfn.XLOOKUP(1,(B287=B$2:B$500)*(V$2:V$500="4548-4"),Y$2:Y$500,"Not Tested")</f>
        <v>Not Tested</v>
      </c>
      <c r="AA287" s="3">
        <v>119</v>
      </c>
      <c r="AB287" s="3">
        <v>112</v>
      </c>
      <c r="AC287" s="3" t="str">
        <f>IF(AND(EHR[[#This Row],[BP_Systolic_mmHg]]&lt;140,EHR[[#This Row],[BP_Diastolic_mmHg]]&lt;90),"Controlled",IF(OR(EHR[[#This Row],[BP_Systolic_mmHg]]="Not Recorded",EHR[[#This Row],[BP_Diastolic_mmHg]]="Not Recorded"),"No Reading","Uncontrolled"))</f>
        <v>Uncontrolled</v>
      </c>
      <c r="AD287" s="3" t="str">
        <f>_xlfn.CONCAT(EHR[[#This Row],[BP_Systolic_mmHg]],"/",EHR[[#This Row],[BP_Diastolic_mmHg]])</f>
        <v>119/112</v>
      </c>
      <c r="AE287" s="3">
        <v>110</v>
      </c>
      <c r="AF287" s="3">
        <v>21</v>
      </c>
      <c r="AG287" s="3">
        <v>36.5</v>
      </c>
      <c r="AH287" s="3">
        <v>26.4</v>
      </c>
      <c r="AI287" s="3" t="str">
        <f>IF(EHR[[#This Row],[BMI_kg_m2]]&gt;=30,"Obese","Non-Obese")</f>
        <v>Non-Obese</v>
      </c>
      <c r="AJ287" s="3">
        <v>99</v>
      </c>
      <c r="AK287" s="3" t="s">
        <v>50</v>
      </c>
      <c r="AL287" s="3" t="s">
        <v>51</v>
      </c>
      <c r="AM287" s="3" t="s">
        <v>52</v>
      </c>
      <c r="AN287" s="3" t="s">
        <v>53</v>
      </c>
      <c r="AO287" s="3" t="s">
        <v>54</v>
      </c>
    </row>
    <row r="288" spans="1:41" x14ac:dyDescent="0.2">
      <c r="A288" s="6" t="s">
        <v>1079</v>
      </c>
      <c r="B288" s="2" t="s">
        <v>1080</v>
      </c>
      <c r="C288" s="13">
        <v>45657</v>
      </c>
      <c r="D288" s="2" t="s">
        <v>95</v>
      </c>
      <c r="E288" s="2" t="s">
        <v>61</v>
      </c>
      <c r="F288" s="2" t="s">
        <v>189</v>
      </c>
      <c r="G288" s="2" t="s">
        <v>115</v>
      </c>
      <c r="H288" s="13">
        <v>20902</v>
      </c>
      <c r="I288" s="2">
        <v>68</v>
      </c>
      <c r="J288" s="2" t="str" cm="1">
        <f t="array" ref="J28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88" s="2" t="s">
        <v>1573</v>
      </c>
      <c r="L288" s="2" t="s">
        <v>66</v>
      </c>
      <c r="M288" s="2" t="s">
        <v>79</v>
      </c>
      <c r="N288" s="2" t="s">
        <v>125</v>
      </c>
      <c r="O288" s="2" t="s">
        <v>81</v>
      </c>
      <c r="P288" s="2" t="s">
        <v>82</v>
      </c>
      <c r="Q288" s="2" t="str">
        <f>_xlfn.XLOOKUP(EHR[[#This Row],[Primary_ICD11_Code]],'03_ICD11_Reference'!A:A,'03_ICD11_Reference'!D:D,,0)</f>
        <v>Renal</v>
      </c>
      <c r="R288" s="2" t="s">
        <v>83</v>
      </c>
      <c r="S288" s="2" t="s">
        <v>69</v>
      </c>
      <c r="T288" s="2" t="s">
        <v>1083</v>
      </c>
      <c r="U288" s="2">
        <v>4</v>
      </c>
      <c r="V288" s="2" t="str">
        <f>_xlfn.XLOOKUP(EHR[[#This Row],[Encounter_ID]],'02_Lab_Results'!B:B,'02_Lab_Results'!D:D,,0)</f>
        <v>2093-3</v>
      </c>
      <c r="W288" s="2" t="str">
        <f>_xlfn.XLOOKUP(EHR[[#This Row],[LOINC Code]],'04_LOINC_Reference'!A:A,'04_LOINC_Reference'!F:F,,0)</f>
        <v>Biochemistry</v>
      </c>
      <c r="X288" s="2" t="str">
        <f>_xlfn.XLOOKUP(EHR[[#This Row],[LOINC Code]],'02_Lab_Results'!D:D,'02_Lab_Results'!E:E,,0)</f>
        <v>Total cholesterol</v>
      </c>
      <c r="Y288" s="2" t="str">
        <f>_xlfn.XLOOKUP(EHR[[#This Row],[LOINC Code]],'02_Lab_Results'!D:D,'02_Lab_Results'!J:J,,0)</f>
        <v>Normal</v>
      </c>
      <c r="Z288" s="2" t="str" cm="1">
        <f t="array" ref="Z288">_xlfn.XLOOKUP(1,(B288=B$2:B$500)*(V$2:V$500="4548-4"),Y$2:Y$500,"Not Tested")</f>
        <v>Not Tested</v>
      </c>
      <c r="AA288" s="2">
        <v>163</v>
      </c>
      <c r="AB288" s="2">
        <v>104</v>
      </c>
      <c r="AC288" s="2" t="str">
        <f>IF(AND(EHR[[#This Row],[BP_Systolic_mmHg]]&lt;140,EHR[[#This Row],[BP_Diastolic_mmHg]]&lt;90),"Controlled",IF(OR(EHR[[#This Row],[BP_Systolic_mmHg]]="Not Recorded",EHR[[#This Row],[BP_Diastolic_mmHg]]="Not Recorded"),"No Reading","Uncontrolled"))</f>
        <v>Uncontrolled</v>
      </c>
      <c r="AD288" s="2" t="str">
        <f>_xlfn.CONCAT(EHR[[#This Row],[BP_Systolic_mmHg]],"/",EHR[[#This Row],[BP_Diastolic_mmHg]])</f>
        <v>163/104</v>
      </c>
      <c r="AE288" s="2">
        <v>56</v>
      </c>
      <c r="AF288" s="2">
        <v>27</v>
      </c>
      <c r="AG288" s="2">
        <v>38.4</v>
      </c>
      <c r="AH288" s="2">
        <v>33.700000000000003</v>
      </c>
      <c r="AI288" s="2" t="str">
        <f>IF(EHR[[#This Row],[BMI_kg_m2]]&gt;=30,"Obese","Non-Obese")</f>
        <v>Obese</v>
      </c>
      <c r="AJ288" s="2">
        <v>88</v>
      </c>
      <c r="AK288" s="2" t="s">
        <v>50</v>
      </c>
      <c r="AL288" s="2" t="s">
        <v>51</v>
      </c>
      <c r="AM288" s="2" t="s">
        <v>52</v>
      </c>
      <c r="AN288" s="2" t="s">
        <v>53</v>
      </c>
      <c r="AO288" s="2" t="s">
        <v>54</v>
      </c>
    </row>
    <row r="289" spans="1:41" x14ac:dyDescent="0.2">
      <c r="A289" s="7" t="s">
        <v>1079</v>
      </c>
      <c r="B289" s="3" t="s">
        <v>1084</v>
      </c>
      <c r="C289" s="14">
        <v>45558</v>
      </c>
      <c r="D289" s="3" t="s">
        <v>36</v>
      </c>
      <c r="E289" s="3" t="s">
        <v>96</v>
      </c>
      <c r="F289" s="3" t="s">
        <v>219</v>
      </c>
      <c r="G289" s="3" t="s">
        <v>115</v>
      </c>
      <c r="H289" s="14">
        <v>20902</v>
      </c>
      <c r="I289" s="3">
        <v>68</v>
      </c>
      <c r="J289" s="3" t="str" cm="1">
        <f t="array" ref="J28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89" s="3" t="s">
        <v>1573</v>
      </c>
      <c r="L289" s="3" t="s">
        <v>42</v>
      </c>
      <c r="M289" s="3" t="s">
        <v>79</v>
      </c>
      <c r="N289" s="3" t="s">
        <v>125</v>
      </c>
      <c r="O289" s="3" t="s">
        <v>81</v>
      </c>
      <c r="P289" s="3" t="s">
        <v>82</v>
      </c>
      <c r="Q289" s="3" t="str">
        <f>_xlfn.XLOOKUP(EHR[[#This Row],[Primary_ICD11_Code]],'03_ICD11_Reference'!A:A,'03_ICD11_Reference'!D:D,,0)</f>
        <v>Renal</v>
      </c>
      <c r="R289" s="3" t="s">
        <v>83</v>
      </c>
      <c r="S289" s="3" t="s">
        <v>69</v>
      </c>
      <c r="T289" s="3" t="s">
        <v>1085</v>
      </c>
      <c r="U289" s="3">
        <v>4</v>
      </c>
      <c r="V289" s="3" t="str">
        <f>_xlfn.XLOOKUP(EHR[[#This Row],[Encounter_ID]],'02_Lab_Results'!B:B,'02_Lab_Results'!D:D,,0)</f>
        <v>4548-4</v>
      </c>
      <c r="W289" s="3" t="str">
        <f>_xlfn.XLOOKUP(EHR[[#This Row],[LOINC Code]],'04_LOINC_Reference'!A:A,'04_LOINC_Reference'!F:F,,0)</f>
        <v>Biochemistry</v>
      </c>
      <c r="X289" s="3" t="str">
        <f>_xlfn.XLOOKUP(EHR[[#This Row],[LOINC Code]],'02_Lab_Results'!D:D,'02_Lab_Results'!E:E,,0)</f>
        <v>HbA1c</v>
      </c>
      <c r="Y289" s="3" t="str">
        <f>_xlfn.XLOOKUP(EHR[[#This Row],[LOINC Code]],'02_Lab_Results'!D:D,'02_Lab_Results'!J:J,,0)</f>
        <v>High</v>
      </c>
      <c r="Z289" s="3" t="str" cm="1">
        <f t="array" ref="Z289">_xlfn.XLOOKUP(1,(B289=B$2:B$500)*(V$2:V$500="4548-4"),Y$2:Y$500,"Not Tested")</f>
        <v>High</v>
      </c>
      <c r="AA289" s="3">
        <v>118</v>
      </c>
      <c r="AB289" s="3">
        <v>77</v>
      </c>
      <c r="AC289" s="3" t="str">
        <f>IF(AND(EHR[[#This Row],[BP_Systolic_mmHg]]&lt;140,EHR[[#This Row],[BP_Diastolic_mmHg]]&lt;90),"Controlled",IF(OR(EHR[[#This Row],[BP_Systolic_mmHg]]="Not Recorded",EHR[[#This Row],[BP_Diastolic_mmHg]]="Not Recorded"),"No Reading","Uncontrolled"))</f>
        <v>Controlled</v>
      </c>
      <c r="AD289" s="3" t="str">
        <f>_xlfn.CONCAT(EHR[[#This Row],[BP_Systolic_mmHg]],"/",EHR[[#This Row],[BP_Diastolic_mmHg]])</f>
        <v>118/77</v>
      </c>
      <c r="AE289" s="3">
        <v>64</v>
      </c>
      <c r="AF289" s="3">
        <v>27</v>
      </c>
      <c r="AG289" s="3">
        <v>37.1</v>
      </c>
      <c r="AH289" s="3">
        <v>42</v>
      </c>
      <c r="AI289" s="3" t="str">
        <f>IF(EHR[[#This Row],[BMI_kg_m2]]&gt;=30,"Obese","Non-Obese")</f>
        <v>Obese</v>
      </c>
      <c r="AJ289" s="3">
        <v>91</v>
      </c>
      <c r="AK289" s="3" t="s">
        <v>50</v>
      </c>
      <c r="AL289" s="3" t="s">
        <v>51</v>
      </c>
      <c r="AM289" s="3" t="s">
        <v>52</v>
      </c>
      <c r="AN289" s="3" t="s">
        <v>53</v>
      </c>
      <c r="AO289" s="3" t="s">
        <v>54</v>
      </c>
    </row>
    <row r="290" spans="1:41" x14ac:dyDescent="0.2">
      <c r="A290" s="6" t="s">
        <v>1079</v>
      </c>
      <c r="B290" s="2" t="s">
        <v>1086</v>
      </c>
      <c r="C290" s="13">
        <v>45713</v>
      </c>
      <c r="D290" s="2" t="s">
        <v>88</v>
      </c>
      <c r="E290" s="2" t="s">
        <v>96</v>
      </c>
      <c r="F290" s="2" t="s">
        <v>132</v>
      </c>
      <c r="G290" s="2" t="s">
        <v>39</v>
      </c>
      <c r="H290" s="13">
        <v>20902</v>
      </c>
      <c r="I290" s="2">
        <v>68</v>
      </c>
      <c r="J290" s="2" t="str" cm="1">
        <f t="array" ref="J29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90" s="2" t="s">
        <v>1573</v>
      </c>
      <c r="L290" s="2" t="s">
        <v>140</v>
      </c>
      <c r="M290" s="2" t="s">
        <v>79</v>
      </c>
      <c r="N290" s="2" t="s">
        <v>125</v>
      </c>
      <c r="O290" s="2" t="s">
        <v>81</v>
      </c>
      <c r="P290" s="2" t="s">
        <v>82</v>
      </c>
      <c r="Q290" s="2" t="str">
        <f>_xlfn.XLOOKUP(EHR[[#This Row],[Primary_ICD11_Code]],'03_ICD11_Reference'!A:A,'03_ICD11_Reference'!D:D,,0)</f>
        <v>Renal</v>
      </c>
      <c r="R290" s="2" t="s">
        <v>83</v>
      </c>
      <c r="S290" s="2" t="s">
        <v>69</v>
      </c>
      <c r="T290" s="2" t="s">
        <v>243</v>
      </c>
      <c r="U290" s="2">
        <v>1</v>
      </c>
      <c r="V290" s="2" t="str">
        <f>_xlfn.XLOOKUP(EHR[[#This Row],[Encounter_ID]],'02_Lab_Results'!B:B,'02_Lab_Results'!D:D,,0)</f>
        <v>718-7</v>
      </c>
      <c r="W290" s="2" t="str">
        <f>_xlfn.XLOOKUP(EHR[[#This Row],[LOINC Code]],'04_LOINC_Reference'!A:A,'04_LOINC_Reference'!F:F,,0)</f>
        <v>Biochemistry</v>
      </c>
      <c r="X290" s="2" t="str">
        <f>_xlfn.XLOOKUP(EHR[[#This Row],[LOINC Code]],'02_Lab_Results'!D:D,'02_Lab_Results'!E:E,,0)</f>
        <v>Haemoglobin</v>
      </c>
      <c r="Y290" s="2" t="str">
        <f>_xlfn.XLOOKUP(EHR[[#This Row],[LOINC Code]],'02_Lab_Results'!D:D,'02_Lab_Results'!J:J,,0)</f>
        <v>Normal</v>
      </c>
      <c r="Z290" s="2" t="str" cm="1">
        <f t="array" ref="Z290">_xlfn.XLOOKUP(1,(B290=B$2:B$500)*(V$2:V$500="4548-4"),Y$2:Y$500,"Not Tested")</f>
        <v>Not Tested</v>
      </c>
      <c r="AA290" s="2">
        <v>126</v>
      </c>
      <c r="AB290" s="2">
        <v>89</v>
      </c>
      <c r="AC290" s="2" t="str">
        <f>IF(AND(EHR[[#This Row],[BP_Systolic_mmHg]]&lt;140,EHR[[#This Row],[BP_Diastolic_mmHg]]&lt;90),"Controlled",IF(OR(EHR[[#This Row],[BP_Systolic_mmHg]]="Not Recorded",EHR[[#This Row],[BP_Diastolic_mmHg]]="Not Recorded"),"No Reading","Uncontrolled"))</f>
        <v>Controlled</v>
      </c>
      <c r="AD290" s="2" t="str">
        <f>_xlfn.CONCAT(EHR[[#This Row],[BP_Systolic_mmHg]],"/",EHR[[#This Row],[BP_Diastolic_mmHg]])</f>
        <v>126/89</v>
      </c>
      <c r="AE290" s="2">
        <v>88</v>
      </c>
      <c r="AF290" s="2">
        <v>18</v>
      </c>
      <c r="AG290" s="2">
        <v>38.299999999999997</v>
      </c>
      <c r="AH290" s="2">
        <v>20.5</v>
      </c>
      <c r="AI290" s="2" t="str">
        <f>IF(EHR[[#This Row],[BMI_kg_m2]]&gt;=30,"Obese","Non-Obese")</f>
        <v>Non-Obese</v>
      </c>
      <c r="AJ290" s="2">
        <v>94</v>
      </c>
      <c r="AK290" s="2" t="s">
        <v>50</v>
      </c>
      <c r="AL290" s="2" t="s">
        <v>51</v>
      </c>
      <c r="AM290" s="2" t="s">
        <v>52</v>
      </c>
      <c r="AN290" s="2" t="s">
        <v>53</v>
      </c>
      <c r="AO290" s="2" t="s">
        <v>54</v>
      </c>
    </row>
    <row r="291" spans="1:41" x14ac:dyDescent="0.2">
      <c r="A291" s="7" t="s">
        <v>1079</v>
      </c>
      <c r="B291" s="3" t="s">
        <v>1087</v>
      </c>
      <c r="C291" s="14">
        <v>45562</v>
      </c>
      <c r="D291" s="3" t="s">
        <v>103</v>
      </c>
      <c r="E291" s="3" t="s">
        <v>37</v>
      </c>
      <c r="F291" s="3" t="s">
        <v>97</v>
      </c>
      <c r="G291" s="3" t="s">
        <v>98</v>
      </c>
      <c r="H291" s="14">
        <v>20902</v>
      </c>
      <c r="I291" s="3">
        <v>68</v>
      </c>
      <c r="J291" s="3" t="str" cm="1">
        <f t="array" ref="J29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91" s="3" t="s">
        <v>1573</v>
      </c>
      <c r="L291" s="3" t="s">
        <v>110</v>
      </c>
      <c r="M291" s="3" t="s">
        <v>79</v>
      </c>
      <c r="N291" s="3" t="s">
        <v>125</v>
      </c>
      <c r="O291" s="3" t="s">
        <v>81</v>
      </c>
      <c r="P291" s="3" t="s">
        <v>82</v>
      </c>
      <c r="Q291" s="3" t="str">
        <f>_xlfn.XLOOKUP(EHR[[#This Row],[Primary_ICD11_Code]],'03_ICD11_Reference'!A:A,'03_ICD11_Reference'!D:D,,0)</f>
        <v>Renal</v>
      </c>
      <c r="R291" s="3" t="s">
        <v>83</v>
      </c>
      <c r="S291" s="3" t="s">
        <v>69</v>
      </c>
      <c r="T291" s="3" t="s">
        <v>1088</v>
      </c>
      <c r="U291" s="3">
        <v>4</v>
      </c>
      <c r="V291" s="3" t="str">
        <f>_xlfn.XLOOKUP(EHR[[#This Row],[Encounter_ID]],'02_Lab_Results'!B:B,'02_Lab_Results'!D:D,,0)</f>
        <v>6690-2</v>
      </c>
      <c r="W291" s="3" t="str">
        <f>_xlfn.XLOOKUP(EHR[[#This Row],[LOINC Code]],'04_LOINC_Reference'!A:A,'04_LOINC_Reference'!F:F,,0)</f>
        <v>Biochemistry</v>
      </c>
      <c r="X291" s="3" t="str">
        <f>_xlfn.XLOOKUP(EHR[[#This Row],[LOINC Code]],'02_Lab_Results'!D:D,'02_Lab_Results'!E:E,,0)</f>
        <v>WBC count</v>
      </c>
      <c r="Y291" s="3" t="str">
        <f>_xlfn.XLOOKUP(EHR[[#This Row],[LOINC Code]],'02_Lab_Results'!D:D,'02_Lab_Results'!J:J,,0)</f>
        <v>Low</v>
      </c>
      <c r="Z291" s="3" t="str" cm="1">
        <f t="array" ref="Z291">_xlfn.XLOOKUP(1,(B291=B$2:B$500)*(V$2:V$500="4548-4"),Y$2:Y$500,"Not Tested")</f>
        <v>Not Tested</v>
      </c>
      <c r="AA291" s="3">
        <v>117</v>
      </c>
      <c r="AB291" s="3">
        <v>65</v>
      </c>
      <c r="AC291" s="3" t="str">
        <f>IF(AND(EHR[[#This Row],[BP_Systolic_mmHg]]&lt;140,EHR[[#This Row],[BP_Diastolic_mmHg]]&lt;90),"Controlled",IF(OR(EHR[[#This Row],[BP_Systolic_mmHg]]="Not Recorded",EHR[[#This Row],[BP_Diastolic_mmHg]]="Not Recorded"),"No Reading","Uncontrolled"))</f>
        <v>Controlled</v>
      </c>
      <c r="AD291" s="3" t="str">
        <f>_xlfn.CONCAT(EHR[[#This Row],[BP_Systolic_mmHg]],"/",EHR[[#This Row],[BP_Diastolic_mmHg]])</f>
        <v>117/65</v>
      </c>
      <c r="AE291" s="3">
        <v>86</v>
      </c>
      <c r="AF291" s="3">
        <v>13</v>
      </c>
      <c r="AG291" s="3">
        <v>36.700000000000003</v>
      </c>
      <c r="AH291" s="3">
        <v>37.299999999999997</v>
      </c>
      <c r="AI291" s="3" t="str">
        <f>IF(EHR[[#This Row],[BMI_kg_m2]]&gt;=30,"Obese","Non-Obese")</f>
        <v>Obese</v>
      </c>
      <c r="AJ291" s="3">
        <v>93</v>
      </c>
      <c r="AK291" s="3" t="s">
        <v>50</v>
      </c>
      <c r="AL291" s="3" t="s">
        <v>51</v>
      </c>
      <c r="AM291" s="3" t="s">
        <v>52</v>
      </c>
      <c r="AN291" s="3" t="s">
        <v>53</v>
      </c>
      <c r="AO291" s="3" t="s">
        <v>54</v>
      </c>
    </row>
    <row r="292" spans="1:41" x14ac:dyDescent="0.2">
      <c r="A292" s="6" t="s">
        <v>1079</v>
      </c>
      <c r="B292" s="2" t="s">
        <v>1089</v>
      </c>
      <c r="C292" s="13">
        <v>45533</v>
      </c>
      <c r="D292" s="2" t="s">
        <v>103</v>
      </c>
      <c r="E292" s="2" t="s">
        <v>61</v>
      </c>
      <c r="F292" s="2" t="s">
        <v>97</v>
      </c>
      <c r="G292" s="2" t="s">
        <v>123</v>
      </c>
      <c r="H292" s="13">
        <v>20902</v>
      </c>
      <c r="I292" s="2">
        <v>68</v>
      </c>
      <c r="J292" s="2" t="str" cm="1">
        <f t="array" ref="J29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92" s="2" t="s">
        <v>1573</v>
      </c>
      <c r="L292" s="2" t="s">
        <v>66</v>
      </c>
      <c r="M292" s="2" t="s">
        <v>79</v>
      </c>
      <c r="N292" s="2" t="s">
        <v>125</v>
      </c>
      <c r="O292" s="2" t="s">
        <v>81</v>
      </c>
      <c r="P292" s="2" t="s">
        <v>82</v>
      </c>
      <c r="Q292" s="2" t="str">
        <f>_xlfn.XLOOKUP(EHR[[#This Row],[Primary_ICD11_Code]],'03_ICD11_Reference'!A:A,'03_ICD11_Reference'!D:D,,0)</f>
        <v>Renal</v>
      </c>
      <c r="R292" s="2" t="s">
        <v>83</v>
      </c>
      <c r="S292" s="2" t="s">
        <v>69</v>
      </c>
      <c r="T292" s="2" t="s">
        <v>1091</v>
      </c>
      <c r="U292" s="2">
        <v>4</v>
      </c>
      <c r="V292" s="2" t="str">
        <f>_xlfn.XLOOKUP(EHR[[#This Row],[Encounter_ID]],'02_Lab_Results'!B:B,'02_Lab_Results'!D:D,,0)</f>
        <v>2085-9</v>
      </c>
      <c r="W292" s="2" t="str">
        <f>_xlfn.XLOOKUP(EHR[[#This Row],[LOINC Code]],'04_LOINC_Reference'!A:A,'04_LOINC_Reference'!F:F,,0)</f>
        <v>Biochemistry</v>
      </c>
      <c r="X292" s="2" t="str">
        <f>_xlfn.XLOOKUP(EHR[[#This Row],[LOINC Code]],'02_Lab_Results'!D:D,'02_Lab_Results'!E:E,,0)</f>
        <v>HDL cholesterol</v>
      </c>
      <c r="Y292" s="2" t="str">
        <f>_xlfn.XLOOKUP(EHR[[#This Row],[LOINC Code]],'02_Lab_Results'!D:D,'02_Lab_Results'!J:J,,0)</f>
        <v>Normal</v>
      </c>
      <c r="Z292" s="2" t="str" cm="1">
        <f t="array" ref="Z292">_xlfn.XLOOKUP(1,(B292=B$2:B$500)*(V$2:V$500="4548-4"),Y$2:Y$500,"Not Tested")</f>
        <v>Not Tested</v>
      </c>
      <c r="AA292" s="2">
        <v>149</v>
      </c>
      <c r="AB292" s="2">
        <v>75</v>
      </c>
      <c r="AC292" s="2" t="str">
        <f>IF(AND(EHR[[#This Row],[BP_Systolic_mmHg]]&lt;140,EHR[[#This Row],[BP_Diastolic_mmHg]]&lt;90),"Controlled",IF(OR(EHR[[#This Row],[BP_Systolic_mmHg]]="Not Recorded",EHR[[#This Row],[BP_Diastolic_mmHg]]="Not Recorded"),"No Reading","Uncontrolled"))</f>
        <v>Uncontrolled</v>
      </c>
      <c r="AD292" s="2" t="str">
        <f>_xlfn.CONCAT(EHR[[#This Row],[BP_Systolic_mmHg]],"/",EHR[[#This Row],[BP_Diastolic_mmHg]])</f>
        <v>149/75</v>
      </c>
      <c r="AE292" s="2">
        <v>57</v>
      </c>
      <c r="AF292" s="2">
        <v>19</v>
      </c>
      <c r="AG292" s="2">
        <v>37</v>
      </c>
      <c r="AH292" s="2">
        <v>29.1</v>
      </c>
      <c r="AI292" s="2" t="str">
        <f>IF(EHR[[#This Row],[BMI_kg_m2]]&gt;=30,"Obese","Non-Obese")</f>
        <v>Non-Obese</v>
      </c>
      <c r="AJ292" s="2">
        <v>95</v>
      </c>
      <c r="AK292" s="2" t="s">
        <v>50</v>
      </c>
      <c r="AL292" s="2" t="s">
        <v>51</v>
      </c>
      <c r="AM292" s="2" t="s">
        <v>52</v>
      </c>
      <c r="AN292" s="2" t="s">
        <v>53</v>
      </c>
      <c r="AO292" s="2" t="s">
        <v>54</v>
      </c>
    </row>
    <row r="293" spans="1:41" x14ac:dyDescent="0.2">
      <c r="A293" s="7" t="s">
        <v>1092</v>
      </c>
      <c r="B293" s="3" t="s">
        <v>1093</v>
      </c>
      <c r="C293" s="14">
        <v>45251</v>
      </c>
      <c r="D293" s="3" t="s">
        <v>60</v>
      </c>
      <c r="E293" s="3" t="s">
        <v>89</v>
      </c>
      <c r="F293" s="3" t="s">
        <v>148</v>
      </c>
      <c r="G293" s="3" t="s">
        <v>39</v>
      </c>
      <c r="H293" s="14">
        <v>32373</v>
      </c>
      <c r="I293" s="3">
        <v>37</v>
      </c>
      <c r="J293" s="3" t="str" cm="1">
        <f t="array" ref="J29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93" s="3" t="s">
        <v>1572</v>
      </c>
      <c r="L293" s="3" t="s">
        <v>66</v>
      </c>
      <c r="M293" s="3" t="s">
        <v>141</v>
      </c>
      <c r="N293" s="3" t="s">
        <v>80</v>
      </c>
      <c r="O293" s="3" t="s">
        <v>182</v>
      </c>
      <c r="P293" s="3" t="s">
        <v>183</v>
      </c>
      <c r="Q293" s="3" t="str">
        <f>_xlfn.XLOOKUP(EHR[[#This Row],[Primary_ICD11_Code]],'03_ICD11_Reference'!A:A,'03_ICD11_Reference'!D:D,,0)</f>
        <v>Genitourinary</v>
      </c>
      <c r="R293" s="3" t="s">
        <v>184</v>
      </c>
      <c r="S293" s="3" t="s">
        <v>48</v>
      </c>
      <c r="T293" s="3" t="s">
        <v>393</v>
      </c>
      <c r="U293" s="3">
        <v>1</v>
      </c>
      <c r="V293" s="3" t="str">
        <f>_xlfn.XLOOKUP(EHR[[#This Row],[Encounter_ID]],'02_Lab_Results'!B:B,'02_Lab_Results'!D:D,,0)</f>
        <v>4548-4</v>
      </c>
      <c r="W293" s="3" t="str">
        <f>_xlfn.XLOOKUP(EHR[[#This Row],[LOINC Code]],'04_LOINC_Reference'!A:A,'04_LOINC_Reference'!F:F,,0)</f>
        <v>Biochemistry</v>
      </c>
      <c r="X293" s="3" t="str">
        <f>_xlfn.XLOOKUP(EHR[[#This Row],[LOINC Code]],'02_Lab_Results'!D:D,'02_Lab_Results'!E:E,,0)</f>
        <v>HbA1c</v>
      </c>
      <c r="Y293" s="3" t="str">
        <f>_xlfn.XLOOKUP(EHR[[#This Row],[LOINC Code]],'02_Lab_Results'!D:D,'02_Lab_Results'!J:J,,0)</f>
        <v>High</v>
      </c>
      <c r="Z293" s="3" t="str" cm="1">
        <f t="array" ref="Z293">_xlfn.XLOOKUP(1,(B293=B$2:B$500)*(V$2:V$500="4548-4"),Y$2:Y$500,"Not Tested")</f>
        <v>High</v>
      </c>
      <c r="AA293" s="3">
        <v>122</v>
      </c>
      <c r="AB293" s="3">
        <v>103</v>
      </c>
      <c r="AC293" s="3" t="str">
        <f>IF(AND(EHR[[#This Row],[BP_Systolic_mmHg]]&lt;140,EHR[[#This Row],[BP_Diastolic_mmHg]]&lt;90),"Controlled",IF(OR(EHR[[#This Row],[BP_Systolic_mmHg]]="Not Recorded",EHR[[#This Row],[BP_Diastolic_mmHg]]="Not Recorded"),"No Reading","Uncontrolled"))</f>
        <v>Uncontrolled</v>
      </c>
      <c r="AD293" s="3" t="str">
        <f>_xlfn.CONCAT(EHR[[#This Row],[BP_Systolic_mmHg]],"/",EHR[[#This Row],[BP_Diastolic_mmHg]])</f>
        <v>122/103</v>
      </c>
      <c r="AE293" s="3">
        <v>101</v>
      </c>
      <c r="AF293" s="3">
        <v>27</v>
      </c>
      <c r="AG293" s="3">
        <v>39</v>
      </c>
      <c r="AH293" s="3">
        <v>38</v>
      </c>
      <c r="AI293" s="3" t="str">
        <f>IF(EHR[[#This Row],[BMI_kg_m2]]&gt;=30,"Obese","Non-Obese")</f>
        <v>Obese</v>
      </c>
      <c r="AJ293" s="3">
        <v>99</v>
      </c>
      <c r="AK293" s="3" t="s">
        <v>50</v>
      </c>
      <c r="AL293" s="3" t="s">
        <v>51</v>
      </c>
      <c r="AM293" s="3" t="s">
        <v>52</v>
      </c>
      <c r="AN293" s="3" t="s">
        <v>53</v>
      </c>
      <c r="AO293" s="3" t="s">
        <v>54</v>
      </c>
    </row>
    <row r="294" spans="1:41" x14ac:dyDescent="0.2">
      <c r="A294" s="6" t="s">
        <v>1092</v>
      </c>
      <c r="B294" s="2" t="s">
        <v>1095</v>
      </c>
      <c r="C294" s="13">
        <v>45057</v>
      </c>
      <c r="D294" s="2" t="s">
        <v>60</v>
      </c>
      <c r="E294" s="2" t="s">
        <v>61</v>
      </c>
      <c r="F294" s="2" t="s">
        <v>132</v>
      </c>
      <c r="G294" s="2" t="s">
        <v>39</v>
      </c>
      <c r="H294" s="13">
        <v>32373</v>
      </c>
      <c r="I294" s="2">
        <v>37</v>
      </c>
      <c r="J294" s="2" t="str" cm="1">
        <f t="array" ref="J29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94" s="2" t="s">
        <v>1572</v>
      </c>
      <c r="L294" s="2" t="s">
        <v>116</v>
      </c>
      <c r="M294" s="2" t="s">
        <v>141</v>
      </c>
      <c r="N294" s="2" t="s">
        <v>80</v>
      </c>
      <c r="O294" s="2" t="s">
        <v>182</v>
      </c>
      <c r="P294" s="2" t="s">
        <v>183</v>
      </c>
      <c r="Q294" s="2" t="str">
        <f>_xlfn.XLOOKUP(EHR[[#This Row],[Primary_ICD11_Code]],'03_ICD11_Reference'!A:A,'03_ICD11_Reference'!D:D,,0)</f>
        <v>Genitourinary</v>
      </c>
      <c r="R294" s="2" t="s">
        <v>184</v>
      </c>
      <c r="S294" s="2" t="s">
        <v>48</v>
      </c>
      <c r="T294" s="2" t="s">
        <v>243</v>
      </c>
      <c r="U294" s="2">
        <v>1</v>
      </c>
      <c r="V294" s="2" t="str">
        <f>_xlfn.XLOOKUP(EHR[[#This Row],[Encounter_ID]],'02_Lab_Results'!B:B,'02_Lab_Results'!D:D,,0)</f>
        <v>17861-6</v>
      </c>
      <c r="W294" s="2" t="str">
        <f>_xlfn.XLOOKUP(EHR[[#This Row],[LOINC Code]],'04_LOINC_Reference'!A:A,'04_LOINC_Reference'!F:F,,0)</f>
        <v>Biochemistry</v>
      </c>
      <c r="X294" s="2" t="str">
        <f>_xlfn.XLOOKUP(EHR[[#This Row],[LOINC Code]],'02_Lab_Results'!D:D,'02_Lab_Results'!E:E,,0)</f>
        <v>Serum calcium</v>
      </c>
      <c r="Y294" s="2" t="str">
        <f>_xlfn.XLOOKUP(EHR[[#This Row],[LOINC Code]],'02_Lab_Results'!D:D,'02_Lab_Results'!J:J,,0)</f>
        <v>High</v>
      </c>
      <c r="Z294" s="2" t="str" cm="1">
        <f t="array" ref="Z294">_xlfn.XLOOKUP(1,(B294=B$2:B$500)*(V$2:V$500="4548-4"),Y$2:Y$500,"Not Tested")</f>
        <v>Not Tested</v>
      </c>
      <c r="AA294" s="2">
        <v>172</v>
      </c>
      <c r="AB294" s="2">
        <v>59</v>
      </c>
      <c r="AC294" s="2" t="str">
        <f>IF(AND(EHR[[#This Row],[BP_Systolic_mmHg]]&lt;140,EHR[[#This Row],[BP_Diastolic_mmHg]]&lt;90),"Controlled",IF(OR(EHR[[#This Row],[BP_Systolic_mmHg]]="Not Recorded",EHR[[#This Row],[BP_Diastolic_mmHg]]="Not Recorded"),"No Reading","Uncontrolled"))</f>
        <v>Uncontrolled</v>
      </c>
      <c r="AD294" s="2" t="str">
        <f>_xlfn.CONCAT(EHR[[#This Row],[BP_Systolic_mmHg]],"/",EHR[[#This Row],[BP_Diastolic_mmHg]])</f>
        <v>172/59</v>
      </c>
      <c r="AE294" s="2">
        <v>118</v>
      </c>
      <c r="AF294" s="2">
        <v>27</v>
      </c>
      <c r="AG294" s="2">
        <v>36</v>
      </c>
      <c r="AH294" s="2">
        <v>33.5</v>
      </c>
      <c r="AI294" s="2" t="str">
        <f>IF(EHR[[#This Row],[BMI_kg_m2]]&gt;=30,"Obese","Non-Obese")</f>
        <v>Obese</v>
      </c>
      <c r="AJ294" s="2">
        <v>100</v>
      </c>
      <c r="AK294" s="2" t="s">
        <v>50</v>
      </c>
      <c r="AL294" s="2" t="s">
        <v>51</v>
      </c>
      <c r="AM294" s="2" t="s">
        <v>52</v>
      </c>
      <c r="AN294" s="2" t="s">
        <v>53</v>
      </c>
      <c r="AO294" s="2" t="s">
        <v>54</v>
      </c>
    </row>
    <row r="295" spans="1:41" x14ac:dyDescent="0.2">
      <c r="A295" s="7" t="s">
        <v>1096</v>
      </c>
      <c r="B295" s="3" t="s">
        <v>1097</v>
      </c>
      <c r="C295" s="14">
        <v>45495</v>
      </c>
      <c r="D295" s="3" t="s">
        <v>103</v>
      </c>
      <c r="E295" s="3" t="s">
        <v>96</v>
      </c>
      <c r="F295" s="3" t="s">
        <v>132</v>
      </c>
      <c r="G295" s="3" t="s">
        <v>115</v>
      </c>
      <c r="H295" s="14">
        <v>21744</v>
      </c>
      <c r="I295" s="3">
        <v>66</v>
      </c>
      <c r="J295" s="3" t="str" cm="1">
        <f t="array" ref="J29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95" s="3" t="s">
        <v>1573</v>
      </c>
      <c r="L295" s="3" t="s">
        <v>110</v>
      </c>
      <c r="M295" s="3" t="s">
        <v>43</v>
      </c>
      <c r="N295" s="3" t="s">
        <v>80</v>
      </c>
      <c r="O295" s="3" t="s">
        <v>1574</v>
      </c>
      <c r="P295" s="3" t="s">
        <v>126</v>
      </c>
      <c r="Q295" s="3" t="str">
        <f>_xlfn.XLOOKUP(EHR[[#This Row],[Primary_ICD11_Code]],'03_ICD11_Reference'!A:A,'03_ICD11_Reference'!D:D,,0)</f>
        <v>Neurological</v>
      </c>
      <c r="R295" s="3" t="s">
        <v>127</v>
      </c>
      <c r="S295" s="3" t="s">
        <v>69</v>
      </c>
      <c r="T295" s="3" t="s">
        <v>163</v>
      </c>
      <c r="U295" s="3">
        <v>1</v>
      </c>
      <c r="V295" s="3" t="str">
        <f>_xlfn.XLOOKUP(EHR[[#This Row],[Encounter_ID]],'02_Lab_Results'!B:B,'02_Lab_Results'!D:D,,0)</f>
        <v>6768-6</v>
      </c>
      <c r="W295" s="3" t="str">
        <f>_xlfn.XLOOKUP(EHR[[#This Row],[LOINC Code]],'04_LOINC_Reference'!A:A,'04_LOINC_Reference'!F:F,,0)</f>
        <v>Biochemistry</v>
      </c>
      <c r="X295" s="3" t="str">
        <f>_xlfn.XLOOKUP(EHR[[#This Row],[LOINC Code]],'02_Lab_Results'!D:D,'02_Lab_Results'!E:E,,0)</f>
        <v>ALP</v>
      </c>
      <c r="Y295" s="3" t="str">
        <f>_xlfn.XLOOKUP(EHR[[#This Row],[LOINC Code]],'02_Lab_Results'!D:D,'02_Lab_Results'!J:J,,0)</f>
        <v>High</v>
      </c>
      <c r="Z295" s="3" t="str" cm="1">
        <f t="array" ref="Z295">_xlfn.XLOOKUP(1,(B295=B$2:B$500)*(V$2:V$500="4548-4"),Y$2:Y$500,"Not Tested")</f>
        <v>Not Tested</v>
      </c>
      <c r="AA295" s="3" t="s">
        <v>1570</v>
      </c>
      <c r="AB295" s="3">
        <v>110</v>
      </c>
      <c r="AC295" s="3" t="str">
        <f>IF(AND(EHR[[#This Row],[BP_Systolic_mmHg]]&lt;140,EHR[[#This Row],[BP_Diastolic_mmHg]]&lt;90),"Controlled",IF(OR(EHR[[#This Row],[BP_Systolic_mmHg]]="Not Recorded",EHR[[#This Row],[BP_Diastolic_mmHg]]="Not Recorded"),"No Reading","Uncontrolled"))</f>
        <v>No Reading</v>
      </c>
      <c r="AD295" s="3" t="str">
        <f>_xlfn.CONCAT(EHR[[#This Row],[BP_Systolic_mmHg]],"/",EHR[[#This Row],[BP_Diastolic_mmHg]])</f>
        <v>Not Recorded/110</v>
      </c>
      <c r="AE295" s="3">
        <v>113</v>
      </c>
      <c r="AF295" s="3">
        <v>14</v>
      </c>
      <c r="AG295" s="3">
        <v>39.200000000000003</v>
      </c>
      <c r="AH295" s="3">
        <v>36.6</v>
      </c>
      <c r="AI295" s="3" t="str">
        <f>IF(EHR[[#This Row],[BMI_kg_m2]]&gt;=30,"Obese","Non-Obese")</f>
        <v>Obese</v>
      </c>
      <c r="AJ295" s="3">
        <v>89</v>
      </c>
      <c r="AK295" s="3" t="s">
        <v>50</v>
      </c>
      <c r="AL295" s="3" t="s">
        <v>51</v>
      </c>
      <c r="AM295" s="3" t="s">
        <v>52</v>
      </c>
      <c r="AN295" s="3" t="s">
        <v>53</v>
      </c>
      <c r="AO295" s="3" t="s">
        <v>54</v>
      </c>
    </row>
    <row r="296" spans="1:41" x14ac:dyDescent="0.2">
      <c r="A296" s="7" t="s">
        <v>1096</v>
      </c>
      <c r="B296" s="3" t="s">
        <v>1101</v>
      </c>
      <c r="C296" s="14">
        <v>45304</v>
      </c>
      <c r="D296" s="3" t="s">
        <v>88</v>
      </c>
      <c r="E296" s="3" t="s">
        <v>89</v>
      </c>
      <c r="F296" s="3" t="s">
        <v>122</v>
      </c>
      <c r="G296" s="3" t="s">
        <v>138</v>
      </c>
      <c r="H296" s="14">
        <v>21744</v>
      </c>
      <c r="I296" s="3">
        <v>66</v>
      </c>
      <c r="J296" s="3" t="str" cm="1">
        <f t="array" ref="J29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96" s="3" t="s">
        <v>1573</v>
      </c>
      <c r="L296" s="3" t="s">
        <v>78</v>
      </c>
      <c r="M296" s="3" t="s">
        <v>43</v>
      </c>
      <c r="N296" s="3" t="s">
        <v>80</v>
      </c>
      <c r="O296" s="3" t="s">
        <v>1574</v>
      </c>
      <c r="P296" s="3" t="s">
        <v>126</v>
      </c>
      <c r="Q296" s="3" t="str">
        <f>_xlfn.XLOOKUP(EHR[[#This Row],[Primary_ICD11_Code]],'03_ICD11_Reference'!A:A,'03_ICD11_Reference'!D:D,,0)</f>
        <v>Neurological</v>
      </c>
      <c r="R296" s="3" t="s">
        <v>127</v>
      </c>
      <c r="S296" s="3" t="s">
        <v>69</v>
      </c>
      <c r="T296" s="3" t="s">
        <v>1102</v>
      </c>
      <c r="U296" s="3">
        <v>3</v>
      </c>
      <c r="V296" s="3" t="str">
        <f>_xlfn.XLOOKUP(EHR[[#This Row],[Encounter_ID]],'02_Lab_Results'!B:B,'02_Lab_Results'!D:D,,0)</f>
        <v>13457-7</v>
      </c>
      <c r="W296" s="3" t="str">
        <f>_xlfn.XLOOKUP(EHR[[#This Row],[LOINC Code]],'04_LOINC_Reference'!A:A,'04_LOINC_Reference'!F:F,,0)</f>
        <v>Biochemistry</v>
      </c>
      <c r="X296" s="3" t="str">
        <f>_xlfn.XLOOKUP(EHR[[#This Row],[LOINC Code]],'02_Lab_Results'!D:D,'02_Lab_Results'!E:E,,0)</f>
        <v>LDL cholesterol</v>
      </c>
      <c r="Y296" s="3" t="str">
        <f>_xlfn.XLOOKUP(EHR[[#This Row],[LOINC Code]],'02_Lab_Results'!D:D,'02_Lab_Results'!J:J,,0)</f>
        <v>High</v>
      </c>
      <c r="Z296" s="3" t="str" cm="1">
        <f t="array" ref="Z296">_xlfn.XLOOKUP(1,(B296=B$2:B$500)*(V$2:V$500="4548-4"),Y$2:Y$500,"Not Tested")</f>
        <v>Not Tested</v>
      </c>
      <c r="AA296" s="3">
        <v>105</v>
      </c>
      <c r="AB296" s="3">
        <v>84</v>
      </c>
      <c r="AC296" s="3" t="str">
        <f>IF(AND(EHR[[#This Row],[BP_Systolic_mmHg]]&lt;140,EHR[[#This Row],[BP_Diastolic_mmHg]]&lt;90),"Controlled",IF(OR(EHR[[#This Row],[BP_Systolic_mmHg]]="Not Recorded",EHR[[#This Row],[BP_Diastolic_mmHg]]="Not Recorded"),"No Reading","Uncontrolled"))</f>
        <v>Controlled</v>
      </c>
      <c r="AD296" s="3" t="str">
        <f>_xlfn.CONCAT(EHR[[#This Row],[BP_Systolic_mmHg]],"/",EHR[[#This Row],[BP_Diastolic_mmHg]])</f>
        <v>105/84</v>
      </c>
      <c r="AE296" s="3">
        <v>102</v>
      </c>
      <c r="AF296" s="3">
        <v>14</v>
      </c>
      <c r="AG296" s="3">
        <v>38.299999999999997</v>
      </c>
      <c r="AH296" s="3">
        <v>45.5</v>
      </c>
      <c r="AI296" s="3" t="str">
        <f>IF(EHR[[#This Row],[BMI_kg_m2]]&gt;=30,"Obese","Non-Obese")</f>
        <v>Obese</v>
      </c>
      <c r="AJ296" s="3">
        <v>100</v>
      </c>
      <c r="AK296" s="3" t="s">
        <v>50</v>
      </c>
      <c r="AL296" s="3" t="s">
        <v>51</v>
      </c>
      <c r="AM296" s="3" t="s">
        <v>52</v>
      </c>
      <c r="AN296" s="3" t="s">
        <v>53</v>
      </c>
      <c r="AO296" s="3" t="s">
        <v>54</v>
      </c>
    </row>
    <row r="297" spans="1:41" x14ac:dyDescent="0.2">
      <c r="A297" s="6" t="s">
        <v>1096</v>
      </c>
      <c r="B297" s="2" t="s">
        <v>1103</v>
      </c>
      <c r="C297" s="13">
        <v>45520</v>
      </c>
      <c r="D297" s="2" t="s">
        <v>36</v>
      </c>
      <c r="E297" s="2" t="s">
        <v>61</v>
      </c>
      <c r="F297" s="2" t="s">
        <v>75</v>
      </c>
      <c r="G297" s="2" t="s">
        <v>104</v>
      </c>
      <c r="H297" s="13">
        <v>21744</v>
      </c>
      <c r="I297" s="2">
        <v>66</v>
      </c>
      <c r="J297" s="2" t="str" cm="1">
        <f t="array" ref="J29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97" s="2" t="s">
        <v>1573</v>
      </c>
      <c r="L297" s="2" t="s">
        <v>116</v>
      </c>
      <c r="M297" s="2" t="s">
        <v>43</v>
      </c>
      <c r="N297" s="2" t="s">
        <v>80</v>
      </c>
      <c r="O297" s="2" t="s">
        <v>1574</v>
      </c>
      <c r="P297" s="2" t="s">
        <v>126</v>
      </c>
      <c r="Q297" s="2" t="str">
        <f>_xlfn.XLOOKUP(EHR[[#This Row],[Primary_ICD11_Code]],'03_ICD11_Reference'!A:A,'03_ICD11_Reference'!D:D,,0)</f>
        <v>Neurological</v>
      </c>
      <c r="R297" s="2" t="s">
        <v>127</v>
      </c>
      <c r="S297" s="2" t="s">
        <v>69</v>
      </c>
      <c r="T297" s="2" t="s">
        <v>1105</v>
      </c>
      <c r="U297" s="2">
        <v>3</v>
      </c>
      <c r="V297" s="2" t="str">
        <f>_xlfn.XLOOKUP(EHR[[#This Row],[Encounter_ID]],'02_Lab_Results'!B:B,'02_Lab_Results'!D:D,,0)</f>
        <v>6768-6</v>
      </c>
      <c r="W297" s="2" t="str">
        <f>_xlfn.XLOOKUP(EHR[[#This Row],[LOINC Code]],'04_LOINC_Reference'!A:A,'04_LOINC_Reference'!F:F,,0)</f>
        <v>Biochemistry</v>
      </c>
      <c r="X297" s="2" t="str">
        <f>_xlfn.XLOOKUP(EHR[[#This Row],[LOINC Code]],'02_Lab_Results'!D:D,'02_Lab_Results'!E:E,,0)</f>
        <v>ALP</v>
      </c>
      <c r="Y297" s="2" t="str">
        <f>_xlfn.XLOOKUP(EHR[[#This Row],[LOINC Code]],'02_Lab_Results'!D:D,'02_Lab_Results'!J:J,,0)</f>
        <v>High</v>
      </c>
      <c r="Z297" s="2" t="str" cm="1">
        <f t="array" ref="Z297">_xlfn.XLOOKUP(1,(B297=B$2:B$500)*(V$2:V$500="4548-4"),Y$2:Y$500,"Not Tested")</f>
        <v>Not Tested</v>
      </c>
      <c r="AA297" s="2">
        <v>123</v>
      </c>
      <c r="AB297" s="2" t="s">
        <v>1570</v>
      </c>
      <c r="AC297" s="2" t="str">
        <f>IF(AND(EHR[[#This Row],[BP_Systolic_mmHg]]&lt;140,EHR[[#This Row],[BP_Diastolic_mmHg]]&lt;90),"Controlled",IF(OR(EHR[[#This Row],[BP_Systolic_mmHg]]="Not Recorded",EHR[[#This Row],[BP_Diastolic_mmHg]]="Not Recorded"),"No Reading","Uncontrolled"))</f>
        <v>No Reading</v>
      </c>
      <c r="AD297" s="2" t="str">
        <f>_xlfn.CONCAT(EHR[[#This Row],[BP_Systolic_mmHg]],"/",EHR[[#This Row],[BP_Diastolic_mmHg]])</f>
        <v>123/Not Recorded</v>
      </c>
      <c r="AE297" s="2">
        <v>76</v>
      </c>
      <c r="AF297" s="2">
        <v>24</v>
      </c>
      <c r="AG297" s="2">
        <v>37.5</v>
      </c>
      <c r="AH297" s="2">
        <v>32.1</v>
      </c>
      <c r="AI297" s="2" t="str">
        <f>IF(EHR[[#This Row],[BMI_kg_m2]]&gt;=30,"Obese","Non-Obese")</f>
        <v>Obese</v>
      </c>
      <c r="AJ297" s="2">
        <v>93</v>
      </c>
      <c r="AK297" s="2" t="s">
        <v>50</v>
      </c>
      <c r="AL297" s="2" t="s">
        <v>51</v>
      </c>
      <c r="AM297" s="2" t="s">
        <v>52</v>
      </c>
      <c r="AN297" s="2" t="s">
        <v>53</v>
      </c>
      <c r="AO297" s="2" t="s">
        <v>54</v>
      </c>
    </row>
    <row r="298" spans="1:41" x14ac:dyDescent="0.2">
      <c r="A298" s="7" t="s">
        <v>1096</v>
      </c>
      <c r="B298" s="3" t="s">
        <v>1106</v>
      </c>
      <c r="C298" s="15">
        <v>45599</v>
      </c>
      <c r="D298" s="3" t="s">
        <v>36</v>
      </c>
      <c r="E298" s="3" t="s">
        <v>167</v>
      </c>
      <c r="F298" s="3" t="s">
        <v>75</v>
      </c>
      <c r="G298" s="3" t="s">
        <v>63</v>
      </c>
      <c r="H298" s="14">
        <v>21744</v>
      </c>
      <c r="I298" s="18">
        <f>(EHR[[#This Row],[Encounter_Date]]-EHR[[#This Row],[Patient_DOB]])/365</f>
        <v>65.356164383561648</v>
      </c>
      <c r="J298" s="18" t="str" cm="1">
        <f t="array" ref="J29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298" s="3" t="s">
        <v>1573</v>
      </c>
      <c r="L298" s="3" t="s">
        <v>90</v>
      </c>
      <c r="M298" s="3" t="s">
        <v>43</v>
      </c>
      <c r="N298" s="3" t="s">
        <v>80</v>
      </c>
      <c r="O298" s="3" t="s">
        <v>1574</v>
      </c>
      <c r="P298" s="3" t="s">
        <v>126</v>
      </c>
      <c r="Q298" s="3" t="str">
        <f>_xlfn.XLOOKUP(EHR[[#This Row],[Primary_ICD11_Code]],'03_ICD11_Reference'!A:A,'03_ICD11_Reference'!D:D,,0)</f>
        <v>Neurological</v>
      </c>
      <c r="R298" s="3" t="s">
        <v>127</v>
      </c>
      <c r="S298" s="3" t="s">
        <v>69</v>
      </c>
      <c r="T298" s="3" t="s">
        <v>1108</v>
      </c>
      <c r="U298" s="3">
        <v>3</v>
      </c>
      <c r="V298" s="3" t="str">
        <f>_xlfn.XLOOKUP(EHR[[#This Row],[Encounter_ID]],'02_Lab_Results'!B:B,'02_Lab_Results'!D:D,,0)</f>
        <v>2093-3</v>
      </c>
      <c r="W298" s="3" t="str">
        <f>_xlfn.XLOOKUP(EHR[[#This Row],[LOINC Code]],'04_LOINC_Reference'!A:A,'04_LOINC_Reference'!F:F,,0)</f>
        <v>Biochemistry</v>
      </c>
      <c r="X298" s="3" t="str">
        <f>_xlfn.XLOOKUP(EHR[[#This Row],[LOINC Code]],'02_Lab_Results'!D:D,'02_Lab_Results'!E:E,,0)</f>
        <v>Total cholesterol</v>
      </c>
      <c r="Y298" s="3" t="str">
        <f>_xlfn.XLOOKUP(EHR[[#This Row],[LOINC Code]],'02_Lab_Results'!D:D,'02_Lab_Results'!J:J,,0)</f>
        <v>Normal</v>
      </c>
      <c r="Z298" s="3" t="str" cm="1">
        <f t="array" ref="Z298">_xlfn.XLOOKUP(1,(B298=B$2:B$500)*(V$2:V$500="4548-4"),Y$2:Y$500,"Not Tested")</f>
        <v>Not Tested</v>
      </c>
      <c r="AA298" s="4" t="s">
        <v>1570</v>
      </c>
      <c r="AB298" s="4">
        <v>104</v>
      </c>
      <c r="AC298" s="4" t="str">
        <f>IF(AND(EHR[[#This Row],[BP_Systolic_mmHg]]&lt;140,EHR[[#This Row],[BP_Diastolic_mmHg]]&lt;90),"Controlled",IF(OR(EHR[[#This Row],[BP_Systolic_mmHg]]="Not Recorded",EHR[[#This Row],[BP_Diastolic_mmHg]]="Not Recorded"),"No Reading","Uncontrolled"))</f>
        <v>No Reading</v>
      </c>
      <c r="AD298" s="4" t="str">
        <f>_xlfn.CONCAT(EHR[[#This Row],[BP_Systolic_mmHg]],"/",EHR[[#This Row],[BP_Diastolic_mmHg]])</f>
        <v>Not Recorded/104</v>
      </c>
      <c r="AE298" s="3">
        <v>97</v>
      </c>
      <c r="AF298" s="3">
        <v>17</v>
      </c>
      <c r="AG298" s="3">
        <v>36.299999999999997</v>
      </c>
      <c r="AH298" s="4">
        <v>31.9</v>
      </c>
      <c r="AI298" s="4" t="str">
        <f>IF(EHR[[#This Row],[BMI_kg_m2]]&gt;=30,"Obese","Non-Obese")</f>
        <v>Obese</v>
      </c>
      <c r="AJ298" s="3">
        <v>98</v>
      </c>
      <c r="AK298" s="3" t="s">
        <v>50</v>
      </c>
      <c r="AL298" s="3" t="s">
        <v>51</v>
      </c>
      <c r="AM298" s="3" t="s">
        <v>52</v>
      </c>
      <c r="AN298" s="3" t="s">
        <v>53</v>
      </c>
      <c r="AO298" s="3" t="s">
        <v>54</v>
      </c>
    </row>
    <row r="299" spans="1:41" x14ac:dyDescent="0.2">
      <c r="A299" s="6" t="s">
        <v>1109</v>
      </c>
      <c r="B299" s="2" t="s">
        <v>1110</v>
      </c>
      <c r="C299" s="13">
        <v>45084</v>
      </c>
      <c r="D299" s="2" t="s">
        <v>60</v>
      </c>
      <c r="E299" s="2" t="s">
        <v>61</v>
      </c>
      <c r="F299" s="2" t="s">
        <v>219</v>
      </c>
      <c r="G299" s="2" t="s">
        <v>39</v>
      </c>
      <c r="H299" s="13">
        <v>28343</v>
      </c>
      <c r="I299" s="2">
        <v>48</v>
      </c>
      <c r="J299" s="2" t="str" cm="1">
        <f t="array" ref="J29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299" s="2" t="s">
        <v>1573</v>
      </c>
      <c r="L299" s="2" t="s">
        <v>78</v>
      </c>
      <c r="M299" s="2" t="s">
        <v>79</v>
      </c>
      <c r="N299" s="2" t="s">
        <v>44</v>
      </c>
      <c r="O299" s="2" t="s">
        <v>182</v>
      </c>
      <c r="P299" s="2" t="s">
        <v>283</v>
      </c>
      <c r="Q299" s="2" t="str">
        <f>_xlfn.XLOOKUP(EHR[[#This Row],[Primary_ICD11_Code]],'03_ICD11_Reference'!A:A,'03_ICD11_Reference'!D:D,,0)</f>
        <v>Multi-system</v>
      </c>
      <c r="R299" s="2" t="s">
        <v>284</v>
      </c>
      <c r="S299" s="2" t="s">
        <v>69</v>
      </c>
      <c r="T299" s="2" t="s">
        <v>1112</v>
      </c>
      <c r="U299" s="2">
        <v>3</v>
      </c>
      <c r="V299" s="2" t="str">
        <f>_xlfn.XLOOKUP(EHR[[#This Row],[Encounter_ID]],'02_Lab_Results'!B:B,'02_Lab_Results'!D:D,,0)</f>
        <v>14627-4</v>
      </c>
      <c r="W299" s="2" t="str">
        <f>_xlfn.XLOOKUP(EHR[[#This Row],[LOINC Code]],'04_LOINC_Reference'!A:A,'04_LOINC_Reference'!F:F,,0)</f>
        <v>Biochemistry</v>
      </c>
      <c r="X299" s="2" t="str">
        <f>_xlfn.XLOOKUP(EHR[[#This Row],[LOINC Code]],'02_Lab_Results'!D:D,'02_Lab_Results'!E:E,,0)</f>
        <v>eGFR (CKD-EPI)</v>
      </c>
      <c r="Y299" s="2" t="str">
        <f>_xlfn.XLOOKUP(EHR[[#This Row],[LOINC Code]],'02_Lab_Results'!D:D,'02_Lab_Results'!J:J,,0)</f>
        <v>High</v>
      </c>
      <c r="Z299" s="2" t="str" cm="1">
        <f t="array" ref="Z299">_xlfn.XLOOKUP(1,(B299=B$2:B$500)*(V$2:V$500="4548-4"),Y$2:Y$500,"Not Tested")</f>
        <v>Not Tested</v>
      </c>
      <c r="AA299" s="2">
        <v>170</v>
      </c>
      <c r="AB299" s="2">
        <v>100</v>
      </c>
      <c r="AC299" s="2" t="str">
        <f>IF(AND(EHR[[#This Row],[BP_Systolic_mmHg]]&lt;140,EHR[[#This Row],[BP_Diastolic_mmHg]]&lt;90),"Controlled",IF(OR(EHR[[#This Row],[BP_Systolic_mmHg]]="Not Recorded",EHR[[#This Row],[BP_Diastolic_mmHg]]="Not Recorded"),"No Reading","Uncontrolled"))</f>
        <v>Uncontrolled</v>
      </c>
      <c r="AD299" s="2" t="str">
        <f>_xlfn.CONCAT(EHR[[#This Row],[BP_Systolic_mmHg]],"/",EHR[[#This Row],[BP_Diastolic_mmHg]])</f>
        <v>170/100</v>
      </c>
      <c r="AE299" s="2">
        <v>81</v>
      </c>
      <c r="AF299" s="2">
        <v>18</v>
      </c>
      <c r="AG299" s="2">
        <v>38.1</v>
      </c>
      <c r="AH299" s="2">
        <v>38.200000000000003</v>
      </c>
      <c r="AI299" s="2" t="str">
        <f>IF(EHR[[#This Row],[BMI_kg_m2]]&gt;=30,"Obese","Non-Obese")</f>
        <v>Obese</v>
      </c>
      <c r="AJ299" s="2">
        <v>89</v>
      </c>
      <c r="AK299" s="2" t="s">
        <v>50</v>
      </c>
      <c r="AL299" s="2" t="s">
        <v>51</v>
      </c>
      <c r="AM299" s="2" t="s">
        <v>52</v>
      </c>
      <c r="AN299" s="2" t="s">
        <v>53</v>
      </c>
      <c r="AO299" s="2" t="s">
        <v>54</v>
      </c>
    </row>
    <row r="300" spans="1:41" x14ac:dyDescent="0.2">
      <c r="A300" s="7" t="s">
        <v>1113</v>
      </c>
      <c r="B300" s="3" t="s">
        <v>1114</v>
      </c>
      <c r="C300" s="15">
        <f>EHR[[#This Row],[Patient_DOB]]+(EHR[[#This Row],[Age_at_Encounter]]*365)</f>
        <v>45996</v>
      </c>
      <c r="D300" s="3" t="s">
        <v>36</v>
      </c>
      <c r="E300" s="3" t="s">
        <v>167</v>
      </c>
      <c r="F300" s="3" t="s">
        <v>122</v>
      </c>
      <c r="G300" s="3" t="s">
        <v>104</v>
      </c>
      <c r="H300" s="14">
        <v>17526</v>
      </c>
      <c r="I300" s="4">
        <v>78</v>
      </c>
      <c r="J300" s="4" t="str" cm="1">
        <f t="array" ref="J30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00" s="3" t="s">
        <v>1573</v>
      </c>
      <c r="L300" s="3" t="s">
        <v>116</v>
      </c>
      <c r="M300" s="3" t="s">
        <v>141</v>
      </c>
      <c r="N300" s="3" t="s">
        <v>1574</v>
      </c>
      <c r="O300" s="3" t="s">
        <v>81</v>
      </c>
      <c r="P300" s="3" t="s">
        <v>46</v>
      </c>
      <c r="Q300" s="3" t="str">
        <f>_xlfn.XLOOKUP(EHR[[#This Row],[Primary_ICD11_Code]],'03_ICD11_Reference'!A:A,'03_ICD11_Reference'!D:D,,0)</f>
        <v>Haematological</v>
      </c>
      <c r="R300" s="3" t="s">
        <v>47</v>
      </c>
      <c r="S300" s="3" t="s">
        <v>48</v>
      </c>
      <c r="T300" s="3" t="s">
        <v>1116</v>
      </c>
      <c r="U300" s="3">
        <v>3</v>
      </c>
      <c r="V300" s="3" t="str">
        <f>_xlfn.XLOOKUP(EHR[[#This Row],[Encounter_ID]],'02_Lab_Results'!B:B,'02_Lab_Results'!D:D,,0)</f>
        <v>789-8</v>
      </c>
      <c r="W300" s="3" t="str">
        <f>_xlfn.XLOOKUP(EHR[[#This Row],[LOINC Code]],'04_LOINC_Reference'!A:A,'04_LOINC_Reference'!F:F,,0)</f>
        <v>Biochemistry</v>
      </c>
      <c r="X300" s="3" t="str">
        <f>_xlfn.XLOOKUP(EHR[[#This Row],[LOINC Code]],'02_Lab_Results'!D:D,'02_Lab_Results'!E:E,,0)</f>
        <v>RBC count</v>
      </c>
      <c r="Y300" s="3" t="str">
        <f>_xlfn.XLOOKUP(EHR[[#This Row],[LOINC Code]],'02_Lab_Results'!D:D,'02_Lab_Results'!J:J,,0)</f>
        <v>High</v>
      </c>
      <c r="Z300" s="3" t="str" cm="1">
        <f t="array" ref="Z300">_xlfn.XLOOKUP(1,(B300=B$2:B$500)*(V$2:V$500="4548-4"),Y$2:Y$500,"Not Tested")</f>
        <v>Not Tested</v>
      </c>
      <c r="AA300" s="4">
        <v>96</v>
      </c>
      <c r="AB300" s="4">
        <v>111</v>
      </c>
      <c r="AC300" s="4" t="str">
        <f>IF(AND(EHR[[#This Row],[BP_Systolic_mmHg]]&lt;140,EHR[[#This Row],[BP_Diastolic_mmHg]]&lt;90),"Controlled",IF(OR(EHR[[#This Row],[BP_Systolic_mmHg]]="Not Recorded",EHR[[#This Row],[BP_Diastolic_mmHg]]="Not Recorded"),"No Reading","Uncontrolled"))</f>
        <v>Uncontrolled</v>
      </c>
      <c r="AD300" s="4" t="str">
        <f>_xlfn.CONCAT(EHR[[#This Row],[BP_Systolic_mmHg]],"/",EHR[[#This Row],[BP_Diastolic_mmHg]])</f>
        <v>96/111</v>
      </c>
      <c r="AE300" s="3">
        <v>84</v>
      </c>
      <c r="AF300" s="3">
        <v>23</v>
      </c>
      <c r="AG300" s="3">
        <v>39.1</v>
      </c>
      <c r="AH300" s="4">
        <v>37</v>
      </c>
      <c r="AI300" s="4" t="str">
        <f>IF(EHR[[#This Row],[BMI_kg_m2]]&gt;=30,"Obese","Non-Obese")</f>
        <v>Obese</v>
      </c>
      <c r="AJ300" s="3">
        <v>88</v>
      </c>
      <c r="AK300" s="3" t="s">
        <v>50</v>
      </c>
      <c r="AL300" s="3" t="s">
        <v>51</v>
      </c>
      <c r="AM300" s="3" t="s">
        <v>52</v>
      </c>
      <c r="AN300" s="3" t="s">
        <v>53</v>
      </c>
      <c r="AO300" s="3" t="s">
        <v>54</v>
      </c>
    </row>
    <row r="301" spans="1:41" x14ac:dyDescent="0.2">
      <c r="A301" s="7" t="s">
        <v>1119</v>
      </c>
      <c r="B301" s="3" t="s">
        <v>1120</v>
      </c>
      <c r="C301" s="14">
        <v>45639</v>
      </c>
      <c r="D301" s="3" t="s">
        <v>36</v>
      </c>
      <c r="E301" s="3" t="s">
        <v>37</v>
      </c>
      <c r="F301" s="3" t="s">
        <v>132</v>
      </c>
      <c r="G301" s="3" t="s">
        <v>39</v>
      </c>
      <c r="H301" s="14">
        <v>33942</v>
      </c>
      <c r="I301" s="3">
        <v>33</v>
      </c>
      <c r="J301" s="3" t="str" cm="1">
        <f t="array" ref="J30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01" s="3" t="s">
        <v>1572</v>
      </c>
      <c r="L301" s="3" t="s">
        <v>42</v>
      </c>
      <c r="M301" s="3" t="s">
        <v>43</v>
      </c>
      <c r="N301" s="3" t="s">
        <v>1574</v>
      </c>
      <c r="O301" s="3" t="s">
        <v>182</v>
      </c>
      <c r="P301" s="3" t="s">
        <v>195</v>
      </c>
      <c r="Q301" s="3" t="str">
        <f>_xlfn.XLOOKUP(EHR[[#This Row],[Primary_ICD11_Code]],'03_ICD11_Reference'!A:A,'03_ICD11_Reference'!D:D,,0)</f>
        <v>Respiratory</v>
      </c>
      <c r="R301" s="3" t="s">
        <v>196</v>
      </c>
      <c r="S301" s="3" t="s">
        <v>69</v>
      </c>
      <c r="T301" s="3" t="s">
        <v>1123</v>
      </c>
      <c r="U301" s="3">
        <v>3</v>
      </c>
      <c r="V301" s="3" t="str">
        <f>_xlfn.XLOOKUP(EHR[[#This Row],[Encounter_ID]],'02_Lab_Results'!B:B,'02_Lab_Results'!D:D,,0)</f>
        <v>789-8</v>
      </c>
      <c r="W301" s="3" t="str">
        <f>_xlfn.XLOOKUP(EHR[[#This Row],[LOINC Code]],'04_LOINC_Reference'!A:A,'04_LOINC_Reference'!F:F,,0)</f>
        <v>Biochemistry</v>
      </c>
      <c r="X301" s="3" t="str">
        <f>_xlfn.XLOOKUP(EHR[[#This Row],[LOINC Code]],'02_Lab_Results'!D:D,'02_Lab_Results'!E:E,,0)</f>
        <v>RBC count</v>
      </c>
      <c r="Y301" s="3" t="str">
        <f>_xlfn.XLOOKUP(EHR[[#This Row],[LOINC Code]],'02_Lab_Results'!D:D,'02_Lab_Results'!J:J,,0)</f>
        <v>High</v>
      </c>
      <c r="Z301" s="3" t="str" cm="1">
        <f t="array" ref="Z301">_xlfn.XLOOKUP(1,(B301=B$2:B$500)*(V$2:V$500="4548-4"),Y$2:Y$500,"Not Tested")</f>
        <v>Not Tested</v>
      </c>
      <c r="AA301" s="3">
        <v>112</v>
      </c>
      <c r="AB301" s="3">
        <v>73</v>
      </c>
      <c r="AC301" s="3" t="str">
        <f>IF(AND(EHR[[#This Row],[BP_Systolic_mmHg]]&lt;140,EHR[[#This Row],[BP_Diastolic_mmHg]]&lt;90),"Controlled",IF(OR(EHR[[#This Row],[BP_Systolic_mmHg]]="Not Recorded",EHR[[#This Row],[BP_Diastolic_mmHg]]="Not Recorded"),"No Reading","Uncontrolled"))</f>
        <v>Controlled</v>
      </c>
      <c r="AD301" s="3" t="str">
        <f>_xlfn.CONCAT(EHR[[#This Row],[BP_Systolic_mmHg]],"/",EHR[[#This Row],[BP_Diastolic_mmHg]])</f>
        <v>112/73</v>
      </c>
      <c r="AE301" s="3">
        <v>100</v>
      </c>
      <c r="AF301" s="3">
        <v>13</v>
      </c>
      <c r="AG301" s="3">
        <v>37.5</v>
      </c>
      <c r="AH301" s="3">
        <v>45.9</v>
      </c>
      <c r="AI301" s="3" t="str">
        <f>IF(EHR[[#This Row],[BMI_kg_m2]]&gt;=30,"Obese","Non-Obese")</f>
        <v>Obese</v>
      </c>
      <c r="AJ301" s="3">
        <v>97</v>
      </c>
      <c r="AK301" s="3" t="s">
        <v>50</v>
      </c>
      <c r="AL301" s="3" t="s">
        <v>51</v>
      </c>
      <c r="AM301" s="3" t="s">
        <v>52</v>
      </c>
      <c r="AN301" s="3" t="s">
        <v>53</v>
      </c>
      <c r="AO301" s="3" t="s">
        <v>54</v>
      </c>
    </row>
    <row r="302" spans="1:41" x14ac:dyDescent="0.2">
      <c r="A302" s="6" t="s">
        <v>1119</v>
      </c>
      <c r="B302" s="2" t="s">
        <v>1124</v>
      </c>
      <c r="C302" s="13">
        <v>44988</v>
      </c>
      <c r="D302" s="2" t="s">
        <v>103</v>
      </c>
      <c r="E302" s="2" t="s">
        <v>89</v>
      </c>
      <c r="F302" s="2" t="s">
        <v>122</v>
      </c>
      <c r="G302" s="2" t="s">
        <v>98</v>
      </c>
      <c r="H302" s="13">
        <v>33942</v>
      </c>
      <c r="I302" s="2">
        <v>33</v>
      </c>
      <c r="J302" s="2" t="str" cm="1">
        <f t="array" ref="J30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02" s="2" t="s">
        <v>1572</v>
      </c>
      <c r="L302" s="2" t="s">
        <v>116</v>
      </c>
      <c r="M302" s="2" t="s">
        <v>43</v>
      </c>
      <c r="N302" s="2" t="s">
        <v>1574</v>
      </c>
      <c r="O302" s="2" t="s">
        <v>182</v>
      </c>
      <c r="P302" s="2" t="s">
        <v>195</v>
      </c>
      <c r="Q302" s="2" t="str">
        <f>_xlfn.XLOOKUP(EHR[[#This Row],[Primary_ICD11_Code]],'03_ICD11_Reference'!A:A,'03_ICD11_Reference'!D:D,,0)</f>
        <v>Respiratory</v>
      </c>
      <c r="R302" s="2" t="s">
        <v>196</v>
      </c>
      <c r="S302" s="2" t="s">
        <v>69</v>
      </c>
      <c r="T302" s="2" t="s">
        <v>1125</v>
      </c>
      <c r="U302" s="2">
        <v>4</v>
      </c>
      <c r="V302" s="2" t="str">
        <f>_xlfn.XLOOKUP(EHR[[#This Row],[Encounter_ID]],'02_Lab_Results'!B:B,'02_Lab_Results'!D:D,,0)</f>
        <v>789-8</v>
      </c>
      <c r="W302" s="2" t="str">
        <f>_xlfn.XLOOKUP(EHR[[#This Row],[LOINC Code]],'04_LOINC_Reference'!A:A,'04_LOINC_Reference'!F:F,,0)</f>
        <v>Biochemistry</v>
      </c>
      <c r="X302" s="2" t="str">
        <f>_xlfn.XLOOKUP(EHR[[#This Row],[LOINC Code]],'02_Lab_Results'!D:D,'02_Lab_Results'!E:E,,0)</f>
        <v>RBC count</v>
      </c>
      <c r="Y302" s="2" t="str">
        <f>_xlfn.XLOOKUP(EHR[[#This Row],[LOINC Code]],'02_Lab_Results'!D:D,'02_Lab_Results'!J:J,,0)</f>
        <v>High</v>
      </c>
      <c r="Z302" s="2" t="str" cm="1">
        <f t="array" ref="Z302">_xlfn.XLOOKUP(1,(B302=B$2:B$500)*(V$2:V$500="4548-4"),Y$2:Y$500,"Not Tested")</f>
        <v>Not Tested</v>
      </c>
      <c r="AA302" s="2">
        <v>118</v>
      </c>
      <c r="AB302" s="2">
        <v>104</v>
      </c>
      <c r="AC302" s="2" t="str">
        <f>IF(AND(EHR[[#This Row],[BP_Systolic_mmHg]]&lt;140,EHR[[#This Row],[BP_Diastolic_mmHg]]&lt;90),"Controlled",IF(OR(EHR[[#This Row],[BP_Systolic_mmHg]]="Not Recorded",EHR[[#This Row],[BP_Diastolic_mmHg]]="Not Recorded"),"No Reading","Uncontrolled"))</f>
        <v>Uncontrolled</v>
      </c>
      <c r="AD302" s="2" t="str">
        <f>_xlfn.CONCAT(EHR[[#This Row],[BP_Systolic_mmHg]],"/",EHR[[#This Row],[BP_Diastolic_mmHg]])</f>
        <v>118/104</v>
      </c>
      <c r="AE302" s="2">
        <v>63</v>
      </c>
      <c r="AF302" s="2">
        <v>13</v>
      </c>
      <c r="AG302" s="2">
        <v>39.1</v>
      </c>
      <c r="AH302" s="2">
        <v>23.2</v>
      </c>
      <c r="AI302" s="2" t="str">
        <f>IF(EHR[[#This Row],[BMI_kg_m2]]&gt;=30,"Obese","Non-Obese")</f>
        <v>Non-Obese</v>
      </c>
      <c r="AJ302" s="2">
        <v>92</v>
      </c>
      <c r="AK302" s="2" t="s">
        <v>50</v>
      </c>
      <c r="AL302" s="2" t="s">
        <v>51</v>
      </c>
      <c r="AM302" s="2" t="s">
        <v>52</v>
      </c>
      <c r="AN302" s="2" t="s">
        <v>53</v>
      </c>
      <c r="AO302" s="2" t="s">
        <v>54</v>
      </c>
    </row>
    <row r="303" spans="1:41" x14ac:dyDescent="0.2">
      <c r="A303" s="7" t="s">
        <v>1119</v>
      </c>
      <c r="B303" s="3" t="s">
        <v>1126</v>
      </c>
      <c r="C303" s="14">
        <v>45192</v>
      </c>
      <c r="D303" s="3" t="s">
        <v>95</v>
      </c>
      <c r="E303" s="3" t="s">
        <v>167</v>
      </c>
      <c r="F303" s="3" t="s">
        <v>38</v>
      </c>
      <c r="G303" s="3" t="s">
        <v>76</v>
      </c>
      <c r="H303" s="14">
        <v>33942</v>
      </c>
      <c r="I303" s="3">
        <v>33</v>
      </c>
      <c r="J303" s="3" t="str" cm="1">
        <f t="array" ref="J30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03" s="3" t="s">
        <v>1572</v>
      </c>
      <c r="L303" s="3" t="s">
        <v>78</v>
      </c>
      <c r="M303" s="3" t="s">
        <v>43</v>
      </c>
      <c r="N303" s="3" t="s">
        <v>1574</v>
      </c>
      <c r="O303" s="3" t="s">
        <v>182</v>
      </c>
      <c r="P303" s="3" t="s">
        <v>195</v>
      </c>
      <c r="Q303" s="3" t="str">
        <f>_xlfn.XLOOKUP(EHR[[#This Row],[Primary_ICD11_Code]],'03_ICD11_Reference'!A:A,'03_ICD11_Reference'!D:D,,0)</f>
        <v>Respiratory</v>
      </c>
      <c r="R303" s="3" t="s">
        <v>196</v>
      </c>
      <c r="S303" s="3" t="s">
        <v>69</v>
      </c>
      <c r="T303" s="3" t="s">
        <v>144</v>
      </c>
      <c r="U303" s="3">
        <v>1</v>
      </c>
      <c r="V303" s="3" t="str">
        <f>_xlfn.XLOOKUP(EHR[[#This Row],[Encounter_ID]],'02_Lab_Results'!B:B,'02_Lab_Results'!D:D,,0)</f>
        <v>718-7</v>
      </c>
      <c r="W303" s="3" t="str">
        <f>_xlfn.XLOOKUP(EHR[[#This Row],[LOINC Code]],'04_LOINC_Reference'!A:A,'04_LOINC_Reference'!F:F,,0)</f>
        <v>Biochemistry</v>
      </c>
      <c r="X303" s="3" t="str">
        <f>_xlfn.XLOOKUP(EHR[[#This Row],[LOINC Code]],'02_Lab_Results'!D:D,'02_Lab_Results'!E:E,,0)</f>
        <v>Haemoglobin</v>
      </c>
      <c r="Y303" s="3" t="str">
        <f>_xlfn.XLOOKUP(EHR[[#This Row],[LOINC Code]],'02_Lab_Results'!D:D,'02_Lab_Results'!J:J,,0)</f>
        <v>Normal</v>
      </c>
      <c r="Z303" s="3" t="str" cm="1">
        <f t="array" ref="Z303">_xlfn.XLOOKUP(1,(B303=B$2:B$500)*(V$2:V$500="4548-4"),Y$2:Y$500,"Not Tested")</f>
        <v>Not Tested</v>
      </c>
      <c r="AA303" s="3">
        <v>104</v>
      </c>
      <c r="AB303" s="3">
        <v>59</v>
      </c>
      <c r="AC303" s="3" t="str">
        <f>IF(AND(EHR[[#This Row],[BP_Systolic_mmHg]]&lt;140,EHR[[#This Row],[BP_Diastolic_mmHg]]&lt;90),"Controlled",IF(OR(EHR[[#This Row],[BP_Systolic_mmHg]]="Not Recorded",EHR[[#This Row],[BP_Diastolic_mmHg]]="Not Recorded"),"No Reading","Uncontrolled"))</f>
        <v>Controlled</v>
      </c>
      <c r="AD303" s="3" t="str">
        <f>_xlfn.CONCAT(EHR[[#This Row],[BP_Systolic_mmHg]],"/",EHR[[#This Row],[BP_Diastolic_mmHg]])</f>
        <v>104/59</v>
      </c>
      <c r="AE303" s="3">
        <v>93</v>
      </c>
      <c r="AF303" s="3">
        <v>16</v>
      </c>
      <c r="AG303" s="3">
        <v>37.4</v>
      </c>
      <c r="AH303" s="3">
        <v>43.1</v>
      </c>
      <c r="AI303" s="3" t="str">
        <f>IF(EHR[[#This Row],[BMI_kg_m2]]&gt;=30,"Obese","Non-Obese")</f>
        <v>Obese</v>
      </c>
      <c r="AJ303" s="3">
        <v>89</v>
      </c>
      <c r="AK303" s="3" t="s">
        <v>50</v>
      </c>
      <c r="AL303" s="3" t="s">
        <v>51</v>
      </c>
      <c r="AM303" s="3" t="s">
        <v>52</v>
      </c>
      <c r="AN303" s="3" t="s">
        <v>53</v>
      </c>
      <c r="AO303" s="3" t="s">
        <v>54</v>
      </c>
    </row>
    <row r="304" spans="1:41" x14ac:dyDescent="0.2">
      <c r="A304" s="6" t="s">
        <v>1119</v>
      </c>
      <c r="B304" s="2" t="s">
        <v>1127</v>
      </c>
      <c r="C304" s="13">
        <v>45515</v>
      </c>
      <c r="D304" s="2" t="s">
        <v>103</v>
      </c>
      <c r="E304" s="2" t="s">
        <v>37</v>
      </c>
      <c r="F304" s="2" t="s">
        <v>132</v>
      </c>
      <c r="G304" s="2" t="s">
        <v>98</v>
      </c>
      <c r="H304" s="13">
        <v>33942</v>
      </c>
      <c r="I304" s="2">
        <v>33</v>
      </c>
      <c r="J304" s="2" t="str" cm="1">
        <f t="array" ref="J30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04" s="2" t="s">
        <v>1572</v>
      </c>
      <c r="L304" s="2" t="s">
        <v>110</v>
      </c>
      <c r="M304" s="2" t="s">
        <v>43</v>
      </c>
      <c r="N304" s="2" t="s">
        <v>1574</v>
      </c>
      <c r="O304" s="2" t="s">
        <v>182</v>
      </c>
      <c r="P304" s="2" t="s">
        <v>195</v>
      </c>
      <c r="Q304" s="2" t="str">
        <f>_xlfn.XLOOKUP(EHR[[#This Row],[Primary_ICD11_Code]],'03_ICD11_Reference'!A:A,'03_ICD11_Reference'!D:D,,0)</f>
        <v>Respiratory</v>
      </c>
      <c r="R304" s="2" t="s">
        <v>196</v>
      </c>
      <c r="S304" s="2" t="s">
        <v>69</v>
      </c>
      <c r="T304" s="2" t="s">
        <v>268</v>
      </c>
      <c r="U304" s="2">
        <v>1</v>
      </c>
      <c r="V304" s="2" t="str">
        <f>_xlfn.XLOOKUP(EHR[[#This Row],[Encounter_ID]],'02_Lab_Results'!B:B,'02_Lab_Results'!D:D,,0)</f>
        <v>6768-6</v>
      </c>
      <c r="W304" s="2" t="str">
        <f>_xlfn.XLOOKUP(EHR[[#This Row],[LOINC Code]],'04_LOINC_Reference'!A:A,'04_LOINC_Reference'!F:F,,0)</f>
        <v>Biochemistry</v>
      </c>
      <c r="X304" s="2" t="str">
        <f>_xlfn.XLOOKUP(EHR[[#This Row],[LOINC Code]],'02_Lab_Results'!D:D,'02_Lab_Results'!E:E,,0)</f>
        <v>ALP</v>
      </c>
      <c r="Y304" s="2" t="str">
        <f>_xlfn.XLOOKUP(EHR[[#This Row],[LOINC Code]],'02_Lab_Results'!D:D,'02_Lab_Results'!J:J,,0)</f>
        <v>High</v>
      </c>
      <c r="Z304" s="2" t="str" cm="1">
        <f t="array" ref="Z304">_xlfn.XLOOKUP(1,(B304=B$2:B$500)*(V$2:V$500="4548-4"),Y$2:Y$500,"Not Tested")</f>
        <v>Not Tested</v>
      </c>
      <c r="AA304" s="2">
        <v>95</v>
      </c>
      <c r="AB304" s="2">
        <v>97</v>
      </c>
      <c r="AC304" s="2" t="str">
        <f>IF(AND(EHR[[#This Row],[BP_Systolic_mmHg]]&lt;140,EHR[[#This Row],[BP_Diastolic_mmHg]]&lt;90),"Controlled",IF(OR(EHR[[#This Row],[BP_Systolic_mmHg]]="Not Recorded",EHR[[#This Row],[BP_Diastolic_mmHg]]="Not Recorded"),"No Reading","Uncontrolled"))</f>
        <v>Uncontrolled</v>
      </c>
      <c r="AD304" s="2" t="str">
        <f>_xlfn.CONCAT(EHR[[#This Row],[BP_Systolic_mmHg]],"/",EHR[[#This Row],[BP_Diastolic_mmHg]])</f>
        <v>95/97</v>
      </c>
      <c r="AE304" s="2">
        <v>108</v>
      </c>
      <c r="AF304" s="2">
        <v>20</v>
      </c>
      <c r="AG304" s="2">
        <v>37.299999999999997</v>
      </c>
      <c r="AH304" s="2">
        <v>38.200000000000003</v>
      </c>
      <c r="AI304" s="2" t="str">
        <f>IF(EHR[[#This Row],[BMI_kg_m2]]&gt;=30,"Obese","Non-Obese")</f>
        <v>Obese</v>
      </c>
      <c r="AJ304" s="2">
        <v>98</v>
      </c>
      <c r="AK304" s="2" t="s">
        <v>50</v>
      </c>
      <c r="AL304" s="2" t="s">
        <v>51</v>
      </c>
      <c r="AM304" s="2" t="s">
        <v>52</v>
      </c>
      <c r="AN304" s="2" t="s">
        <v>53</v>
      </c>
      <c r="AO304" s="2" t="s">
        <v>54</v>
      </c>
    </row>
    <row r="305" spans="1:41" x14ac:dyDescent="0.2">
      <c r="A305" s="7" t="s">
        <v>1119</v>
      </c>
      <c r="B305" s="3" t="s">
        <v>1129</v>
      </c>
      <c r="C305" s="14">
        <v>45507</v>
      </c>
      <c r="D305" s="3" t="s">
        <v>95</v>
      </c>
      <c r="E305" s="3" t="s">
        <v>167</v>
      </c>
      <c r="F305" s="3" t="s">
        <v>189</v>
      </c>
      <c r="G305" s="3" t="s">
        <v>115</v>
      </c>
      <c r="H305" s="14">
        <v>33942</v>
      </c>
      <c r="I305" s="3">
        <v>33</v>
      </c>
      <c r="J305" s="3" t="str" cm="1">
        <f t="array" ref="J30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05" s="3" t="s">
        <v>1572</v>
      </c>
      <c r="L305" s="3" t="s">
        <v>90</v>
      </c>
      <c r="M305" s="3" t="s">
        <v>43</v>
      </c>
      <c r="N305" s="3" t="s">
        <v>1574</v>
      </c>
      <c r="O305" s="3" t="s">
        <v>182</v>
      </c>
      <c r="P305" s="3" t="s">
        <v>195</v>
      </c>
      <c r="Q305" s="3" t="str">
        <f>_xlfn.XLOOKUP(EHR[[#This Row],[Primary_ICD11_Code]],'03_ICD11_Reference'!A:A,'03_ICD11_Reference'!D:D,,0)</f>
        <v>Respiratory</v>
      </c>
      <c r="R305" s="3" t="s">
        <v>196</v>
      </c>
      <c r="S305" s="3" t="s">
        <v>69</v>
      </c>
      <c r="T305" s="3" t="s">
        <v>1130</v>
      </c>
      <c r="U305" s="3">
        <v>3</v>
      </c>
      <c r="V305" s="3" t="str">
        <f>_xlfn.XLOOKUP(EHR[[#This Row],[Encounter_ID]],'02_Lab_Results'!B:B,'02_Lab_Results'!D:D,,0)</f>
        <v>4548-4</v>
      </c>
      <c r="W305" s="3" t="str">
        <f>_xlfn.XLOOKUP(EHR[[#This Row],[LOINC Code]],'04_LOINC_Reference'!A:A,'04_LOINC_Reference'!F:F,,0)</f>
        <v>Biochemistry</v>
      </c>
      <c r="X305" s="3" t="str">
        <f>_xlfn.XLOOKUP(EHR[[#This Row],[LOINC Code]],'02_Lab_Results'!D:D,'02_Lab_Results'!E:E,,0)</f>
        <v>HbA1c</v>
      </c>
      <c r="Y305" s="3" t="str">
        <f>_xlfn.XLOOKUP(EHR[[#This Row],[LOINC Code]],'02_Lab_Results'!D:D,'02_Lab_Results'!J:J,,0)</f>
        <v>High</v>
      </c>
      <c r="Z305" s="3" t="str" cm="1">
        <f t="array" ref="Z305">_xlfn.XLOOKUP(1,(B305=B$2:B$500)*(V$2:V$500="4548-4"),Y$2:Y$500,"Not Tested")</f>
        <v>High</v>
      </c>
      <c r="AA305" s="3">
        <v>143</v>
      </c>
      <c r="AB305" s="3">
        <v>114</v>
      </c>
      <c r="AC305" s="3" t="str">
        <f>IF(AND(EHR[[#This Row],[BP_Systolic_mmHg]]&lt;140,EHR[[#This Row],[BP_Diastolic_mmHg]]&lt;90),"Controlled",IF(OR(EHR[[#This Row],[BP_Systolic_mmHg]]="Not Recorded",EHR[[#This Row],[BP_Diastolic_mmHg]]="Not Recorded"),"No Reading","Uncontrolled"))</f>
        <v>Uncontrolled</v>
      </c>
      <c r="AD305" s="3" t="str">
        <f>_xlfn.CONCAT(EHR[[#This Row],[BP_Systolic_mmHg]],"/",EHR[[#This Row],[BP_Diastolic_mmHg]])</f>
        <v>143/114</v>
      </c>
      <c r="AE305" s="3">
        <v>75</v>
      </c>
      <c r="AF305" s="3">
        <v>17</v>
      </c>
      <c r="AG305" s="3">
        <v>36.200000000000003</v>
      </c>
      <c r="AH305" s="3">
        <v>45.9</v>
      </c>
      <c r="AI305" s="3" t="str">
        <f>IF(EHR[[#This Row],[BMI_kg_m2]]&gt;=30,"Obese","Non-Obese")</f>
        <v>Obese</v>
      </c>
      <c r="AJ305" s="3">
        <v>95</v>
      </c>
      <c r="AK305" s="3" t="s">
        <v>50</v>
      </c>
      <c r="AL305" s="3" t="s">
        <v>51</v>
      </c>
      <c r="AM305" s="3" t="s">
        <v>52</v>
      </c>
      <c r="AN305" s="3" t="s">
        <v>53</v>
      </c>
      <c r="AO305" s="3" t="s">
        <v>54</v>
      </c>
    </row>
    <row r="306" spans="1:41" x14ac:dyDescent="0.2">
      <c r="A306" s="6" t="s">
        <v>1131</v>
      </c>
      <c r="B306" s="2" t="s">
        <v>1132</v>
      </c>
      <c r="C306" s="13">
        <v>45574</v>
      </c>
      <c r="D306" s="2" t="s">
        <v>60</v>
      </c>
      <c r="E306" s="2" t="s">
        <v>37</v>
      </c>
      <c r="F306" s="2" t="s">
        <v>109</v>
      </c>
      <c r="G306" s="2" t="s">
        <v>123</v>
      </c>
      <c r="H306" s="13">
        <v>21496</v>
      </c>
      <c r="I306" s="2">
        <v>67</v>
      </c>
      <c r="J306" s="2" t="str" cm="1">
        <f t="array" ref="J30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06" s="2" t="s">
        <v>1572</v>
      </c>
      <c r="L306" s="2" t="s">
        <v>42</v>
      </c>
      <c r="M306" s="2" t="s">
        <v>141</v>
      </c>
      <c r="N306" s="2" t="s">
        <v>44</v>
      </c>
      <c r="O306" s="2" t="s">
        <v>81</v>
      </c>
      <c r="P306" s="2" t="s">
        <v>183</v>
      </c>
      <c r="Q306" s="2" t="str">
        <f>_xlfn.XLOOKUP(EHR[[#This Row],[Primary_ICD11_Code]],'03_ICD11_Reference'!A:A,'03_ICD11_Reference'!D:D,,0)</f>
        <v>Genitourinary</v>
      </c>
      <c r="R306" s="2" t="s">
        <v>184</v>
      </c>
      <c r="S306" s="2" t="s">
        <v>48</v>
      </c>
      <c r="T306" s="2" t="s">
        <v>1135</v>
      </c>
      <c r="U306" s="2">
        <v>3</v>
      </c>
      <c r="V306" s="2" t="str">
        <f>_xlfn.XLOOKUP(EHR[[#This Row],[Encounter_ID]],'02_Lab_Results'!B:B,'02_Lab_Results'!D:D,,0)</f>
        <v>2345-7</v>
      </c>
      <c r="W306" s="2" t="str">
        <f>_xlfn.XLOOKUP(EHR[[#This Row],[LOINC Code]],'04_LOINC_Reference'!A:A,'04_LOINC_Reference'!F:F,,0)</f>
        <v>Biochemistry</v>
      </c>
      <c r="X306" s="2" t="str">
        <f>_xlfn.XLOOKUP(EHR[[#This Row],[LOINC Code]],'02_Lab_Results'!D:D,'02_Lab_Results'!E:E,,0)</f>
        <v>Serum glucose (fasting)</v>
      </c>
      <c r="Y306" s="2" t="str">
        <f>_xlfn.XLOOKUP(EHR[[#This Row],[LOINC Code]],'02_Lab_Results'!D:D,'02_Lab_Results'!J:J,,0)</f>
        <v>Normal</v>
      </c>
      <c r="Z306" s="2" t="str" cm="1">
        <f t="array" ref="Z306">_xlfn.XLOOKUP(1,(B306=B$2:B$500)*(V$2:V$500="4548-4"),Y$2:Y$500,"Not Tested")</f>
        <v>Not Tested</v>
      </c>
      <c r="AA306" s="2">
        <v>134</v>
      </c>
      <c r="AB306" s="2">
        <v>66</v>
      </c>
      <c r="AC306" s="2" t="str">
        <f>IF(AND(EHR[[#This Row],[BP_Systolic_mmHg]]&lt;140,EHR[[#This Row],[BP_Diastolic_mmHg]]&lt;90),"Controlled",IF(OR(EHR[[#This Row],[BP_Systolic_mmHg]]="Not Recorded",EHR[[#This Row],[BP_Diastolic_mmHg]]="Not Recorded"),"No Reading","Uncontrolled"))</f>
        <v>Controlled</v>
      </c>
      <c r="AD306" s="2" t="str">
        <f>_xlfn.CONCAT(EHR[[#This Row],[BP_Systolic_mmHg]],"/",EHR[[#This Row],[BP_Diastolic_mmHg]])</f>
        <v>134/66</v>
      </c>
      <c r="AE306" s="2">
        <v>53</v>
      </c>
      <c r="AF306" s="2">
        <v>12</v>
      </c>
      <c r="AG306" s="2">
        <v>39.200000000000003</v>
      </c>
      <c r="AH306" s="2">
        <v>24.3</v>
      </c>
      <c r="AI306" s="2" t="str">
        <f>IF(EHR[[#This Row],[BMI_kg_m2]]&gt;=30,"Obese","Non-Obese")</f>
        <v>Non-Obese</v>
      </c>
      <c r="AJ306" s="2">
        <v>92</v>
      </c>
      <c r="AK306" s="2" t="s">
        <v>50</v>
      </c>
      <c r="AL306" s="2" t="s">
        <v>51</v>
      </c>
      <c r="AM306" s="2" t="s">
        <v>52</v>
      </c>
      <c r="AN306" s="2" t="s">
        <v>53</v>
      </c>
      <c r="AO306" s="2" t="s">
        <v>54</v>
      </c>
    </row>
    <row r="307" spans="1:41" x14ac:dyDescent="0.2">
      <c r="A307" s="7" t="s">
        <v>1131</v>
      </c>
      <c r="B307" s="3" t="s">
        <v>1136</v>
      </c>
      <c r="C307" s="14">
        <v>45733</v>
      </c>
      <c r="D307" s="3" t="s">
        <v>60</v>
      </c>
      <c r="E307" s="3" t="s">
        <v>37</v>
      </c>
      <c r="F307" s="3" t="s">
        <v>38</v>
      </c>
      <c r="G307" s="3" t="s">
        <v>98</v>
      </c>
      <c r="H307" s="14">
        <v>21496</v>
      </c>
      <c r="I307" s="3">
        <v>67</v>
      </c>
      <c r="J307" s="3" t="str" cm="1">
        <f t="array" ref="J30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07" s="3" t="s">
        <v>1572</v>
      </c>
      <c r="L307" s="3" t="s">
        <v>116</v>
      </c>
      <c r="M307" s="3" t="s">
        <v>141</v>
      </c>
      <c r="N307" s="3" t="s">
        <v>44</v>
      </c>
      <c r="O307" s="3" t="s">
        <v>81</v>
      </c>
      <c r="P307" s="3" t="s">
        <v>183</v>
      </c>
      <c r="Q307" s="3" t="str">
        <f>_xlfn.XLOOKUP(EHR[[#This Row],[Primary_ICD11_Code]],'03_ICD11_Reference'!A:A,'03_ICD11_Reference'!D:D,,0)</f>
        <v>Genitourinary</v>
      </c>
      <c r="R307" s="3" t="s">
        <v>184</v>
      </c>
      <c r="S307" s="3" t="s">
        <v>48</v>
      </c>
      <c r="T307" s="3" t="s">
        <v>1137</v>
      </c>
      <c r="U307" s="3">
        <v>2</v>
      </c>
      <c r="V307" s="3" t="str">
        <f>_xlfn.XLOOKUP(EHR[[#This Row],[Encounter_ID]],'02_Lab_Results'!B:B,'02_Lab_Results'!D:D,,0)</f>
        <v>2160-0</v>
      </c>
      <c r="W307" s="3" t="str">
        <f>_xlfn.XLOOKUP(EHR[[#This Row],[LOINC Code]],'04_LOINC_Reference'!A:A,'04_LOINC_Reference'!F:F,,0)</f>
        <v>Biochemistry</v>
      </c>
      <c r="X307" s="3" t="str">
        <f>_xlfn.XLOOKUP(EHR[[#This Row],[LOINC Code]],'02_Lab_Results'!D:D,'02_Lab_Results'!E:E,,0)</f>
        <v>Serum creatinine</v>
      </c>
      <c r="Y307" s="3" t="str">
        <f>_xlfn.XLOOKUP(EHR[[#This Row],[LOINC Code]],'02_Lab_Results'!D:D,'02_Lab_Results'!J:J,,0)</f>
        <v>Normal</v>
      </c>
      <c r="Z307" s="3" t="str" cm="1">
        <f t="array" ref="Z307">_xlfn.XLOOKUP(1,(B307=B$2:B$500)*(V$2:V$500="4548-4"),Y$2:Y$500,"Not Tested")</f>
        <v>Not Tested</v>
      </c>
      <c r="AA307" s="3">
        <v>160</v>
      </c>
      <c r="AB307" s="3">
        <v>79</v>
      </c>
      <c r="AC307" s="3" t="str">
        <f>IF(AND(EHR[[#This Row],[BP_Systolic_mmHg]]&lt;140,EHR[[#This Row],[BP_Diastolic_mmHg]]&lt;90),"Controlled",IF(OR(EHR[[#This Row],[BP_Systolic_mmHg]]="Not Recorded",EHR[[#This Row],[BP_Diastolic_mmHg]]="Not Recorded"),"No Reading","Uncontrolled"))</f>
        <v>Uncontrolled</v>
      </c>
      <c r="AD307" s="3" t="str">
        <f>_xlfn.CONCAT(EHR[[#This Row],[BP_Systolic_mmHg]],"/",EHR[[#This Row],[BP_Diastolic_mmHg]])</f>
        <v>160/79</v>
      </c>
      <c r="AE307" s="3">
        <v>66</v>
      </c>
      <c r="AF307" s="3">
        <v>22</v>
      </c>
      <c r="AG307" s="3">
        <v>37.700000000000003</v>
      </c>
      <c r="AH307" s="3">
        <v>44.3</v>
      </c>
      <c r="AI307" s="3" t="str">
        <f>IF(EHR[[#This Row],[BMI_kg_m2]]&gt;=30,"Obese","Non-Obese")</f>
        <v>Obese</v>
      </c>
      <c r="AJ307" s="3">
        <v>98</v>
      </c>
      <c r="AK307" s="3" t="s">
        <v>50</v>
      </c>
      <c r="AL307" s="3" t="s">
        <v>51</v>
      </c>
      <c r="AM307" s="3" t="s">
        <v>52</v>
      </c>
      <c r="AN307" s="3" t="s">
        <v>53</v>
      </c>
      <c r="AO307" s="3" t="s">
        <v>54</v>
      </c>
    </row>
    <row r="308" spans="1:41" x14ac:dyDescent="0.2">
      <c r="A308" s="6" t="s">
        <v>1131</v>
      </c>
      <c r="B308" s="2" t="s">
        <v>1138</v>
      </c>
      <c r="C308" s="13">
        <v>44946</v>
      </c>
      <c r="D308" s="2" t="s">
        <v>88</v>
      </c>
      <c r="E308" s="2" t="s">
        <v>37</v>
      </c>
      <c r="F308" s="2" t="s">
        <v>122</v>
      </c>
      <c r="G308" s="2" t="s">
        <v>63</v>
      </c>
      <c r="H308" s="13">
        <v>21496</v>
      </c>
      <c r="I308" s="2">
        <v>67</v>
      </c>
      <c r="J308" s="2" t="str" cm="1">
        <f t="array" ref="J30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08" s="2" t="s">
        <v>1572</v>
      </c>
      <c r="L308" s="2" t="s">
        <v>78</v>
      </c>
      <c r="M308" s="2" t="s">
        <v>141</v>
      </c>
      <c r="N308" s="2" t="s">
        <v>44</v>
      </c>
      <c r="O308" s="2" t="s">
        <v>81</v>
      </c>
      <c r="P308" s="2" t="s">
        <v>183</v>
      </c>
      <c r="Q308" s="2" t="str">
        <f>_xlfn.XLOOKUP(EHR[[#This Row],[Primary_ICD11_Code]],'03_ICD11_Reference'!A:A,'03_ICD11_Reference'!D:D,,0)</f>
        <v>Genitourinary</v>
      </c>
      <c r="R308" s="2" t="s">
        <v>184</v>
      </c>
      <c r="S308" s="2" t="s">
        <v>48</v>
      </c>
      <c r="T308" s="2" t="s">
        <v>1140</v>
      </c>
      <c r="U308" s="2">
        <v>3</v>
      </c>
      <c r="V308" s="2" t="str">
        <f>_xlfn.XLOOKUP(EHR[[#This Row],[Encounter_ID]],'02_Lab_Results'!B:B,'02_Lab_Results'!D:D,,0)</f>
        <v>718-7</v>
      </c>
      <c r="W308" s="2" t="str">
        <f>_xlfn.XLOOKUP(EHR[[#This Row],[LOINC Code]],'04_LOINC_Reference'!A:A,'04_LOINC_Reference'!F:F,,0)</f>
        <v>Biochemistry</v>
      </c>
      <c r="X308" s="2" t="str">
        <f>_xlfn.XLOOKUP(EHR[[#This Row],[LOINC Code]],'02_Lab_Results'!D:D,'02_Lab_Results'!E:E,,0)</f>
        <v>Haemoglobin</v>
      </c>
      <c r="Y308" s="2" t="str">
        <f>_xlfn.XLOOKUP(EHR[[#This Row],[LOINC Code]],'02_Lab_Results'!D:D,'02_Lab_Results'!J:J,,0)</f>
        <v>Normal</v>
      </c>
      <c r="Z308" s="2" t="str" cm="1">
        <f t="array" ref="Z308">_xlfn.XLOOKUP(1,(B308=B$2:B$500)*(V$2:V$500="4548-4"),Y$2:Y$500,"Not Tested")</f>
        <v>Not Tested</v>
      </c>
      <c r="AA308" s="2">
        <v>137</v>
      </c>
      <c r="AB308" s="2">
        <v>110</v>
      </c>
      <c r="AC308" s="2" t="str">
        <f>IF(AND(EHR[[#This Row],[BP_Systolic_mmHg]]&lt;140,EHR[[#This Row],[BP_Diastolic_mmHg]]&lt;90),"Controlled",IF(OR(EHR[[#This Row],[BP_Systolic_mmHg]]="Not Recorded",EHR[[#This Row],[BP_Diastolic_mmHg]]="Not Recorded"),"No Reading","Uncontrolled"))</f>
        <v>Uncontrolled</v>
      </c>
      <c r="AD308" s="2" t="str">
        <f>_xlfn.CONCAT(EHR[[#This Row],[BP_Systolic_mmHg]],"/",EHR[[#This Row],[BP_Diastolic_mmHg]])</f>
        <v>137/110</v>
      </c>
      <c r="AE308" s="2">
        <v>53</v>
      </c>
      <c r="AF308" s="2">
        <v>23</v>
      </c>
      <c r="AG308" s="2">
        <v>36.4</v>
      </c>
      <c r="AH308" s="2">
        <v>22.4</v>
      </c>
      <c r="AI308" s="2" t="str">
        <f>IF(EHR[[#This Row],[BMI_kg_m2]]&gt;=30,"Obese","Non-Obese")</f>
        <v>Non-Obese</v>
      </c>
      <c r="AJ308" s="2">
        <v>88</v>
      </c>
      <c r="AK308" s="2" t="s">
        <v>50</v>
      </c>
      <c r="AL308" s="2" t="s">
        <v>51</v>
      </c>
      <c r="AM308" s="2" t="s">
        <v>52</v>
      </c>
      <c r="AN308" s="2" t="s">
        <v>53</v>
      </c>
      <c r="AO308" s="2" t="s">
        <v>54</v>
      </c>
    </row>
    <row r="309" spans="1:41" x14ac:dyDescent="0.2">
      <c r="A309" s="7" t="s">
        <v>1141</v>
      </c>
      <c r="B309" s="3" t="s">
        <v>1142</v>
      </c>
      <c r="C309" s="14">
        <v>45516</v>
      </c>
      <c r="D309" s="3" t="s">
        <v>36</v>
      </c>
      <c r="E309" s="3" t="s">
        <v>89</v>
      </c>
      <c r="F309" s="3" t="s">
        <v>38</v>
      </c>
      <c r="G309" s="3" t="s">
        <v>98</v>
      </c>
      <c r="H309" s="14">
        <v>36264</v>
      </c>
      <c r="I309" s="3">
        <v>26</v>
      </c>
      <c r="J309" s="3" t="str" cm="1">
        <f t="array" ref="J30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09" s="3" t="s">
        <v>1572</v>
      </c>
      <c r="L309" s="3" t="s">
        <v>140</v>
      </c>
      <c r="M309" s="3" t="s">
        <v>141</v>
      </c>
      <c r="N309" s="3" t="s">
        <v>125</v>
      </c>
      <c r="O309" s="3" t="s">
        <v>45</v>
      </c>
      <c r="P309" s="3" t="s">
        <v>67</v>
      </c>
      <c r="Q309" s="3" t="str">
        <f>_xlfn.XLOOKUP(EHR[[#This Row],[Primary_ICD11_Code]],'03_ICD11_Reference'!A:A,'03_ICD11_Reference'!D:D,,0)</f>
        <v>Endocrine</v>
      </c>
      <c r="R309" s="3" t="s">
        <v>68</v>
      </c>
      <c r="S309" s="3" t="s">
        <v>69</v>
      </c>
      <c r="T309" s="3" t="s">
        <v>1144</v>
      </c>
      <c r="U309" s="3">
        <v>3</v>
      </c>
      <c r="V309" s="3" t="str">
        <f>_xlfn.XLOOKUP(EHR[[#This Row],[Encounter_ID]],'02_Lab_Results'!B:B,'02_Lab_Results'!D:D,,0)</f>
        <v>6768-6</v>
      </c>
      <c r="W309" s="3" t="str">
        <f>_xlfn.XLOOKUP(EHR[[#This Row],[LOINC Code]],'04_LOINC_Reference'!A:A,'04_LOINC_Reference'!F:F,,0)</f>
        <v>Biochemistry</v>
      </c>
      <c r="X309" s="3" t="str">
        <f>_xlfn.XLOOKUP(EHR[[#This Row],[LOINC Code]],'02_Lab_Results'!D:D,'02_Lab_Results'!E:E,,0)</f>
        <v>ALP</v>
      </c>
      <c r="Y309" s="3" t="str">
        <f>_xlfn.XLOOKUP(EHR[[#This Row],[LOINC Code]],'02_Lab_Results'!D:D,'02_Lab_Results'!J:J,,0)</f>
        <v>High</v>
      </c>
      <c r="Z309" s="3" t="str" cm="1">
        <f t="array" ref="Z309">_xlfn.XLOOKUP(1,(B309=B$2:B$500)*(V$2:V$500="4548-4"),Y$2:Y$500,"Not Tested")</f>
        <v>Not Tested</v>
      </c>
      <c r="AA309" s="3">
        <v>144</v>
      </c>
      <c r="AB309" s="3">
        <v>74</v>
      </c>
      <c r="AC309" s="3" t="str">
        <f>IF(AND(EHR[[#This Row],[BP_Systolic_mmHg]]&lt;140,EHR[[#This Row],[BP_Diastolic_mmHg]]&lt;90),"Controlled",IF(OR(EHR[[#This Row],[BP_Systolic_mmHg]]="Not Recorded",EHR[[#This Row],[BP_Diastolic_mmHg]]="Not Recorded"),"No Reading","Uncontrolled"))</f>
        <v>Uncontrolled</v>
      </c>
      <c r="AD309" s="3" t="str">
        <f>_xlfn.CONCAT(EHR[[#This Row],[BP_Systolic_mmHg]],"/",EHR[[#This Row],[BP_Diastolic_mmHg]])</f>
        <v>144/74</v>
      </c>
      <c r="AE309" s="3">
        <v>122</v>
      </c>
      <c r="AF309" s="3">
        <v>15</v>
      </c>
      <c r="AG309" s="3">
        <v>36.1</v>
      </c>
      <c r="AH309" s="3">
        <v>22.4</v>
      </c>
      <c r="AI309" s="3" t="str">
        <f>IF(EHR[[#This Row],[BMI_kg_m2]]&gt;=30,"Obese","Non-Obese")</f>
        <v>Non-Obese</v>
      </c>
      <c r="AJ309" s="3">
        <v>88</v>
      </c>
      <c r="AK309" s="3" t="s">
        <v>50</v>
      </c>
      <c r="AL309" s="3" t="s">
        <v>51</v>
      </c>
      <c r="AM309" s="3" t="s">
        <v>52</v>
      </c>
      <c r="AN309" s="3" t="s">
        <v>53</v>
      </c>
      <c r="AO309" s="3" t="s">
        <v>54</v>
      </c>
    </row>
    <row r="310" spans="1:41" x14ac:dyDescent="0.2">
      <c r="A310" s="6" t="s">
        <v>1141</v>
      </c>
      <c r="B310" s="2" t="s">
        <v>1145</v>
      </c>
      <c r="C310" s="13">
        <v>45522</v>
      </c>
      <c r="D310" s="2" t="s">
        <v>103</v>
      </c>
      <c r="E310" s="2" t="s">
        <v>37</v>
      </c>
      <c r="F310" s="2" t="s">
        <v>97</v>
      </c>
      <c r="G310" s="2" t="s">
        <v>104</v>
      </c>
      <c r="H310" s="13">
        <v>36264</v>
      </c>
      <c r="I310" s="2">
        <v>26</v>
      </c>
      <c r="J310" s="2" t="str" cm="1">
        <f t="array" ref="J31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10" s="2" t="s">
        <v>1572</v>
      </c>
      <c r="L310" s="2" t="s">
        <v>78</v>
      </c>
      <c r="M310" s="2" t="s">
        <v>141</v>
      </c>
      <c r="N310" s="2" t="s">
        <v>125</v>
      </c>
      <c r="O310" s="2" t="s">
        <v>45</v>
      </c>
      <c r="P310" s="2" t="s">
        <v>67</v>
      </c>
      <c r="Q310" s="2" t="str">
        <f>_xlfn.XLOOKUP(EHR[[#This Row],[Primary_ICD11_Code]],'03_ICD11_Reference'!A:A,'03_ICD11_Reference'!D:D,,0)</f>
        <v>Endocrine</v>
      </c>
      <c r="R310" s="2" t="s">
        <v>68</v>
      </c>
      <c r="S310" s="2" t="s">
        <v>69</v>
      </c>
      <c r="T310" s="2" t="s">
        <v>163</v>
      </c>
      <c r="U310" s="2">
        <v>1</v>
      </c>
      <c r="V310" s="2" t="str">
        <f>_xlfn.XLOOKUP(EHR[[#This Row],[Encounter_ID]],'02_Lab_Results'!B:B,'02_Lab_Results'!D:D,,0)</f>
        <v>4548-4</v>
      </c>
      <c r="W310" s="2" t="str">
        <f>_xlfn.XLOOKUP(EHR[[#This Row],[LOINC Code]],'04_LOINC_Reference'!A:A,'04_LOINC_Reference'!F:F,,0)</f>
        <v>Biochemistry</v>
      </c>
      <c r="X310" s="2" t="str">
        <f>_xlfn.XLOOKUP(EHR[[#This Row],[LOINC Code]],'02_Lab_Results'!D:D,'02_Lab_Results'!E:E,,0)</f>
        <v>HbA1c</v>
      </c>
      <c r="Y310" s="2" t="str">
        <f>_xlfn.XLOOKUP(EHR[[#This Row],[LOINC Code]],'02_Lab_Results'!D:D,'02_Lab_Results'!J:J,,0)</f>
        <v>High</v>
      </c>
      <c r="Z310" s="2" t="str" cm="1">
        <f t="array" ref="Z310">_xlfn.XLOOKUP(1,(B310=B$2:B$500)*(V$2:V$500="4548-4"),Y$2:Y$500,"Not Tested")</f>
        <v>High</v>
      </c>
      <c r="AA310" s="2">
        <v>99</v>
      </c>
      <c r="AB310" s="2">
        <v>61</v>
      </c>
      <c r="AC310" s="2" t="str">
        <f>IF(AND(EHR[[#This Row],[BP_Systolic_mmHg]]&lt;140,EHR[[#This Row],[BP_Diastolic_mmHg]]&lt;90),"Controlled",IF(OR(EHR[[#This Row],[BP_Systolic_mmHg]]="Not Recorded",EHR[[#This Row],[BP_Diastolic_mmHg]]="Not Recorded"),"No Reading","Uncontrolled"))</f>
        <v>Controlled</v>
      </c>
      <c r="AD310" s="2" t="str">
        <f>_xlfn.CONCAT(EHR[[#This Row],[BP_Systolic_mmHg]],"/",EHR[[#This Row],[BP_Diastolic_mmHg]])</f>
        <v>99/61</v>
      </c>
      <c r="AE310" s="2">
        <v>114</v>
      </c>
      <c r="AF310" s="2">
        <v>22</v>
      </c>
      <c r="AG310" s="2">
        <v>38.5</v>
      </c>
      <c r="AH310" s="2">
        <v>17.899999999999999</v>
      </c>
      <c r="AI310" s="2" t="str">
        <f>IF(EHR[[#This Row],[BMI_kg_m2]]&gt;=30,"Obese","Non-Obese")</f>
        <v>Non-Obese</v>
      </c>
      <c r="AJ310" s="2">
        <v>93</v>
      </c>
      <c r="AK310" s="2" t="s">
        <v>50</v>
      </c>
      <c r="AL310" s="2" t="s">
        <v>51</v>
      </c>
      <c r="AM310" s="2" t="s">
        <v>52</v>
      </c>
      <c r="AN310" s="2" t="s">
        <v>53</v>
      </c>
      <c r="AO310" s="2" t="s">
        <v>54</v>
      </c>
    </row>
    <row r="311" spans="1:41" x14ac:dyDescent="0.2">
      <c r="A311" s="7" t="s">
        <v>1141</v>
      </c>
      <c r="B311" s="3" t="s">
        <v>1147</v>
      </c>
      <c r="C311" s="14">
        <v>45637</v>
      </c>
      <c r="D311" s="3" t="s">
        <v>88</v>
      </c>
      <c r="E311" s="3" t="s">
        <v>61</v>
      </c>
      <c r="F311" s="3" t="s">
        <v>219</v>
      </c>
      <c r="G311" s="3" t="s">
        <v>63</v>
      </c>
      <c r="H311" s="14">
        <v>36264</v>
      </c>
      <c r="I311" s="3">
        <v>26</v>
      </c>
      <c r="J311" s="3" t="str" cm="1">
        <f t="array" ref="J31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11" s="3" t="s">
        <v>1572</v>
      </c>
      <c r="L311" s="3" t="s">
        <v>116</v>
      </c>
      <c r="M311" s="3" t="s">
        <v>141</v>
      </c>
      <c r="N311" s="3" t="s">
        <v>125</v>
      </c>
      <c r="O311" s="3" t="s">
        <v>45</v>
      </c>
      <c r="P311" s="3" t="s">
        <v>67</v>
      </c>
      <c r="Q311" s="3" t="str">
        <f>_xlfn.XLOOKUP(EHR[[#This Row],[Primary_ICD11_Code]],'03_ICD11_Reference'!A:A,'03_ICD11_Reference'!D:D,,0)</f>
        <v>Endocrine</v>
      </c>
      <c r="R311" s="3" t="s">
        <v>68</v>
      </c>
      <c r="S311" s="3" t="s">
        <v>69</v>
      </c>
      <c r="T311" s="3" t="s">
        <v>1149</v>
      </c>
      <c r="U311" s="3">
        <v>2</v>
      </c>
      <c r="V311" s="3" t="str">
        <f>_xlfn.XLOOKUP(EHR[[#This Row],[Encounter_ID]],'02_Lab_Results'!B:B,'02_Lab_Results'!D:D,,0)</f>
        <v>2777-1</v>
      </c>
      <c r="W311" s="3" t="str">
        <f>_xlfn.XLOOKUP(EHR[[#This Row],[LOINC Code]],'04_LOINC_Reference'!A:A,'04_LOINC_Reference'!F:F,,0)</f>
        <v>Biochemistry</v>
      </c>
      <c r="X311" s="3" t="str">
        <f>_xlfn.XLOOKUP(EHR[[#This Row],[LOINC Code]],'02_Lab_Results'!D:D,'02_Lab_Results'!E:E,,0)</f>
        <v>Serum phosphate</v>
      </c>
      <c r="Y311" s="3" t="str">
        <f>_xlfn.XLOOKUP(EHR[[#This Row],[LOINC Code]],'02_Lab_Results'!D:D,'02_Lab_Results'!J:J,,0)</f>
        <v>Normal</v>
      </c>
      <c r="Z311" s="3" t="str" cm="1">
        <f t="array" ref="Z311">_xlfn.XLOOKUP(1,(B311=B$2:B$500)*(V$2:V$500="4548-4"),Y$2:Y$500,"Not Tested")</f>
        <v>Not Tested</v>
      </c>
      <c r="AA311" s="3">
        <v>168</v>
      </c>
      <c r="AB311" s="3">
        <v>101</v>
      </c>
      <c r="AC311" s="3" t="str">
        <f>IF(AND(EHR[[#This Row],[BP_Systolic_mmHg]]&lt;140,EHR[[#This Row],[BP_Diastolic_mmHg]]&lt;90),"Controlled",IF(OR(EHR[[#This Row],[BP_Systolic_mmHg]]="Not Recorded",EHR[[#This Row],[BP_Diastolic_mmHg]]="Not Recorded"),"No Reading","Uncontrolled"))</f>
        <v>Uncontrolled</v>
      </c>
      <c r="AD311" s="3" t="str">
        <f>_xlfn.CONCAT(EHR[[#This Row],[BP_Systolic_mmHg]],"/",EHR[[#This Row],[BP_Diastolic_mmHg]])</f>
        <v>168/101</v>
      </c>
      <c r="AE311" s="3">
        <v>102</v>
      </c>
      <c r="AF311" s="3">
        <v>15</v>
      </c>
      <c r="AG311" s="3">
        <v>38</v>
      </c>
      <c r="AH311" s="3">
        <v>32.4</v>
      </c>
      <c r="AI311" s="3" t="str">
        <f>IF(EHR[[#This Row],[BMI_kg_m2]]&gt;=30,"Obese","Non-Obese")</f>
        <v>Obese</v>
      </c>
      <c r="AJ311" s="3">
        <v>92</v>
      </c>
      <c r="AK311" s="3" t="s">
        <v>50</v>
      </c>
      <c r="AL311" s="3" t="s">
        <v>51</v>
      </c>
      <c r="AM311" s="3" t="s">
        <v>52</v>
      </c>
      <c r="AN311" s="3" t="s">
        <v>53</v>
      </c>
      <c r="AO311" s="3" t="s">
        <v>54</v>
      </c>
    </row>
    <row r="312" spans="1:41" x14ac:dyDescent="0.2">
      <c r="A312" s="6" t="s">
        <v>1141</v>
      </c>
      <c r="B312" s="2" t="s">
        <v>1150</v>
      </c>
      <c r="C312" s="13">
        <v>45728</v>
      </c>
      <c r="D312" s="2" t="s">
        <v>36</v>
      </c>
      <c r="E312" s="2" t="s">
        <v>37</v>
      </c>
      <c r="F312" s="2" t="s">
        <v>189</v>
      </c>
      <c r="G312" s="2" t="s">
        <v>63</v>
      </c>
      <c r="H312" s="13">
        <v>36264</v>
      </c>
      <c r="I312" s="2">
        <v>26</v>
      </c>
      <c r="J312" s="2" t="str" cm="1">
        <f t="array" ref="J31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12" s="2" t="s">
        <v>1572</v>
      </c>
      <c r="L312" s="2" t="s">
        <v>66</v>
      </c>
      <c r="M312" s="2" t="s">
        <v>141</v>
      </c>
      <c r="N312" s="2" t="s">
        <v>125</v>
      </c>
      <c r="O312" s="2" t="s">
        <v>45</v>
      </c>
      <c r="P312" s="2" t="s">
        <v>67</v>
      </c>
      <c r="Q312" s="2" t="str">
        <f>_xlfn.XLOOKUP(EHR[[#This Row],[Primary_ICD11_Code]],'03_ICD11_Reference'!A:A,'03_ICD11_Reference'!D:D,,0)</f>
        <v>Endocrine</v>
      </c>
      <c r="R312" s="2" t="s">
        <v>68</v>
      </c>
      <c r="S312" s="2" t="s">
        <v>69</v>
      </c>
      <c r="T312" s="2" t="s">
        <v>722</v>
      </c>
      <c r="U312" s="2">
        <v>2</v>
      </c>
      <c r="V312" s="2" t="str">
        <f>_xlfn.XLOOKUP(EHR[[#This Row],[Encounter_ID]],'02_Lab_Results'!B:B,'02_Lab_Results'!D:D,,0)</f>
        <v>2823-3</v>
      </c>
      <c r="W312" s="2" t="str">
        <f>_xlfn.XLOOKUP(EHR[[#This Row],[LOINC Code]],'04_LOINC_Reference'!A:A,'04_LOINC_Reference'!F:F,,0)</f>
        <v>Biochemistry</v>
      </c>
      <c r="X312" s="2" t="str">
        <f>_xlfn.XLOOKUP(EHR[[#This Row],[LOINC Code]],'02_Lab_Results'!D:D,'02_Lab_Results'!E:E,,0)</f>
        <v>Serum potassium</v>
      </c>
      <c r="Y312" s="2" t="str">
        <f>_xlfn.XLOOKUP(EHR[[#This Row],[LOINC Code]],'02_Lab_Results'!D:D,'02_Lab_Results'!J:J,,0)</f>
        <v>Normal</v>
      </c>
      <c r="Z312" s="2" t="str" cm="1">
        <f t="array" ref="Z312">_xlfn.XLOOKUP(1,(B312=B$2:B$500)*(V$2:V$500="4548-4"),Y$2:Y$500,"Not Tested")</f>
        <v>Not Tested</v>
      </c>
      <c r="AA312" s="2">
        <v>122</v>
      </c>
      <c r="AB312" s="2">
        <v>80</v>
      </c>
      <c r="AC312" s="2" t="str">
        <f>IF(AND(EHR[[#This Row],[BP_Systolic_mmHg]]&lt;140,EHR[[#This Row],[BP_Diastolic_mmHg]]&lt;90),"Controlled",IF(OR(EHR[[#This Row],[BP_Systolic_mmHg]]="Not Recorded",EHR[[#This Row],[BP_Diastolic_mmHg]]="Not Recorded"),"No Reading","Uncontrolled"))</f>
        <v>Controlled</v>
      </c>
      <c r="AD312" s="2" t="str">
        <f>_xlfn.CONCAT(EHR[[#This Row],[BP_Systolic_mmHg]],"/",EHR[[#This Row],[BP_Diastolic_mmHg]])</f>
        <v>122/80</v>
      </c>
      <c r="AE312" s="2">
        <v>92</v>
      </c>
      <c r="AF312" s="2">
        <v>15</v>
      </c>
      <c r="AG312" s="2">
        <v>39.200000000000003</v>
      </c>
      <c r="AH312" s="2">
        <v>45.3</v>
      </c>
      <c r="AI312" s="2" t="str">
        <f>IF(EHR[[#This Row],[BMI_kg_m2]]&gt;=30,"Obese","Non-Obese")</f>
        <v>Obese</v>
      </c>
      <c r="AJ312" s="2">
        <v>95</v>
      </c>
      <c r="AK312" s="2" t="s">
        <v>50</v>
      </c>
      <c r="AL312" s="2" t="s">
        <v>51</v>
      </c>
      <c r="AM312" s="2" t="s">
        <v>52</v>
      </c>
      <c r="AN312" s="2" t="s">
        <v>53</v>
      </c>
      <c r="AO312" s="2" t="s">
        <v>54</v>
      </c>
    </row>
    <row r="313" spans="1:41" x14ac:dyDescent="0.2">
      <c r="A313" s="7" t="s">
        <v>1141</v>
      </c>
      <c r="B313" s="3" t="s">
        <v>1152</v>
      </c>
      <c r="C313" s="14">
        <v>45079</v>
      </c>
      <c r="D313" s="3" t="s">
        <v>36</v>
      </c>
      <c r="E313" s="3" t="s">
        <v>89</v>
      </c>
      <c r="F313" s="3" t="s">
        <v>219</v>
      </c>
      <c r="G313" s="3" t="s">
        <v>123</v>
      </c>
      <c r="H313" s="14">
        <v>36264</v>
      </c>
      <c r="I313" s="3">
        <v>26</v>
      </c>
      <c r="J313" s="3" t="str" cm="1">
        <f t="array" ref="J31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13" s="3" t="s">
        <v>1572</v>
      </c>
      <c r="L313" s="3" t="s">
        <v>110</v>
      </c>
      <c r="M313" s="3" t="s">
        <v>141</v>
      </c>
      <c r="N313" s="3" t="s">
        <v>125</v>
      </c>
      <c r="O313" s="3" t="s">
        <v>45</v>
      </c>
      <c r="P313" s="3" t="s">
        <v>67</v>
      </c>
      <c r="Q313" s="3" t="str">
        <f>_xlfn.XLOOKUP(EHR[[#This Row],[Primary_ICD11_Code]],'03_ICD11_Reference'!A:A,'03_ICD11_Reference'!D:D,,0)</f>
        <v>Endocrine</v>
      </c>
      <c r="R313" s="3" t="s">
        <v>68</v>
      </c>
      <c r="S313" s="3" t="s">
        <v>69</v>
      </c>
      <c r="T313" s="3" t="s">
        <v>1154</v>
      </c>
      <c r="U313" s="3">
        <v>3</v>
      </c>
      <c r="V313" s="3" t="str">
        <f>_xlfn.XLOOKUP(EHR[[#This Row],[Encounter_ID]],'02_Lab_Results'!B:B,'02_Lab_Results'!D:D,,0)</f>
        <v>4548-4</v>
      </c>
      <c r="W313" s="3" t="str">
        <f>_xlfn.XLOOKUP(EHR[[#This Row],[LOINC Code]],'04_LOINC_Reference'!A:A,'04_LOINC_Reference'!F:F,,0)</f>
        <v>Biochemistry</v>
      </c>
      <c r="X313" s="3" t="str">
        <f>_xlfn.XLOOKUP(EHR[[#This Row],[LOINC Code]],'02_Lab_Results'!D:D,'02_Lab_Results'!E:E,,0)</f>
        <v>HbA1c</v>
      </c>
      <c r="Y313" s="3" t="str">
        <f>_xlfn.XLOOKUP(EHR[[#This Row],[LOINC Code]],'02_Lab_Results'!D:D,'02_Lab_Results'!J:J,,0)</f>
        <v>High</v>
      </c>
      <c r="Z313" s="3" t="str" cm="1">
        <f t="array" ref="Z313">_xlfn.XLOOKUP(1,(B313=B$2:B$500)*(V$2:V$500="4548-4"),Y$2:Y$500,"Not Tested")</f>
        <v>High</v>
      </c>
      <c r="AA313" s="3">
        <v>157</v>
      </c>
      <c r="AB313" s="3">
        <v>113</v>
      </c>
      <c r="AC313" s="3" t="str">
        <f>IF(AND(EHR[[#This Row],[BP_Systolic_mmHg]]&lt;140,EHR[[#This Row],[BP_Diastolic_mmHg]]&lt;90),"Controlled",IF(OR(EHR[[#This Row],[BP_Systolic_mmHg]]="Not Recorded",EHR[[#This Row],[BP_Diastolic_mmHg]]="Not Recorded"),"No Reading","Uncontrolled"))</f>
        <v>Uncontrolled</v>
      </c>
      <c r="AD313" s="3" t="str">
        <f>_xlfn.CONCAT(EHR[[#This Row],[BP_Systolic_mmHg]],"/",EHR[[#This Row],[BP_Diastolic_mmHg]])</f>
        <v>157/113</v>
      </c>
      <c r="AE313" s="3">
        <v>86</v>
      </c>
      <c r="AF313" s="3">
        <v>15</v>
      </c>
      <c r="AG313" s="3">
        <v>38.1</v>
      </c>
      <c r="AH313" s="3">
        <v>18.7</v>
      </c>
      <c r="AI313" s="3" t="str">
        <f>IF(EHR[[#This Row],[BMI_kg_m2]]&gt;=30,"Obese","Non-Obese")</f>
        <v>Non-Obese</v>
      </c>
      <c r="AJ313" s="3">
        <v>95</v>
      </c>
      <c r="AK313" s="3" t="s">
        <v>50</v>
      </c>
      <c r="AL313" s="3" t="s">
        <v>51</v>
      </c>
      <c r="AM313" s="3" t="s">
        <v>52</v>
      </c>
      <c r="AN313" s="3" t="s">
        <v>53</v>
      </c>
      <c r="AO313" s="3" t="s">
        <v>54</v>
      </c>
    </row>
    <row r="314" spans="1:41" x14ac:dyDescent="0.2">
      <c r="A314" s="6" t="s">
        <v>1141</v>
      </c>
      <c r="B314" s="2" t="s">
        <v>1155</v>
      </c>
      <c r="C314" s="13">
        <v>45685</v>
      </c>
      <c r="D314" s="2" t="s">
        <v>103</v>
      </c>
      <c r="E314" s="2" t="s">
        <v>167</v>
      </c>
      <c r="F314" s="2" t="s">
        <v>189</v>
      </c>
      <c r="G314" s="2" t="s">
        <v>63</v>
      </c>
      <c r="H314" s="13">
        <v>36264</v>
      </c>
      <c r="I314" s="2">
        <v>26</v>
      </c>
      <c r="J314" s="2" t="str" cm="1">
        <f t="array" ref="J31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14" s="2" t="s">
        <v>1572</v>
      </c>
      <c r="L314" s="2" t="s">
        <v>42</v>
      </c>
      <c r="M314" s="2" t="s">
        <v>141</v>
      </c>
      <c r="N314" s="2" t="s">
        <v>125</v>
      </c>
      <c r="O314" s="2" t="s">
        <v>45</v>
      </c>
      <c r="P314" s="2" t="s">
        <v>67</v>
      </c>
      <c r="Q314" s="2" t="str">
        <f>_xlfn.XLOOKUP(EHR[[#This Row],[Primary_ICD11_Code]],'03_ICD11_Reference'!A:A,'03_ICD11_Reference'!D:D,,0)</f>
        <v>Endocrine</v>
      </c>
      <c r="R314" s="2" t="s">
        <v>68</v>
      </c>
      <c r="S314" s="2" t="s">
        <v>69</v>
      </c>
      <c r="T314" s="2" t="s">
        <v>1157</v>
      </c>
      <c r="U314" s="2">
        <v>4</v>
      </c>
      <c r="V314" s="2" t="str">
        <f>_xlfn.XLOOKUP(EHR[[#This Row],[Encounter_ID]],'02_Lab_Results'!B:B,'02_Lab_Results'!D:D,,0)</f>
        <v>2085-9</v>
      </c>
      <c r="W314" s="2" t="str">
        <f>_xlfn.XLOOKUP(EHR[[#This Row],[LOINC Code]],'04_LOINC_Reference'!A:A,'04_LOINC_Reference'!F:F,,0)</f>
        <v>Biochemistry</v>
      </c>
      <c r="X314" s="2" t="str">
        <f>_xlfn.XLOOKUP(EHR[[#This Row],[LOINC Code]],'02_Lab_Results'!D:D,'02_Lab_Results'!E:E,,0)</f>
        <v>HDL cholesterol</v>
      </c>
      <c r="Y314" s="2" t="str">
        <f>_xlfn.XLOOKUP(EHR[[#This Row],[LOINC Code]],'02_Lab_Results'!D:D,'02_Lab_Results'!J:J,,0)</f>
        <v>Normal</v>
      </c>
      <c r="Z314" s="2" t="str" cm="1">
        <f t="array" ref="Z314">_xlfn.XLOOKUP(1,(B314=B$2:B$500)*(V$2:V$500="4548-4"),Y$2:Y$500,"Not Tested")</f>
        <v>Not Tested</v>
      </c>
      <c r="AA314" s="2">
        <v>100</v>
      </c>
      <c r="AB314" s="2">
        <v>87</v>
      </c>
      <c r="AC314" s="2" t="str">
        <f>IF(AND(EHR[[#This Row],[BP_Systolic_mmHg]]&lt;140,EHR[[#This Row],[BP_Diastolic_mmHg]]&lt;90),"Controlled",IF(OR(EHR[[#This Row],[BP_Systolic_mmHg]]="Not Recorded",EHR[[#This Row],[BP_Diastolic_mmHg]]="Not Recorded"),"No Reading","Uncontrolled"))</f>
        <v>Controlled</v>
      </c>
      <c r="AD314" s="2" t="str">
        <f>_xlfn.CONCAT(EHR[[#This Row],[BP_Systolic_mmHg]],"/",EHR[[#This Row],[BP_Diastolic_mmHg]])</f>
        <v>100/87</v>
      </c>
      <c r="AE314" s="2">
        <v>62</v>
      </c>
      <c r="AF314" s="2">
        <v>12</v>
      </c>
      <c r="AG314" s="2">
        <v>37.6</v>
      </c>
      <c r="AH314" s="2">
        <v>19.5</v>
      </c>
      <c r="AI314" s="2" t="str">
        <f>IF(EHR[[#This Row],[BMI_kg_m2]]&gt;=30,"Obese","Non-Obese")</f>
        <v>Non-Obese</v>
      </c>
      <c r="AJ314" s="2">
        <v>90</v>
      </c>
      <c r="AK314" s="2" t="s">
        <v>50</v>
      </c>
      <c r="AL314" s="2" t="s">
        <v>51</v>
      </c>
      <c r="AM314" s="2" t="s">
        <v>52</v>
      </c>
      <c r="AN314" s="2" t="s">
        <v>53</v>
      </c>
      <c r="AO314" s="2" t="s">
        <v>54</v>
      </c>
    </row>
    <row r="315" spans="1:41" x14ac:dyDescent="0.2">
      <c r="A315" s="7" t="s">
        <v>1158</v>
      </c>
      <c r="B315" s="3" t="s">
        <v>1159</v>
      </c>
      <c r="C315" s="14">
        <v>45423</v>
      </c>
      <c r="D315" s="3" t="s">
        <v>103</v>
      </c>
      <c r="E315" s="3" t="s">
        <v>167</v>
      </c>
      <c r="F315" s="3" t="s">
        <v>38</v>
      </c>
      <c r="G315" s="3" t="s">
        <v>123</v>
      </c>
      <c r="H315" s="14">
        <v>34813</v>
      </c>
      <c r="I315" s="3">
        <v>30</v>
      </c>
      <c r="J315" s="3" t="str" cm="1">
        <f t="array" ref="J31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15" s="3" t="s">
        <v>1572</v>
      </c>
      <c r="L315" s="3" t="s">
        <v>116</v>
      </c>
      <c r="M315" s="3" t="s">
        <v>141</v>
      </c>
      <c r="N315" s="3" t="s">
        <v>80</v>
      </c>
      <c r="O315" s="3" t="s">
        <v>45</v>
      </c>
      <c r="P315" s="3" t="s">
        <v>126</v>
      </c>
      <c r="Q315" s="3" t="str">
        <f>_xlfn.XLOOKUP(EHR[[#This Row],[Primary_ICD11_Code]],'03_ICD11_Reference'!A:A,'03_ICD11_Reference'!D:D,,0)</f>
        <v>Neurological</v>
      </c>
      <c r="R315" s="3" t="s">
        <v>127</v>
      </c>
      <c r="S315" s="3" t="s">
        <v>69</v>
      </c>
      <c r="T315" s="3" t="s">
        <v>1162</v>
      </c>
      <c r="U315" s="3">
        <v>2</v>
      </c>
      <c r="V315" s="3" t="str">
        <f>_xlfn.XLOOKUP(EHR[[#This Row],[Encounter_ID]],'02_Lab_Results'!B:B,'02_Lab_Results'!D:D,,0)</f>
        <v>2085-9</v>
      </c>
      <c r="W315" s="3" t="str">
        <f>_xlfn.XLOOKUP(EHR[[#This Row],[LOINC Code]],'04_LOINC_Reference'!A:A,'04_LOINC_Reference'!F:F,,0)</f>
        <v>Biochemistry</v>
      </c>
      <c r="X315" s="3" t="str">
        <f>_xlfn.XLOOKUP(EHR[[#This Row],[LOINC Code]],'02_Lab_Results'!D:D,'02_Lab_Results'!E:E,,0)</f>
        <v>HDL cholesterol</v>
      </c>
      <c r="Y315" s="3" t="str">
        <f>_xlfn.XLOOKUP(EHR[[#This Row],[LOINC Code]],'02_Lab_Results'!D:D,'02_Lab_Results'!J:J,,0)</f>
        <v>Normal</v>
      </c>
      <c r="Z315" s="3" t="str" cm="1">
        <f t="array" ref="Z315">_xlfn.XLOOKUP(1,(B315=B$2:B$500)*(V$2:V$500="4548-4"),Y$2:Y$500,"Not Tested")</f>
        <v>Not Tested</v>
      </c>
      <c r="AA315" s="3">
        <v>100</v>
      </c>
      <c r="AB315" s="3">
        <v>81</v>
      </c>
      <c r="AC315" s="3" t="str">
        <f>IF(AND(EHR[[#This Row],[BP_Systolic_mmHg]]&lt;140,EHR[[#This Row],[BP_Diastolic_mmHg]]&lt;90),"Controlled",IF(OR(EHR[[#This Row],[BP_Systolic_mmHg]]="Not Recorded",EHR[[#This Row],[BP_Diastolic_mmHg]]="Not Recorded"),"No Reading","Uncontrolled"))</f>
        <v>Controlled</v>
      </c>
      <c r="AD315" s="3" t="str">
        <f>_xlfn.CONCAT(EHR[[#This Row],[BP_Systolic_mmHg]],"/",EHR[[#This Row],[BP_Diastolic_mmHg]])</f>
        <v>100/81</v>
      </c>
      <c r="AE315" s="3">
        <v>66</v>
      </c>
      <c r="AF315" s="3">
        <v>22</v>
      </c>
      <c r="AG315" s="3">
        <v>36.6</v>
      </c>
      <c r="AH315" s="3">
        <v>28.1</v>
      </c>
      <c r="AI315" s="3" t="str">
        <f>IF(EHR[[#This Row],[BMI_kg_m2]]&gt;=30,"Obese","Non-Obese")</f>
        <v>Non-Obese</v>
      </c>
      <c r="AJ315" s="3">
        <v>93</v>
      </c>
      <c r="AK315" s="3" t="s">
        <v>50</v>
      </c>
      <c r="AL315" s="3" t="s">
        <v>51</v>
      </c>
      <c r="AM315" s="3" t="s">
        <v>52</v>
      </c>
      <c r="AN315" s="3" t="s">
        <v>53</v>
      </c>
      <c r="AO315" s="3" t="s">
        <v>54</v>
      </c>
    </row>
    <row r="316" spans="1:41" x14ac:dyDescent="0.2">
      <c r="A316" s="6" t="s">
        <v>1158</v>
      </c>
      <c r="B316" s="2" t="s">
        <v>1163</v>
      </c>
      <c r="C316" s="13">
        <v>45509</v>
      </c>
      <c r="D316" s="2" t="s">
        <v>88</v>
      </c>
      <c r="E316" s="2" t="s">
        <v>89</v>
      </c>
      <c r="F316" s="2" t="s">
        <v>189</v>
      </c>
      <c r="G316" s="2" t="s">
        <v>63</v>
      </c>
      <c r="H316" s="13">
        <v>34813</v>
      </c>
      <c r="I316" s="2">
        <v>30</v>
      </c>
      <c r="J316" s="2" t="str" cm="1">
        <f t="array" ref="J31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16" s="2" t="s">
        <v>1572</v>
      </c>
      <c r="L316" s="2" t="s">
        <v>78</v>
      </c>
      <c r="M316" s="2" t="s">
        <v>141</v>
      </c>
      <c r="N316" s="2" t="s">
        <v>80</v>
      </c>
      <c r="O316" s="2" t="s">
        <v>45</v>
      </c>
      <c r="P316" s="2" t="s">
        <v>126</v>
      </c>
      <c r="Q316" s="2" t="str">
        <f>_xlfn.XLOOKUP(EHR[[#This Row],[Primary_ICD11_Code]],'03_ICD11_Reference'!A:A,'03_ICD11_Reference'!D:D,,0)</f>
        <v>Neurological</v>
      </c>
      <c r="R316" s="2" t="s">
        <v>127</v>
      </c>
      <c r="S316" s="2" t="s">
        <v>69</v>
      </c>
      <c r="T316" s="2" t="s">
        <v>856</v>
      </c>
      <c r="U316" s="2">
        <v>2</v>
      </c>
      <c r="V316" s="2" t="str">
        <f>_xlfn.XLOOKUP(EHR[[#This Row],[Encounter_ID]],'02_Lab_Results'!B:B,'02_Lab_Results'!D:D,,0)</f>
        <v>2777-1</v>
      </c>
      <c r="W316" s="2" t="str">
        <f>_xlfn.XLOOKUP(EHR[[#This Row],[LOINC Code]],'04_LOINC_Reference'!A:A,'04_LOINC_Reference'!F:F,,0)</f>
        <v>Biochemistry</v>
      </c>
      <c r="X316" s="2" t="str">
        <f>_xlfn.XLOOKUP(EHR[[#This Row],[LOINC Code]],'02_Lab_Results'!D:D,'02_Lab_Results'!E:E,,0)</f>
        <v>Serum phosphate</v>
      </c>
      <c r="Y316" s="2" t="str">
        <f>_xlfn.XLOOKUP(EHR[[#This Row],[LOINC Code]],'02_Lab_Results'!D:D,'02_Lab_Results'!J:J,,0)</f>
        <v>Normal</v>
      </c>
      <c r="Z316" s="2" t="str" cm="1">
        <f t="array" ref="Z316">_xlfn.XLOOKUP(1,(B316=B$2:B$500)*(V$2:V$500="4548-4"),Y$2:Y$500,"Not Tested")</f>
        <v>Not Tested</v>
      </c>
      <c r="AA316" s="2">
        <v>100</v>
      </c>
      <c r="AB316" s="2">
        <v>63</v>
      </c>
      <c r="AC316" s="2" t="str">
        <f>IF(AND(EHR[[#This Row],[BP_Systolic_mmHg]]&lt;140,EHR[[#This Row],[BP_Diastolic_mmHg]]&lt;90),"Controlled",IF(OR(EHR[[#This Row],[BP_Systolic_mmHg]]="Not Recorded",EHR[[#This Row],[BP_Diastolic_mmHg]]="Not Recorded"),"No Reading","Uncontrolled"))</f>
        <v>Controlled</v>
      </c>
      <c r="AD316" s="2" t="str">
        <f>_xlfn.CONCAT(EHR[[#This Row],[BP_Systolic_mmHg]],"/",EHR[[#This Row],[BP_Diastolic_mmHg]])</f>
        <v>100/63</v>
      </c>
      <c r="AE316" s="2">
        <v>114</v>
      </c>
      <c r="AF316" s="2">
        <v>19</v>
      </c>
      <c r="AG316" s="2">
        <v>36.5</v>
      </c>
      <c r="AH316" s="2">
        <v>27.3</v>
      </c>
      <c r="AI316" s="2" t="str">
        <f>IF(EHR[[#This Row],[BMI_kg_m2]]&gt;=30,"Obese","Non-Obese")</f>
        <v>Non-Obese</v>
      </c>
      <c r="AJ316" s="2">
        <v>99</v>
      </c>
      <c r="AK316" s="2" t="s">
        <v>50</v>
      </c>
      <c r="AL316" s="2" t="s">
        <v>51</v>
      </c>
      <c r="AM316" s="2" t="s">
        <v>52</v>
      </c>
      <c r="AN316" s="2" t="s">
        <v>53</v>
      </c>
      <c r="AO316" s="2" t="s">
        <v>54</v>
      </c>
    </row>
    <row r="317" spans="1:41" x14ac:dyDescent="0.2">
      <c r="A317" s="7" t="s">
        <v>1164</v>
      </c>
      <c r="B317" s="3" t="s">
        <v>1165</v>
      </c>
      <c r="C317" s="14">
        <v>45371</v>
      </c>
      <c r="D317" s="3" t="s">
        <v>88</v>
      </c>
      <c r="E317" s="3" t="s">
        <v>37</v>
      </c>
      <c r="F317" s="3" t="s">
        <v>132</v>
      </c>
      <c r="G317" s="3" t="s">
        <v>39</v>
      </c>
      <c r="H317" s="14">
        <v>29510</v>
      </c>
      <c r="I317" s="3">
        <v>45</v>
      </c>
      <c r="J317" s="3" t="str" cm="1">
        <f t="array" ref="J31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17" s="3" t="s">
        <v>1573</v>
      </c>
      <c r="L317" s="3" t="s">
        <v>78</v>
      </c>
      <c r="M317" s="3" t="s">
        <v>45</v>
      </c>
      <c r="N317" s="3" t="s">
        <v>1574</v>
      </c>
      <c r="O317" s="3" t="s">
        <v>182</v>
      </c>
      <c r="P317" s="3" t="s">
        <v>82</v>
      </c>
      <c r="Q317" s="3" t="str">
        <f>_xlfn.XLOOKUP(EHR[[#This Row],[Primary_ICD11_Code]],'03_ICD11_Reference'!A:A,'03_ICD11_Reference'!D:D,,0)</f>
        <v>Renal</v>
      </c>
      <c r="R317" s="3" t="s">
        <v>83</v>
      </c>
      <c r="S317" s="3" t="s">
        <v>69</v>
      </c>
      <c r="T317" s="3" t="s">
        <v>117</v>
      </c>
      <c r="U317" s="3">
        <v>1</v>
      </c>
      <c r="V317" s="3" t="str">
        <f>_xlfn.XLOOKUP(EHR[[#This Row],[Encounter_ID]],'02_Lab_Results'!B:B,'02_Lab_Results'!D:D,,0)</f>
        <v>2345-7</v>
      </c>
      <c r="W317" s="3" t="str">
        <f>_xlfn.XLOOKUP(EHR[[#This Row],[LOINC Code]],'04_LOINC_Reference'!A:A,'04_LOINC_Reference'!F:F,,0)</f>
        <v>Biochemistry</v>
      </c>
      <c r="X317" s="3" t="str">
        <f>_xlfn.XLOOKUP(EHR[[#This Row],[LOINC Code]],'02_Lab_Results'!D:D,'02_Lab_Results'!E:E,,0)</f>
        <v>Serum glucose (fasting)</v>
      </c>
      <c r="Y317" s="3" t="str">
        <f>_xlfn.XLOOKUP(EHR[[#This Row],[LOINC Code]],'02_Lab_Results'!D:D,'02_Lab_Results'!J:J,,0)</f>
        <v>Normal</v>
      </c>
      <c r="Z317" s="3" t="str" cm="1">
        <f t="array" ref="Z317">_xlfn.XLOOKUP(1,(B317=B$2:B$500)*(V$2:V$500="4548-4"),Y$2:Y$500,"Not Tested")</f>
        <v>Not Tested</v>
      </c>
      <c r="AA317" s="3">
        <v>147</v>
      </c>
      <c r="AB317" s="3">
        <v>109</v>
      </c>
      <c r="AC317" s="3" t="str">
        <f>IF(AND(EHR[[#This Row],[BP_Systolic_mmHg]]&lt;140,EHR[[#This Row],[BP_Diastolic_mmHg]]&lt;90),"Controlled",IF(OR(EHR[[#This Row],[BP_Systolic_mmHg]]="Not Recorded",EHR[[#This Row],[BP_Diastolic_mmHg]]="Not Recorded"),"No Reading","Uncontrolled"))</f>
        <v>Uncontrolled</v>
      </c>
      <c r="AD317" s="3" t="str">
        <f>_xlfn.CONCAT(EHR[[#This Row],[BP_Systolic_mmHg]],"/",EHR[[#This Row],[BP_Diastolic_mmHg]])</f>
        <v>147/109</v>
      </c>
      <c r="AE317" s="3">
        <v>94</v>
      </c>
      <c r="AF317" s="3">
        <v>14</v>
      </c>
      <c r="AG317" s="3">
        <v>37.799999999999997</v>
      </c>
      <c r="AH317" s="3">
        <v>17.600000000000001</v>
      </c>
      <c r="AI317" s="3" t="str">
        <f>IF(EHR[[#This Row],[BMI_kg_m2]]&gt;=30,"Obese","Non-Obese")</f>
        <v>Non-Obese</v>
      </c>
      <c r="AJ317" s="3">
        <v>100</v>
      </c>
      <c r="AK317" s="3" t="s">
        <v>50</v>
      </c>
      <c r="AL317" s="3" t="s">
        <v>51</v>
      </c>
      <c r="AM317" s="3" t="s">
        <v>52</v>
      </c>
      <c r="AN317" s="3" t="s">
        <v>53</v>
      </c>
      <c r="AO317" s="3" t="s">
        <v>54</v>
      </c>
    </row>
    <row r="318" spans="1:41" x14ac:dyDescent="0.2">
      <c r="A318" s="6" t="s">
        <v>1164</v>
      </c>
      <c r="B318" s="2" t="s">
        <v>1167</v>
      </c>
      <c r="C318" s="13">
        <v>45744</v>
      </c>
      <c r="D318" s="2" t="s">
        <v>36</v>
      </c>
      <c r="E318" s="2" t="s">
        <v>61</v>
      </c>
      <c r="F318" s="2" t="s">
        <v>122</v>
      </c>
      <c r="G318" s="2" t="s">
        <v>123</v>
      </c>
      <c r="H318" s="13">
        <v>29510</v>
      </c>
      <c r="I318" s="2">
        <v>45</v>
      </c>
      <c r="J318" s="2" t="str" cm="1">
        <f t="array" ref="J31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18" s="2" t="s">
        <v>1573</v>
      </c>
      <c r="L318" s="2" t="s">
        <v>78</v>
      </c>
      <c r="M318" s="2" t="s">
        <v>45</v>
      </c>
      <c r="N318" s="2" t="s">
        <v>1574</v>
      </c>
      <c r="O318" s="2" t="s">
        <v>182</v>
      </c>
      <c r="P318" s="2" t="s">
        <v>82</v>
      </c>
      <c r="Q318" s="2" t="str">
        <f>_xlfn.XLOOKUP(EHR[[#This Row],[Primary_ICD11_Code]],'03_ICD11_Reference'!A:A,'03_ICD11_Reference'!D:D,,0)</f>
        <v>Renal</v>
      </c>
      <c r="R318" s="2" t="s">
        <v>83</v>
      </c>
      <c r="S318" s="2" t="s">
        <v>69</v>
      </c>
      <c r="T318" s="2" t="s">
        <v>1169</v>
      </c>
      <c r="U318" s="2">
        <v>2</v>
      </c>
      <c r="V318" s="2" t="str">
        <f>_xlfn.XLOOKUP(EHR[[#This Row],[Encounter_ID]],'02_Lab_Results'!B:B,'02_Lab_Results'!D:D,,0)</f>
        <v>6690-2</v>
      </c>
      <c r="W318" s="2" t="str">
        <f>_xlfn.XLOOKUP(EHR[[#This Row],[LOINC Code]],'04_LOINC_Reference'!A:A,'04_LOINC_Reference'!F:F,,0)</f>
        <v>Biochemistry</v>
      </c>
      <c r="X318" s="2" t="str">
        <f>_xlfn.XLOOKUP(EHR[[#This Row],[LOINC Code]],'02_Lab_Results'!D:D,'02_Lab_Results'!E:E,,0)</f>
        <v>WBC count</v>
      </c>
      <c r="Y318" s="2" t="str">
        <f>_xlfn.XLOOKUP(EHR[[#This Row],[LOINC Code]],'02_Lab_Results'!D:D,'02_Lab_Results'!J:J,,0)</f>
        <v>Low</v>
      </c>
      <c r="Z318" s="2" t="str" cm="1">
        <f t="array" ref="Z318">_xlfn.XLOOKUP(1,(B318=B$2:B$500)*(V$2:V$500="4548-4"),Y$2:Y$500,"Not Tested")</f>
        <v>Not Tested</v>
      </c>
      <c r="AA318" s="2">
        <v>158</v>
      </c>
      <c r="AB318" s="2">
        <v>61</v>
      </c>
      <c r="AC318" s="2" t="str">
        <f>IF(AND(EHR[[#This Row],[BP_Systolic_mmHg]]&lt;140,EHR[[#This Row],[BP_Diastolic_mmHg]]&lt;90),"Controlled",IF(OR(EHR[[#This Row],[BP_Systolic_mmHg]]="Not Recorded",EHR[[#This Row],[BP_Diastolic_mmHg]]="Not Recorded"),"No Reading","Uncontrolled"))</f>
        <v>Uncontrolled</v>
      </c>
      <c r="AD318" s="2" t="str">
        <f>_xlfn.CONCAT(EHR[[#This Row],[BP_Systolic_mmHg]],"/",EHR[[#This Row],[BP_Diastolic_mmHg]])</f>
        <v>158/61</v>
      </c>
      <c r="AE318" s="2">
        <v>87</v>
      </c>
      <c r="AF318" s="2">
        <v>13</v>
      </c>
      <c r="AG318" s="2">
        <v>38.4</v>
      </c>
      <c r="AH318" s="2">
        <v>37.299999999999997</v>
      </c>
      <c r="AI318" s="2" t="str">
        <f>IF(EHR[[#This Row],[BMI_kg_m2]]&gt;=30,"Obese","Non-Obese")</f>
        <v>Obese</v>
      </c>
      <c r="AJ318" s="2">
        <v>92</v>
      </c>
      <c r="AK318" s="2" t="s">
        <v>50</v>
      </c>
      <c r="AL318" s="2" t="s">
        <v>51</v>
      </c>
      <c r="AM318" s="2" t="s">
        <v>52</v>
      </c>
      <c r="AN318" s="2" t="s">
        <v>53</v>
      </c>
      <c r="AO318" s="2" t="s">
        <v>54</v>
      </c>
    </row>
    <row r="319" spans="1:41" x14ac:dyDescent="0.2">
      <c r="A319" s="7" t="s">
        <v>1164</v>
      </c>
      <c r="B319" s="3" t="s">
        <v>1170</v>
      </c>
      <c r="C319" s="14">
        <v>45612</v>
      </c>
      <c r="D319" s="3" t="s">
        <v>60</v>
      </c>
      <c r="E319" s="3" t="s">
        <v>96</v>
      </c>
      <c r="F319" s="3" t="s">
        <v>109</v>
      </c>
      <c r="G319" s="3" t="s">
        <v>123</v>
      </c>
      <c r="H319" s="14">
        <v>29510</v>
      </c>
      <c r="I319" s="3">
        <v>45</v>
      </c>
      <c r="J319" s="3" t="str" cm="1">
        <f t="array" ref="J31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19" s="3" t="s">
        <v>1573</v>
      </c>
      <c r="L319" s="3" t="s">
        <v>42</v>
      </c>
      <c r="M319" s="3" t="s">
        <v>45</v>
      </c>
      <c r="N319" s="3" t="s">
        <v>1574</v>
      </c>
      <c r="O319" s="3" t="s">
        <v>182</v>
      </c>
      <c r="P319" s="3" t="s">
        <v>82</v>
      </c>
      <c r="Q319" s="3" t="str">
        <f>_xlfn.XLOOKUP(EHR[[#This Row],[Primary_ICD11_Code]],'03_ICD11_Reference'!A:A,'03_ICD11_Reference'!D:D,,0)</f>
        <v>Renal</v>
      </c>
      <c r="R319" s="3" t="s">
        <v>83</v>
      </c>
      <c r="S319" s="3" t="s">
        <v>69</v>
      </c>
      <c r="T319" s="3" t="s">
        <v>1171</v>
      </c>
      <c r="U319" s="3">
        <v>4</v>
      </c>
      <c r="V319" s="3" t="str">
        <f>_xlfn.XLOOKUP(EHR[[#This Row],[Encounter_ID]],'02_Lab_Results'!B:B,'02_Lab_Results'!D:D,,0)</f>
        <v>17861-6</v>
      </c>
      <c r="W319" s="3" t="str">
        <f>_xlfn.XLOOKUP(EHR[[#This Row],[LOINC Code]],'04_LOINC_Reference'!A:A,'04_LOINC_Reference'!F:F,,0)</f>
        <v>Biochemistry</v>
      </c>
      <c r="X319" s="3" t="str">
        <f>_xlfn.XLOOKUP(EHR[[#This Row],[LOINC Code]],'02_Lab_Results'!D:D,'02_Lab_Results'!E:E,,0)</f>
        <v>Serum calcium</v>
      </c>
      <c r="Y319" s="3" t="str">
        <f>_xlfn.XLOOKUP(EHR[[#This Row],[LOINC Code]],'02_Lab_Results'!D:D,'02_Lab_Results'!J:J,,0)</f>
        <v>High</v>
      </c>
      <c r="Z319" s="3" t="str" cm="1">
        <f t="array" ref="Z319">_xlfn.XLOOKUP(1,(B319=B$2:B$500)*(V$2:V$500="4548-4"),Y$2:Y$500,"Not Tested")</f>
        <v>Not Tested</v>
      </c>
      <c r="AA319" s="3">
        <v>122</v>
      </c>
      <c r="AB319" s="3">
        <v>97</v>
      </c>
      <c r="AC319" s="3" t="str">
        <f>IF(AND(EHR[[#This Row],[BP_Systolic_mmHg]]&lt;140,EHR[[#This Row],[BP_Diastolic_mmHg]]&lt;90),"Controlled",IF(OR(EHR[[#This Row],[BP_Systolic_mmHg]]="Not Recorded",EHR[[#This Row],[BP_Diastolic_mmHg]]="Not Recorded"),"No Reading","Uncontrolled"))</f>
        <v>Uncontrolled</v>
      </c>
      <c r="AD319" s="3" t="str">
        <f>_xlfn.CONCAT(EHR[[#This Row],[BP_Systolic_mmHg]],"/",EHR[[#This Row],[BP_Diastolic_mmHg]])</f>
        <v>122/97</v>
      </c>
      <c r="AE319" s="3">
        <v>114</v>
      </c>
      <c r="AF319" s="3">
        <v>24</v>
      </c>
      <c r="AG319" s="3">
        <v>36.1</v>
      </c>
      <c r="AH319" s="3">
        <v>30.5</v>
      </c>
      <c r="AI319" s="3" t="str">
        <f>IF(EHR[[#This Row],[BMI_kg_m2]]&gt;=30,"Obese","Non-Obese")</f>
        <v>Obese</v>
      </c>
      <c r="AJ319" s="3">
        <v>97</v>
      </c>
      <c r="AK319" s="3" t="s">
        <v>50</v>
      </c>
      <c r="AL319" s="3" t="s">
        <v>51</v>
      </c>
      <c r="AM319" s="3" t="s">
        <v>52</v>
      </c>
      <c r="AN319" s="3" t="s">
        <v>53</v>
      </c>
      <c r="AO319" s="3" t="s">
        <v>54</v>
      </c>
    </row>
    <row r="320" spans="1:41" x14ac:dyDescent="0.2">
      <c r="A320" s="6" t="s">
        <v>1172</v>
      </c>
      <c r="B320" s="2" t="s">
        <v>1173</v>
      </c>
      <c r="C320" s="13">
        <v>45617</v>
      </c>
      <c r="D320" s="2" t="s">
        <v>103</v>
      </c>
      <c r="E320" s="2" t="s">
        <v>61</v>
      </c>
      <c r="F320" s="2" t="s">
        <v>109</v>
      </c>
      <c r="G320" s="2" t="s">
        <v>138</v>
      </c>
      <c r="H320" s="13">
        <v>27018</v>
      </c>
      <c r="I320" s="2">
        <v>52</v>
      </c>
      <c r="J320" s="2" t="str" cm="1">
        <f t="array" ref="J32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20" s="2" t="s">
        <v>1573</v>
      </c>
      <c r="L320" s="2" t="s">
        <v>90</v>
      </c>
      <c r="M320" s="2" t="s">
        <v>45</v>
      </c>
      <c r="N320" s="2" t="s">
        <v>125</v>
      </c>
      <c r="O320" s="2" t="s">
        <v>45</v>
      </c>
      <c r="P320" s="2" t="s">
        <v>211</v>
      </c>
      <c r="Q320" s="2" t="str">
        <f>_xlfn.XLOOKUP(EHR[[#This Row],[Primary_ICD11_Code]],'03_ICD11_Reference'!A:A,'03_ICD11_Reference'!D:D,,0)</f>
        <v>Neurological</v>
      </c>
      <c r="R320" s="2" t="s">
        <v>212</v>
      </c>
      <c r="S320" s="2" t="s">
        <v>48</v>
      </c>
      <c r="T320" s="2" t="s">
        <v>268</v>
      </c>
      <c r="U320" s="2">
        <v>1</v>
      </c>
      <c r="V320" s="2" t="str">
        <f>_xlfn.XLOOKUP(EHR[[#This Row],[Encounter_ID]],'02_Lab_Results'!B:B,'02_Lab_Results'!D:D,,0)</f>
        <v>2093-3</v>
      </c>
      <c r="W320" s="2" t="str">
        <f>_xlfn.XLOOKUP(EHR[[#This Row],[LOINC Code]],'04_LOINC_Reference'!A:A,'04_LOINC_Reference'!F:F,,0)</f>
        <v>Biochemistry</v>
      </c>
      <c r="X320" s="2" t="str">
        <f>_xlfn.XLOOKUP(EHR[[#This Row],[LOINC Code]],'02_Lab_Results'!D:D,'02_Lab_Results'!E:E,,0)</f>
        <v>Total cholesterol</v>
      </c>
      <c r="Y320" s="2" t="str">
        <f>_xlfn.XLOOKUP(EHR[[#This Row],[LOINC Code]],'02_Lab_Results'!D:D,'02_Lab_Results'!J:J,,0)</f>
        <v>Normal</v>
      </c>
      <c r="Z320" s="2" t="str" cm="1">
        <f t="array" ref="Z320">_xlfn.XLOOKUP(1,(B320=B$2:B$500)*(V$2:V$500="4548-4"),Y$2:Y$500,"Not Tested")</f>
        <v>Not Tested</v>
      </c>
      <c r="AA320" s="2">
        <v>128</v>
      </c>
      <c r="AB320" s="2">
        <v>58</v>
      </c>
      <c r="AC320" s="2" t="str">
        <f>IF(AND(EHR[[#This Row],[BP_Systolic_mmHg]]&lt;140,EHR[[#This Row],[BP_Diastolic_mmHg]]&lt;90),"Controlled",IF(OR(EHR[[#This Row],[BP_Systolic_mmHg]]="Not Recorded",EHR[[#This Row],[BP_Diastolic_mmHg]]="Not Recorded"),"No Reading","Uncontrolled"))</f>
        <v>Controlled</v>
      </c>
      <c r="AD320" s="2" t="str">
        <f>_xlfn.CONCAT(EHR[[#This Row],[BP_Systolic_mmHg]],"/",EHR[[#This Row],[BP_Diastolic_mmHg]])</f>
        <v>128/58</v>
      </c>
      <c r="AE320" s="2">
        <v>79</v>
      </c>
      <c r="AF320" s="2">
        <v>19</v>
      </c>
      <c r="AG320" s="2">
        <v>36.1</v>
      </c>
      <c r="AH320" s="2">
        <v>27.9</v>
      </c>
      <c r="AI320" s="2" t="str">
        <f>IF(EHR[[#This Row],[BMI_kg_m2]]&gt;=30,"Obese","Non-Obese")</f>
        <v>Non-Obese</v>
      </c>
      <c r="AJ320" s="2">
        <v>95</v>
      </c>
      <c r="AK320" s="2" t="s">
        <v>50</v>
      </c>
      <c r="AL320" s="2" t="s">
        <v>51</v>
      </c>
      <c r="AM320" s="2" t="s">
        <v>52</v>
      </c>
      <c r="AN320" s="2" t="s">
        <v>53</v>
      </c>
      <c r="AO320" s="2" t="s">
        <v>54</v>
      </c>
    </row>
    <row r="321" spans="1:41" x14ac:dyDescent="0.2">
      <c r="A321" s="7" t="s">
        <v>1172</v>
      </c>
      <c r="B321" s="3" t="s">
        <v>1176</v>
      </c>
      <c r="C321" s="14">
        <v>45043</v>
      </c>
      <c r="D321" s="3" t="s">
        <v>95</v>
      </c>
      <c r="E321" s="3" t="s">
        <v>167</v>
      </c>
      <c r="F321" s="3" t="s">
        <v>75</v>
      </c>
      <c r="G321" s="3" t="s">
        <v>63</v>
      </c>
      <c r="H321" s="14">
        <v>27018</v>
      </c>
      <c r="I321" s="3">
        <v>52</v>
      </c>
      <c r="J321" s="3" t="str" cm="1">
        <f t="array" ref="J32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21" s="3" t="s">
        <v>1573</v>
      </c>
      <c r="L321" s="3" t="s">
        <v>42</v>
      </c>
      <c r="M321" s="3" t="s">
        <v>45</v>
      </c>
      <c r="N321" s="3" t="s">
        <v>125</v>
      </c>
      <c r="O321" s="3" t="s">
        <v>45</v>
      </c>
      <c r="P321" s="3" t="s">
        <v>211</v>
      </c>
      <c r="Q321" s="3" t="str">
        <f>_xlfn.XLOOKUP(EHR[[#This Row],[Primary_ICD11_Code]],'03_ICD11_Reference'!A:A,'03_ICD11_Reference'!D:D,,0)</f>
        <v>Neurological</v>
      </c>
      <c r="R321" s="3" t="s">
        <v>212</v>
      </c>
      <c r="S321" s="3" t="s">
        <v>48</v>
      </c>
      <c r="T321" s="3" t="s">
        <v>1177</v>
      </c>
      <c r="U321" s="3">
        <v>3</v>
      </c>
      <c r="V321" s="3" t="str">
        <f>_xlfn.XLOOKUP(EHR[[#This Row],[Encounter_ID]],'02_Lab_Results'!B:B,'02_Lab_Results'!D:D,,0)</f>
        <v>17861-6</v>
      </c>
      <c r="W321" s="3" t="str">
        <f>_xlfn.XLOOKUP(EHR[[#This Row],[LOINC Code]],'04_LOINC_Reference'!A:A,'04_LOINC_Reference'!F:F,,0)</f>
        <v>Biochemistry</v>
      </c>
      <c r="X321" s="3" t="str">
        <f>_xlfn.XLOOKUP(EHR[[#This Row],[LOINC Code]],'02_Lab_Results'!D:D,'02_Lab_Results'!E:E,,0)</f>
        <v>Serum calcium</v>
      </c>
      <c r="Y321" s="3" t="str">
        <f>_xlfn.XLOOKUP(EHR[[#This Row],[LOINC Code]],'02_Lab_Results'!D:D,'02_Lab_Results'!J:J,,0)</f>
        <v>High</v>
      </c>
      <c r="Z321" s="3" t="str" cm="1">
        <f t="array" ref="Z321">_xlfn.XLOOKUP(1,(B321=B$2:B$500)*(V$2:V$500="4548-4"),Y$2:Y$500,"Not Tested")</f>
        <v>Not Tested</v>
      </c>
      <c r="AA321" s="3">
        <v>153</v>
      </c>
      <c r="AB321" s="3">
        <v>99</v>
      </c>
      <c r="AC321" s="3" t="str">
        <f>IF(AND(EHR[[#This Row],[BP_Systolic_mmHg]]&lt;140,EHR[[#This Row],[BP_Diastolic_mmHg]]&lt;90),"Controlled",IF(OR(EHR[[#This Row],[BP_Systolic_mmHg]]="Not Recorded",EHR[[#This Row],[BP_Diastolic_mmHg]]="Not Recorded"),"No Reading","Uncontrolled"))</f>
        <v>Uncontrolled</v>
      </c>
      <c r="AD321" s="3" t="str">
        <f>_xlfn.CONCAT(EHR[[#This Row],[BP_Systolic_mmHg]],"/",EHR[[#This Row],[BP_Diastolic_mmHg]])</f>
        <v>153/99</v>
      </c>
      <c r="AE321" s="3">
        <v>106</v>
      </c>
      <c r="AF321" s="3">
        <v>26</v>
      </c>
      <c r="AG321" s="3">
        <v>38.200000000000003</v>
      </c>
      <c r="AH321" s="3">
        <v>39</v>
      </c>
      <c r="AI321" s="3" t="str">
        <f>IF(EHR[[#This Row],[BMI_kg_m2]]&gt;=30,"Obese","Non-Obese")</f>
        <v>Obese</v>
      </c>
      <c r="AJ321" s="3">
        <v>97</v>
      </c>
      <c r="AK321" s="3" t="s">
        <v>50</v>
      </c>
      <c r="AL321" s="3" t="s">
        <v>51</v>
      </c>
      <c r="AM321" s="3" t="s">
        <v>52</v>
      </c>
      <c r="AN321" s="3" t="s">
        <v>53</v>
      </c>
      <c r="AO321" s="3" t="s">
        <v>54</v>
      </c>
    </row>
    <row r="322" spans="1:41" x14ac:dyDescent="0.2">
      <c r="A322" s="6" t="s">
        <v>1172</v>
      </c>
      <c r="B322" s="2" t="s">
        <v>1178</v>
      </c>
      <c r="C322" s="13">
        <v>45280</v>
      </c>
      <c r="D322" s="2" t="s">
        <v>95</v>
      </c>
      <c r="E322" s="2" t="s">
        <v>37</v>
      </c>
      <c r="F322" s="2" t="s">
        <v>122</v>
      </c>
      <c r="G322" s="2" t="s">
        <v>39</v>
      </c>
      <c r="H322" s="13">
        <v>27018</v>
      </c>
      <c r="I322" s="2">
        <v>52</v>
      </c>
      <c r="J322" s="2" t="str" cm="1">
        <f t="array" ref="J32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22" s="2" t="s">
        <v>1573</v>
      </c>
      <c r="L322" s="2" t="s">
        <v>140</v>
      </c>
      <c r="M322" s="2" t="s">
        <v>45</v>
      </c>
      <c r="N322" s="2" t="s">
        <v>125</v>
      </c>
      <c r="O322" s="2" t="s">
        <v>45</v>
      </c>
      <c r="P322" s="2" t="s">
        <v>211</v>
      </c>
      <c r="Q322" s="2" t="str">
        <f>_xlfn.XLOOKUP(EHR[[#This Row],[Primary_ICD11_Code]],'03_ICD11_Reference'!A:A,'03_ICD11_Reference'!D:D,,0)</f>
        <v>Neurological</v>
      </c>
      <c r="R322" s="2" t="s">
        <v>212</v>
      </c>
      <c r="S322" s="2" t="s">
        <v>48</v>
      </c>
      <c r="T322" s="2" t="s">
        <v>1180</v>
      </c>
      <c r="U322" s="2">
        <v>4</v>
      </c>
      <c r="V322" s="2" t="str">
        <f>_xlfn.XLOOKUP(EHR[[#This Row],[Encounter_ID]],'02_Lab_Results'!B:B,'02_Lab_Results'!D:D,,0)</f>
        <v>17861-6</v>
      </c>
      <c r="W322" s="2" t="str">
        <f>_xlfn.XLOOKUP(EHR[[#This Row],[LOINC Code]],'04_LOINC_Reference'!A:A,'04_LOINC_Reference'!F:F,,0)</f>
        <v>Biochemistry</v>
      </c>
      <c r="X322" s="2" t="str">
        <f>_xlfn.XLOOKUP(EHR[[#This Row],[LOINC Code]],'02_Lab_Results'!D:D,'02_Lab_Results'!E:E,,0)</f>
        <v>Serum calcium</v>
      </c>
      <c r="Y322" s="2" t="str">
        <f>_xlfn.XLOOKUP(EHR[[#This Row],[LOINC Code]],'02_Lab_Results'!D:D,'02_Lab_Results'!J:J,,0)</f>
        <v>High</v>
      </c>
      <c r="Z322" s="2" t="str" cm="1">
        <f t="array" ref="Z322">_xlfn.XLOOKUP(1,(B322=B$2:B$500)*(V$2:V$500="4548-4"),Y$2:Y$500,"Not Tested")</f>
        <v>Not Tested</v>
      </c>
      <c r="AA322" s="2">
        <v>136</v>
      </c>
      <c r="AB322" s="2">
        <v>85</v>
      </c>
      <c r="AC322" s="2" t="str">
        <f>IF(AND(EHR[[#This Row],[BP_Systolic_mmHg]]&lt;140,EHR[[#This Row],[BP_Diastolic_mmHg]]&lt;90),"Controlled",IF(OR(EHR[[#This Row],[BP_Systolic_mmHg]]="Not Recorded",EHR[[#This Row],[BP_Diastolic_mmHg]]="Not Recorded"),"No Reading","Uncontrolled"))</f>
        <v>Controlled</v>
      </c>
      <c r="AD322" s="2" t="str">
        <f>_xlfn.CONCAT(EHR[[#This Row],[BP_Systolic_mmHg]],"/",EHR[[#This Row],[BP_Diastolic_mmHg]])</f>
        <v>136/85</v>
      </c>
      <c r="AE322" s="2">
        <v>112</v>
      </c>
      <c r="AF322" s="2">
        <v>20</v>
      </c>
      <c r="AG322" s="2">
        <v>37.700000000000003</v>
      </c>
      <c r="AH322" s="2">
        <v>41</v>
      </c>
      <c r="AI322" s="2" t="str">
        <f>IF(EHR[[#This Row],[BMI_kg_m2]]&gt;=30,"Obese","Non-Obese")</f>
        <v>Obese</v>
      </c>
      <c r="AJ322" s="2">
        <v>99</v>
      </c>
      <c r="AK322" s="2" t="s">
        <v>50</v>
      </c>
      <c r="AL322" s="2" t="s">
        <v>51</v>
      </c>
      <c r="AM322" s="2" t="s">
        <v>52</v>
      </c>
      <c r="AN322" s="2" t="s">
        <v>53</v>
      </c>
      <c r="AO322" s="2" t="s">
        <v>54</v>
      </c>
    </row>
    <row r="323" spans="1:41" x14ac:dyDescent="0.2">
      <c r="A323" s="7" t="s">
        <v>1181</v>
      </c>
      <c r="B323" s="3" t="s">
        <v>1182</v>
      </c>
      <c r="C323" s="14">
        <v>45460</v>
      </c>
      <c r="D323" s="3" t="s">
        <v>103</v>
      </c>
      <c r="E323" s="3" t="s">
        <v>37</v>
      </c>
      <c r="F323" s="3" t="s">
        <v>75</v>
      </c>
      <c r="G323" s="3" t="s">
        <v>138</v>
      </c>
      <c r="H323" s="14">
        <v>35832</v>
      </c>
      <c r="I323" s="3">
        <v>27</v>
      </c>
      <c r="J323" s="3" t="str" cm="1">
        <f t="array" ref="J32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23" s="3" t="s">
        <v>1573</v>
      </c>
      <c r="L323" s="3" t="s">
        <v>66</v>
      </c>
      <c r="M323" s="3" t="s">
        <v>43</v>
      </c>
      <c r="N323" s="3" t="s">
        <v>1574</v>
      </c>
      <c r="O323" s="3" t="s">
        <v>182</v>
      </c>
      <c r="P323" s="3" t="s">
        <v>254</v>
      </c>
      <c r="Q323" s="3" t="str">
        <f>_xlfn.XLOOKUP(EHR[[#This Row],[Primary_ICD11_Code]],'03_ICD11_Reference'!A:A,'03_ICD11_Reference'!D:D,,0)</f>
        <v>Respiratory</v>
      </c>
      <c r="R323" s="3" t="s">
        <v>255</v>
      </c>
      <c r="S323" s="3" t="s">
        <v>69</v>
      </c>
      <c r="T323" s="3" t="s">
        <v>243</v>
      </c>
      <c r="U323" s="3">
        <v>1</v>
      </c>
      <c r="V323" s="3" t="str">
        <f>_xlfn.XLOOKUP(EHR[[#This Row],[Encounter_ID]],'02_Lab_Results'!B:B,'02_Lab_Results'!D:D,,0)</f>
        <v>6690-2</v>
      </c>
      <c r="W323" s="3" t="str">
        <f>_xlfn.XLOOKUP(EHR[[#This Row],[LOINC Code]],'04_LOINC_Reference'!A:A,'04_LOINC_Reference'!F:F,,0)</f>
        <v>Biochemistry</v>
      </c>
      <c r="X323" s="3" t="str">
        <f>_xlfn.XLOOKUP(EHR[[#This Row],[LOINC Code]],'02_Lab_Results'!D:D,'02_Lab_Results'!E:E,,0)</f>
        <v>WBC count</v>
      </c>
      <c r="Y323" s="3" t="str">
        <f>_xlfn.XLOOKUP(EHR[[#This Row],[LOINC Code]],'02_Lab_Results'!D:D,'02_Lab_Results'!J:J,,0)</f>
        <v>Low</v>
      </c>
      <c r="Z323" s="3" t="str" cm="1">
        <f t="array" ref="Z323">_xlfn.XLOOKUP(1,(B323=B$2:B$500)*(V$2:V$500="4548-4"),Y$2:Y$500,"Not Tested")</f>
        <v>Not Tested</v>
      </c>
      <c r="AA323" s="3">
        <v>181</v>
      </c>
      <c r="AB323" s="3">
        <v>56</v>
      </c>
      <c r="AC323" s="3" t="str">
        <f>IF(AND(EHR[[#This Row],[BP_Systolic_mmHg]]&lt;140,EHR[[#This Row],[BP_Diastolic_mmHg]]&lt;90),"Controlled",IF(OR(EHR[[#This Row],[BP_Systolic_mmHg]]="Not Recorded",EHR[[#This Row],[BP_Diastolic_mmHg]]="Not Recorded"),"No Reading","Uncontrolled"))</f>
        <v>Uncontrolled</v>
      </c>
      <c r="AD323" s="3" t="str">
        <f>_xlfn.CONCAT(EHR[[#This Row],[BP_Systolic_mmHg]],"/",EHR[[#This Row],[BP_Diastolic_mmHg]])</f>
        <v>181/56</v>
      </c>
      <c r="AE323" s="3">
        <v>81</v>
      </c>
      <c r="AF323" s="3">
        <v>23</v>
      </c>
      <c r="AG323" s="3">
        <v>39</v>
      </c>
      <c r="AH323" s="3">
        <v>31</v>
      </c>
      <c r="AI323" s="3" t="str">
        <f>IF(EHR[[#This Row],[BMI_kg_m2]]&gt;=30,"Obese","Non-Obese")</f>
        <v>Obese</v>
      </c>
      <c r="AJ323" s="3">
        <v>92</v>
      </c>
      <c r="AK323" s="3" t="s">
        <v>50</v>
      </c>
      <c r="AL323" s="3" t="s">
        <v>51</v>
      </c>
      <c r="AM323" s="3" t="s">
        <v>52</v>
      </c>
      <c r="AN323" s="3" t="s">
        <v>53</v>
      </c>
      <c r="AO323" s="3" t="s">
        <v>54</v>
      </c>
    </row>
    <row r="324" spans="1:41" x14ac:dyDescent="0.2">
      <c r="A324" s="6" t="s">
        <v>1184</v>
      </c>
      <c r="B324" s="2" t="s">
        <v>1185</v>
      </c>
      <c r="C324" s="13">
        <v>45735</v>
      </c>
      <c r="D324" s="2" t="s">
        <v>88</v>
      </c>
      <c r="E324" s="2" t="s">
        <v>167</v>
      </c>
      <c r="F324" s="2" t="s">
        <v>38</v>
      </c>
      <c r="G324" s="2" t="s">
        <v>115</v>
      </c>
      <c r="H324" s="13">
        <v>20373</v>
      </c>
      <c r="I324" s="2">
        <v>70</v>
      </c>
      <c r="J324" s="2" t="str" cm="1">
        <f t="array" ref="J32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24" s="2" t="s">
        <v>1573</v>
      </c>
      <c r="L324" s="2" t="s">
        <v>66</v>
      </c>
      <c r="M324" s="2" t="s">
        <v>141</v>
      </c>
      <c r="N324" s="2" t="s">
        <v>1574</v>
      </c>
      <c r="O324" s="2" t="s">
        <v>81</v>
      </c>
      <c r="P324" s="2" t="s">
        <v>67</v>
      </c>
      <c r="Q324" s="2" t="str">
        <f>_xlfn.XLOOKUP(EHR[[#This Row],[Primary_ICD11_Code]],'03_ICD11_Reference'!A:A,'03_ICD11_Reference'!D:D,,0)</f>
        <v>Endocrine</v>
      </c>
      <c r="R324" s="2" t="s">
        <v>68</v>
      </c>
      <c r="S324" s="2" t="s">
        <v>69</v>
      </c>
      <c r="T324" s="2" t="s">
        <v>1188</v>
      </c>
      <c r="U324" s="2">
        <v>3</v>
      </c>
      <c r="V324" s="2" t="str">
        <f>_xlfn.XLOOKUP(EHR[[#This Row],[Encounter_ID]],'02_Lab_Results'!B:B,'02_Lab_Results'!D:D,,0)</f>
        <v>17861-6</v>
      </c>
      <c r="W324" s="2" t="str">
        <f>_xlfn.XLOOKUP(EHR[[#This Row],[LOINC Code]],'04_LOINC_Reference'!A:A,'04_LOINC_Reference'!F:F,,0)</f>
        <v>Biochemistry</v>
      </c>
      <c r="X324" s="2" t="str">
        <f>_xlfn.XLOOKUP(EHR[[#This Row],[LOINC Code]],'02_Lab_Results'!D:D,'02_Lab_Results'!E:E,,0)</f>
        <v>Serum calcium</v>
      </c>
      <c r="Y324" s="2" t="str">
        <f>_xlfn.XLOOKUP(EHR[[#This Row],[LOINC Code]],'02_Lab_Results'!D:D,'02_Lab_Results'!J:J,,0)</f>
        <v>High</v>
      </c>
      <c r="Z324" s="2" t="str" cm="1">
        <f t="array" ref="Z324">_xlfn.XLOOKUP(1,(B324=B$2:B$500)*(V$2:V$500="4548-4"),Y$2:Y$500,"Not Tested")</f>
        <v>Not Tested</v>
      </c>
      <c r="AA324" s="2">
        <v>123</v>
      </c>
      <c r="AB324" s="2">
        <v>102</v>
      </c>
      <c r="AC324" s="2" t="str">
        <f>IF(AND(EHR[[#This Row],[BP_Systolic_mmHg]]&lt;140,EHR[[#This Row],[BP_Diastolic_mmHg]]&lt;90),"Controlled",IF(OR(EHR[[#This Row],[BP_Systolic_mmHg]]="Not Recorded",EHR[[#This Row],[BP_Diastolic_mmHg]]="Not Recorded"),"No Reading","Uncontrolled"))</f>
        <v>Uncontrolled</v>
      </c>
      <c r="AD324" s="2" t="str">
        <f>_xlfn.CONCAT(EHR[[#This Row],[BP_Systolic_mmHg]],"/",EHR[[#This Row],[BP_Diastolic_mmHg]])</f>
        <v>123/102</v>
      </c>
      <c r="AE324" s="2">
        <v>67</v>
      </c>
      <c r="AF324" s="2">
        <v>18</v>
      </c>
      <c r="AG324" s="2">
        <v>36.9</v>
      </c>
      <c r="AH324" s="2">
        <v>41.6</v>
      </c>
      <c r="AI324" s="2" t="str">
        <f>IF(EHR[[#This Row],[BMI_kg_m2]]&gt;=30,"Obese","Non-Obese")</f>
        <v>Obese</v>
      </c>
      <c r="AJ324" s="2">
        <v>89</v>
      </c>
      <c r="AK324" s="2" t="s">
        <v>50</v>
      </c>
      <c r="AL324" s="2" t="s">
        <v>51</v>
      </c>
      <c r="AM324" s="2" t="s">
        <v>52</v>
      </c>
      <c r="AN324" s="2" t="s">
        <v>53</v>
      </c>
      <c r="AO324" s="2" t="s">
        <v>54</v>
      </c>
    </row>
    <row r="325" spans="1:41" x14ac:dyDescent="0.2">
      <c r="A325" s="7" t="s">
        <v>1184</v>
      </c>
      <c r="B325" s="3" t="s">
        <v>1189</v>
      </c>
      <c r="C325" s="14">
        <v>45652</v>
      </c>
      <c r="D325" s="3" t="s">
        <v>88</v>
      </c>
      <c r="E325" s="3" t="s">
        <v>37</v>
      </c>
      <c r="F325" s="3" t="s">
        <v>109</v>
      </c>
      <c r="G325" s="3" t="s">
        <v>76</v>
      </c>
      <c r="H325" s="14">
        <v>20373</v>
      </c>
      <c r="I325" s="3">
        <v>70</v>
      </c>
      <c r="J325" s="3" t="str" cm="1">
        <f t="array" ref="J32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25" s="3" t="s">
        <v>1573</v>
      </c>
      <c r="L325" s="3" t="s">
        <v>140</v>
      </c>
      <c r="M325" s="3" t="s">
        <v>141</v>
      </c>
      <c r="N325" s="3" t="s">
        <v>1574</v>
      </c>
      <c r="O325" s="3" t="s">
        <v>81</v>
      </c>
      <c r="P325" s="3" t="s">
        <v>67</v>
      </c>
      <c r="Q325" s="3" t="str">
        <f>_xlfn.XLOOKUP(EHR[[#This Row],[Primary_ICD11_Code]],'03_ICD11_Reference'!A:A,'03_ICD11_Reference'!D:D,,0)</f>
        <v>Endocrine</v>
      </c>
      <c r="R325" s="3" t="s">
        <v>68</v>
      </c>
      <c r="S325" s="3" t="s">
        <v>69</v>
      </c>
      <c r="T325" s="3" t="s">
        <v>1190</v>
      </c>
      <c r="U325" s="3">
        <v>3</v>
      </c>
      <c r="V325" s="3" t="str">
        <f>_xlfn.XLOOKUP(EHR[[#This Row],[Encounter_ID]],'02_Lab_Results'!B:B,'02_Lab_Results'!D:D,,0)</f>
        <v>2951-2</v>
      </c>
      <c r="W325" s="3" t="str">
        <f>_xlfn.XLOOKUP(EHR[[#This Row],[LOINC Code]],'04_LOINC_Reference'!A:A,'04_LOINC_Reference'!F:F,,0)</f>
        <v>Biochemistry</v>
      </c>
      <c r="X325" s="3" t="str">
        <f>_xlfn.XLOOKUP(EHR[[#This Row],[LOINC Code]],'02_Lab_Results'!D:D,'02_Lab_Results'!E:E,,0)</f>
        <v>Serum sodium</v>
      </c>
      <c r="Y325" s="3" t="str">
        <f>_xlfn.XLOOKUP(EHR[[#This Row],[LOINC Code]],'02_Lab_Results'!D:D,'02_Lab_Results'!J:J,,0)</f>
        <v>Low</v>
      </c>
      <c r="Z325" s="3" t="str" cm="1">
        <f t="array" ref="Z325">_xlfn.XLOOKUP(1,(B325=B$2:B$500)*(V$2:V$500="4548-4"),Y$2:Y$500,"Not Tested")</f>
        <v>Not Tested</v>
      </c>
      <c r="AA325" s="3">
        <v>157</v>
      </c>
      <c r="AB325" s="3">
        <v>95</v>
      </c>
      <c r="AC325" s="3" t="str">
        <f>IF(AND(EHR[[#This Row],[BP_Systolic_mmHg]]&lt;140,EHR[[#This Row],[BP_Diastolic_mmHg]]&lt;90),"Controlled",IF(OR(EHR[[#This Row],[BP_Systolic_mmHg]]="Not Recorded",EHR[[#This Row],[BP_Diastolic_mmHg]]="Not Recorded"),"No Reading","Uncontrolled"))</f>
        <v>Uncontrolled</v>
      </c>
      <c r="AD325" s="3" t="str">
        <f>_xlfn.CONCAT(EHR[[#This Row],[BP_Systolic_mmHg]],"/",EHR[[#This Row],[BP_Diastolic_mmHg]])</f>
        <v>157/95</v>
      </c>
      <c r="AE325" s="3">
        <v>62</v>
      </c>
      <c r="AF325" s="3">
        <v>16</v>
      </c>
      <c r="AG325" s="3">
        <v>36.1</v>
      </c>
      <c r="AH325" s="3">
        <v>26.5</v>
      </c>
      <c r="AI325" s="3" t="str">
        <f>IF(EHR[[#This Row],[BMI_kg_m2]]&gt;=30,"Obese","Non-Obese")</f>
        <v>Non-Obese</v>
      </c>
      <c r="AJ325" s="3">
        <v>89</v>
      </c>
      <c r="AK325" s="3" t="s">
        <v>50</v>
      </c>
      <c r="AL325" s="3" t="s">
        <v>51</v>
      </c>
      <c r="AM325" s="3" t="s">
        <v>52</v>
      </c>
      <c r="AN325" s="3" t="s">
        <v>53</v>
      </c>
      <c r="AO325" s="3" t="s">
        <v>54</v>
      </c>
    </row>
    <row r="326" spans="1:41" x14ac:dyDescent="0.2">
      <c r="A326" s="6" t="s">
        <v>1184</v>
      </c>
      <c r="B326" s="2" t="s">
        <v>1191</v>
      </c>
      <c r="C326" s="13">
        <v>45308</v>
      </c>
      <c r="D326" s="2" t="s">
        <v>36</v>
      </c>
      <c r="E326" s="2" t="s">
        <v>167</v>
      </c>
      <c r="F326" s="2" t="s">
        <v>219</v>
      </c>
      <c r="G326" s="2" t="s">
        <v>104</v>
      </c>
      <c r="H326" s="13">
        <v>20373</v>
      </c>
      <c r="I326" s="2">
        <v>70</v>
      </c>
      <c r="J326" s="2" t="str" cm="1">
        <f t="array" ref="J32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26" s="2" t="s">
        <v>1573</v>
      </c>
      <c r="L326" s="2" t="s">
        <v>66</v>
      </c>
      <c r="M326" s="2" t="s">
        <v>141</v>
      </c>
      <c r="N326" s="2" t="s">
        <v>1574</v>
      </c>
      <c r="O326" s="2" t="s">
        <v>81</v>
      </c>
      <c r="P326" s="2" t="s">
        <v>67</v>
      </c>
      <c r="Q326" s="2" t="str">
        <f>_xlfn.XLOOKUP(EHR[[#This Row],[Primary_ICD11_Code]],'03_ICD11_Reference'!A:A,'03_ICD11_Reference'!D:D,,0)</f>
        <v>Endocrine</v>
      </c>
      <c r="R326" s="2" t="s">
        <v>68</v>
      </c>
      <c r="S326" s="2" t="s">
        <v>69</v>
      </c>
      <c r="T326" s="2" t="s">
        <v>1193</v>
      </c>
      <c r="U326" s="2">
        <v>4</v>
      </c>
      <c r="V326" s="2" t="str">
        <f>_xlfn.XLOOKUP(EHR[[#This Row],[Encounter_ID]],'02_Lab_Results'!B:B,'02_Lab_Results'!D:D,,0)</f>
        <v>2777-1</v>
      </c>
      <c r="W326" s="2" t="str">
        <f>_xlfn.XLOOKUP(EHR[[#This Row],[LOINC Code]],'04_LOINC_Reference'!A:A,'04_LOINC_Reference'!F:F,,0)</f>
        <v>Biochemistry</v>
      </c>
      <c r="X326" s="2" t="str">
        <f>_xlfn.XLOOKUP(EHR[[#This Row],[LOINC Code]],'02_Lab_Results'!D:D,'02_Lab_Results'!E:E,,0)</f>
        <v>Serum phosphate</v>
      </c>
      <c r="Y326" s="2" t="str">
        <f>_xlfn.XLOOKUP(EHR[[#This Row],[LOINC Code]],'02_Lab_Results'!D:D,'02_Lab_Results'!J:J,,0)</f>
        <v>Normal</v>
      </c>
      <c r="Z326" s="2" t="str" cm="1">
        <f t="array" ref="Z326">_xlfn.XLOOKUP(1,(B326=B$2:B$500)*(V$2:V$500="4548-4"),Y$2:Y$500,"Not Tested")</f>
        <v>Not Tested</v>
      </c>
      <c r="AA326" s="2">
        <v>135</v>
      </c>
      <c r="AB326" s="2">
        <v>114</v>
      </c>
      <c r="AC326" s="2" t="str">
        <f>IF(AND(EHR[[#This Row],[BP_Systolic_mmHg]]&lt;140,EHR[[#This Row],[BP_Diastolic_mmHg]]&lt;90),"Controlled",IF(OR(EHR[[#This Row],[BP_Systolic_mmHg]]="Not Recorded",EHR[[#This Row],[BP_Diastolic_mmHg]]="Not Recorded"),"No Reading","Uncontrolled"))</f>
        <v>Uncontrolled</v>
      </c>
      <c r="AD326" s="2" t="str">
        <f>_xlfn.CONCAT(EHR[[#This Row],[BP_Systolic_mmHg]],"/",EHR[[#This Row],[BP_Diastolic_mmHg]])</f>
        <v>135/114</v>
      </c>
      <c r="AE326" s="2">
        <v>90</v>
      </c>
      <c r="AF326" s="2">
        <v>14</v>
      </c>
      <c r="AG326" s="2">
        <v>36.1</v>
      </c>
      <c r="AH326" s="2">
        <v>44</v>
      </c>
      <c r="AI326" s="2" t="str">
        <f>IF(EHR[[#This Row],[BMI_kg_m2]]&gt;=30,"Obese","Non-Obese")</f>
        <v>Obese</v>
      </c>
      <c r="AJ326" s="2">
        <v>97</v>
      </c>
      <c r="AK326" s="2" t="s">
        <v>50</v>
      </c>
      <c r="AL326" s="2" t="s">
        <v>51</v>
      </c>
      <c r="AM326" s="2" t="s">
        <v>52</v>
      </c>
      <c r="AN326" s="2" t="s">
        <v>53</v>
      </c>
      <c r="AO326" s="2" t="s">
        <v>54</v>
      </c>
    </row>
    <row r="327" spans="1:41" x14ac:dyDescent="0.2">
      <c r="A327" s="7" t="s">
        <v>1184</v>
      </c>
      <c r="B327" s="3" t="s">
        <v>1194</v>
      </c>
      <c r="C327" s="14">
        <v>45514</v>
      </c>
      <c r="D327" s="3" t="s">
        <v>88</v>
      </c>
      <c r="E327" s="3" t="s">
        <v>37</v>
      </c>
      <c r="F327" s="3" t="s">
        <v>62</v>
      </c>
      <c r="G327" s="3" t="s">
        <v>123</v>
      </c>
      <c r="H327" s="14">
        <v>20373</v>
      </c>
      <c r="I327" s="3">
        <v>70</v>
      </c>
      <c r="J327" s="3" t="str" cm="1">
        <f t="array" ref="J32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27" s="3" t="s">
        <v>1573</v>
      </c>
      <c r="L327" s="3" t="s">
        <v>78</v>
      </c>
      <c r="M327" s="3" t="s">
        <v>141</v>
      </c>
      <c r="N327" s="3" t="s">
        <v>1574</v>
      </c>
      <c r="O327" s="3" t="s">
        <v>81</v>
      </c>
      <c r="P327" s="3" t="s">
        <v>67</v>
      </c>
      <c r="Q327" s="3" t="str">
        <f>_xlfn.XLOOKUP(EHR[[#This Row],[Primary_ICD11_Code]],'03_ICD11_Reference'!A:A,'03_ICD11_Reference'!D:D,,0)</f>
        <v>Endocrine</v>
      </c>
      <c r="R327" s="3" t="s">
        <v>68</v>
      </c>
      <c r="S327" s="3" t="s">
        <v>69</v>
      </c>
      <c r="T327" s="3" t="s">
        <v>601</v>
      </c>
      <c r="U327" s="3">
        <v>1</v>
      </c>
      <c r="V327" s="3" t="str">
        <f>_xlfn.XLOOKUP(EHR[[#This Row],[Encounter_ID]],'02_Lab_Results'!B:B,'02_Lab_Results'!D:D,,0)</f>
        <v>13457-7</v>
      </c>
      <c r="W327" s="3" t="str">
        <f>_xlfn.XLOOKUP(EHR[[#This Row],[LOINC Code]],'04_LOINC_Reference'!A:A,'04_LOINC_Reference'!F:F,,0)</f>
        <v>Biochemistry</v>
      </c>
      <c r="X327" s="3" t="str">
        <f>_xlfn.XLOOKUP(EHR[[#This Row],[LOINC Code]],'02_Lab_Results'!D:D,'02_Lab_Results'!E:E,,0)</f>
        <v>LDL cholesterol</v>
      </c>
      <c r="Y327" s="3" t="str">
        <f>_xlfn.XLOOKUP(EHR[[#This Row],[LOINC Code]],'02_Lab_Results'!D:D,'02_Lab_Results'!J:J,,0)</f>
        <v>High</v>
      </c>
      <c r="Z327" s="3" t="str" cm="1">
        <f t="array" ref="Z327">_xlfn.XLOOKUP(1,(B327=B$2:B$500)*(V$2:V$500="4548-4"),Y$2:Y$500,"Not Tested")</f>
        <v>Not Tested</v>
      </c>
      <c r="AA327" s="3">
        <v>155</v>
      </c>
      <c r="AB327" s="3">
        <v>103</v>
      </c>
      <c r="AC327" s="3" t="str">
        <f>IF(AND(EHR[[#This Row],[BP_Systolic_mmHg]]&lt;140,EHR[[#This Row],[BP_Diastolic_mmHg]]&lt;90),"Controlled",IF(OR(EHR[[#This Row],[BP_Systolic_mmHg]]="Not Recorded",EHR[[#This Row],[BP_Diastolic_mmHg]]="Not Recorded"),"No Reading","Uncontrolled"))</f>
        <v>Uncontrolled</v>
      </c>
      <c r="AD327" s="3" t="str">
        <f>_xlfn.CONCAT(EHR[[#This Row],[BP_Systolic_mmHg]],"/",EHR[[#This Row],[BP_Diastolic_mmHg]])</f>
        <v>155/103</v>
      </c>
      <c r="AE327" s="3">
        <v>105</v>
      </c>
      <c r="AF327" s="3">
        <v>27</v>
      </c>
      <c r="AG327" s="3">
        <v>37.1</v>
      </c>
      <c r="AH327" s="3">
        <v>20.7</v>
      </c>
      <c r="AI327" s="3" t="str">
        <f>IF(EHR[[#This Row],[BMI_kg_m2]]&gt;=30,"Obese","Non-Obese")</f>
        <v>Non-Obese</v>
      </c>
      <c r="AJ327" s="3">
        <v>93</v>
      </c>
      <c r="AK327" s="3" t="s">
        <v>50</v>
      </c>
      <c r="AL327" s="3" t="s">
        <v>51</v>
      </c>
      <c r="AM327" s="3" t="s">
        <v>52</v>
      </c>
      <c r="AN327" s="3" t="s">
        <v>53</v>
      </c>
      <c r="AO327" s="3" t="s">
        <v>54</v>
      </c>
    </row>
    <row r="328" spans="1:41" x14ac:dyDescent="0.2">
      <c r="A328" s="6" t="s">
        <v>1196</v>
      </c>
      <c r="B328" s="2" t="s">
        <v>1197</v>
      </c>
      <c r="C328" s="13">
        <v>45012</v>
      </c>
      <c r="D328" s="2" t="s">
        <v>95</v>
      </c>
      <c r="E328" s="2" t="s">
        <v>61</v>
      </c>
      <c r="F328" s="2" t="s">
        <v>132</v>
      </c>
      <c r="G328" s="2" t="s">
        <v>76</v>
      </c>
      <c r="H328" s="13">
        <v>18417</v>
      </c>
      <c r="I328" s="2">
        <v>75</v>
      </c>
      <c r="J328" s="2" t="str" cm="1">
        <f t="array" ref="J32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28" s="2" t="s">
        <v>1572</v>
      </c>
      <c r="L328" s="2" t="s">
        <v>78</v>
      </c>
      <c r="M328" s="2" t="s">
        <v>43</v>
      </c>
      <c r="N328" s="2" t="s">
        <v>80</v>
      </c>
      <c r="O328" s="2" t="s">
        <v>81</v>
      </c>
      <c r="P328" s="2" t="s">
        <v>67</v>
      </c>
      <c r="Q328" s="2" t="str">
        <f>_xlfn.XLOOKUP(EHR[[#This Row],[Primary_ICD11_Code]],'03_ICD11_Reference'!A:A,'03_ICD11_Reference'!D:D,,0)</f>
        <v>Endocrine</v>
      </c>
      <c r="R328" s="2" t="s">
        <v>68</v>
      </c>
      <c r="S328" s="2" t="s">
        <v>69</v>
      </c>
      <c r="T328" s="2" t="s">
        <v>237</v>
      </c>
      <c r="U328" s="2">
        <v>1</v>
      </c>
      <c r="V328" s="2" t="str">
        <f>_xlfn.XLOOKUP(EHR[[#This Row],[Encounter_ID]],'02_Lab_Results'!B:B,'02_Lab_Results'!D:D,,0)</f>
        <v>2951-2</v>
      </c>
      <c r="W328" s="2" t="str">
        <f>_xlfn.XLOOKUP(EHR[[#This Row],[LOINC Code]],'04_LOINC_Reference'!A:A,'04_LOINC_Reference'!F:F,,0)</f>
        <v>Biochemistry</v>
      </c>
      <c r="X328" s="2" t="str">
        <f>_xlfn.XLOOKUP(EHR[[#This Row],[LOINC Code]],'02_Lab_Results'!D:D,'02_Lab_Results'!E:E,,0)</f>
        <v>Serum sodium</v>
      </c>
      <c r="Y328" s="2" t="str">
        <f>_xlfn.XLOOKUP(EHR[[#This Row],[LOINC Code]],'02_Lab_Results'!D:D,'02_Lab_Results'!J:J,,0)</f>
        <v>Low</v>
      </c>
      <c r="Z328" s="2" t="str" cm="1">
        <f t="array" ref="Z328">_xlfn.XLOOKUP(1,(B328=B$2:B$500)*(V$2:V$500="4548-4"),Y$2:Y$500,"Not Tested")</f>
        <v>Not Tested</v>
      </c>
      <c r="AA328" s="2">
        <v>143</v>
      </c>
      <c r="AB328" s="2">
        <v>82</v>
      </c>
      <c r="AC328" s="2" t="str">
        <f>IF(AND(EHR[[#This Row],[BP_Systolic_mmHg]]&lt;140,EHR[[#This Row],[BP_Diastolic_mmHg]]&lt;90),"Controlled",IF(OR(EHR[[#This Row],[BP_Systolic_mmHg]]="Not Recorded",EHR[[#This Row],[BP_Diastolic_mmHg]]="Not Recorded"),"No Reading","Uncontrolled"))</f>
        <v>Uncontrolled</v>
      </c>
      <c r="AD328" s="2" t="str">
        <f>_xlfn.CONCAT(EHR[[#This Row],[BP_Systolic_mmHg]],"/",EHR[[#This Row],[BP_Diastolic_mmHg]])</f>
        <v>143/82</v>
      </c>
      <c r="AE328" s="2">
        <v>100</v>
      </c>
      <c r="AF328" s="2">
        <v>13</v>
      </c>
      <c r="AG328" s="2">
        <v>37.6</v>
      </c>
      <c r="AH328" s="2">
        <v>23</v>
      </c>
      <c r="AI328" s="2" t="str">
        <f>IF(EHR[[#This Row],[BMI_kg_m2]]&gt;=30,"Obese","Non-Obese")</f>
        <v>Non-Obese</v>
      </c>
      <c r="AJ328" s="2">
        <v>91</v>
      </c>
      <c r="AK328" s="2" t="s">
        <v>50</v>
      </c>
      <c r="AL328" s="2" t="s">
        <v>51</v>
      </c>
      <c r="AM328" s="2" t="s">
        <v>52</v>
      </c>
      <c r="AN328" s="2" t="s">
        <v>53</v>
      </c>
      <c r="AO328" s="2" t="s">
        <v>54</v>
      </c>
    </row>
    <row r="329" spans="1:41" x14ac:dyDescent="0.2">
      <c r="A329" s="7" t="s">
        <v>1199</v>
      </c>
      <c r="B329" s="3" t="s">
        <v>1200</v>
      </c>
      <c r="C329" s="14">
        <v>45381</v>
      </c>
      <c r="D329" s="3" t="s">
        <v>103</v>
      </c>
      <c r="E329" s="3" t="s">
        <v>167</v>
      </c>
      <c r="F329" s="3" t="s">
        <v>219</v>
      </c>
      <c r="G329" s="3" t="s">
        <v>76</v>
      </c>
      <c r="H329" s="14">
        <v>38849</v>
      </c>
      <c r="I329" s="3">
        <v>19</v>
      </c>
      <c r="J329" s="3" t="str" cm="1">
        <f t="array" ref="J32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29" s="3" t="s">
        <v>1573</v>
      </c>
      <c r="L329" s="3" t="s">
        <v>110</v>
      </c>
      <c r="M329" s="3" t="s">
        <v>141</v>
      </c>
      <c r="N329" s="3" t="s">
        <v>44</v>
      </c>
      <c r="O329" s="3" t="s">
        <v>182</v>
      </c>
      <c r="P329" s="3" t="s">
        <v>328</v>
      </c>
      <c r="Q329" s="3" t="str">
        <f>_xlfn.XLOOKUP(EHR[[#This Row],[Primary_ICD11_Code]],'03_ICD11_Reference'!A:A,'03_ICD11_Reference'!D:D,,0)</f>
        <v>Mental health</v>
      </c>
      <c r="R329" s="3" t="s">
        <v>329</v>
      </c>
      <c r="S329" s="3" t="s">
        <v>69</v>
      </c>
      <c r="T329" s="3" t="s">
        <v>1203</v>
      </c>
      <c r="U329" s="3">
        <v>4</v>
      </c>
      <c r="V329" s="3" t="str">
        <f>_xlfn.XLOOKUP(EHR[[#This Row],[Encounter_ID]],'02_Lab_Results'!B:B,'02_Lab_Results'!D:D,,0)</f>
        <v>2093-3</v>
      </c>
      <c r="W329" s="3" t="str">
        <f>_xlfn.XLOOKUP(EHR[[#This Row],[LOINC Code]],'04_LOINC_Reference'!A:A,'04_LOINC_Reference'!F:F,,0)</f>
        <v>Biochemistry</v>
      </c>
      <c r="X329" s="3" t="str">
        <f>_xlfn.XLOOKUP(EHR[[#This Row],[LOINC Code]],'02_Lab_Results'!D:D,'02_Lab_Results'!E:E,,0)</f>
        <v>Total cholesterol</v>
      </c>
      <c r="Y329" s="3" t="str">
        <f>_xlfn.XLOOKUP(EHR[[#This Row],[LOINC Code]],'02_Lab_Results'!D:D,'02_Lab_Results'!J:J,,0)</f>
        <v>Normal</v>
      </c>
      <c r="Z329" s="3" t="str" cm="1">
        <f t="array" ref="Z329">_xlfn.XLOOKUP(1,(B329=B$2:B$500)*(V$2:V$500="4548-4"),Y$2:Y$500,"Not Tested")</f>
        <v>Not Tested</v>
      </c>
      <c r="AA329" s="3">
        <v>162</v>
      </c>
      <c r="AB329" s="3">
        <v>80</v>
      </c>
      <c r="AC329" s="3" t="str">
        <f>IF(AND(EHR[[#This Row],[BP_Systolic_mmHg]]&lt;140,EHR[[#This Row],[BP_Diastolic_mmHg]]&lt;90),"Controlled",IF(OR(EHR[[#This Row],[BP_Systolic_mmHg]]="Not Recorded",EHR[[#This Row],[BP_Diastolic_mmHg]]="Not Recorded"),"No Reading","Uncontrolled"))</f>
        <v>Uncontrolled</v>
      </c>
      <c r="AD329" s="3" t="str">
        <f>_xlfn.CONCAT(EHR[[#This Row],[BP_Systolic_mmHg]],"/",EHR[[#This Row],[BP_Diastolic_mmHg]])</f>
        <v>162/80</v>
      </c>
      <c r="AE329" s="3">
        <v>83</v>
      </c>
      <c r="AF329" s="3">
        <v>15</v>
      </c>
      <c r="AG329" s="3">
        <v>38.299999999999997</v>
      </c>
      <c r="AH329" s="3">
        <v>43.1</v>
      </c>
      <c r="AI329" s="3" t="str">
        <f>IF(EHR[[#This Row],[BMI_kg_m2]]&gt;=30,"Obese","Non-Obese")</f>
        <v>Obese</v>
      </c>
      <c r="AJ329" s="3">
        <v>96</v>
      </c>
      <c r="AK329" s="3" t="s">
        <v>50</v>
      </c>
      <c r="AL329" s="3" t="s">
        <v>51</v>
      </c>
      <c r="AM329" s="3" t="s">
        <v>52</v>
      </c>
      <c r="AN329" s="3" t="s">
        <v>53</v>
      </c>
      <c r="AO329" s="3" t="s">
        <v>54</v>
      </c>
    </row>
    <row r="330" spans="1:41" x14ac:dyDescent="0.2">
      <c r="A330" s="6" t="s">
        <v>1199</v>
      </c>
      <c r="B330" s="2" t="s">
        <v>1204</v>
      </c>
      <c r="C330" s="13">
        <v>45531</v>
      </c>
      <c r="D330" s="2" t="s">
        <v>95</v>
      </c>
      <c r="E330" s="2" t="s">
        <v>167</v>
      </c>
      <c r="F330" s="2" t="s">
        <v>148</v>
      </c>
      <c r="G330" s="2" t="s">
        <v>98</v>
      </c>
      <c r="H330" s="13">
        <v>38849</v>
      </c>
      <c r="I330" s="2">
        <v>19</v>
      </c>
      <c r="J330" s="2" t="str" cm="1">
        <f t="array" ref="J33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30" s="2" t="s">
        <v>1573</v>
      </c>
      <c r="L330" s="2" t="s">
        <v>110</v>
      </c>
      <c r="M330" s="2" t="s">
        <v>141</v>
      </c>
      <c r="N330" s="2" t="s">
        <v>44</v>
      </c>
      <c r="O330" s="2" t="s">
        <v>182</v>
      </c>
      <c r="P330" s="2" t="s">
        <v>328</v>
      </c>
      <c r="Q330" s="2" t="str">
        <f>_xlfn.XLOOKUP(EHR[[#This Row],[Primary_ICD11_Code]],'03_ICD11_Reference'!A:A,'03_ICD11_Reference'!D:D,,0)</f>
        <v>Mental health</v>
      </c>
      <c r="R330" s="2" t="s">
        <v>329</v>
      </c>
      <c r="S330" s="2" t="s">
        <v>69</v>
      </c>
      <c r="T330" s="2" t="s">
        <v>1206</v>
      </c>
      <c r="U330" s="2">
        <v>2</v>
      </c>
      <c r="V330" s="2" t="str">
        <f>_xlfn.XLOOKUP(EHR[[#This Row],[Encounter_ID]],'02_Lab_Results'!B:B,'02_Lab_Results'!D:D,,0)</f>
        <v>4548-4</v>
      </c>
      <c r="W330" s="2" t="str">
        <f>_xlfn.XLOOKUP(EHR[[#This Row],[LOINC Code]],'04_LOINC_Reference'!A:A,'04_LOINC_Reference'!F:F,,0)</f>
        <v>Biochemistry</v>
      </c>
      <c r="X330" s="2" t="str">
        <f>_xlfn.XLOOKUP(EHR[[#This Row],[LOINC Code]],'02_Lab_Results'!D:D,'02_Lab_Results'!E:E,,0)</f>
        <v>HbA1c</v>
      </c>
      <c r="Y330" s="2" t="str">
        <f>_xlfn.XLOOKUP(EHR[[#This Row],[LOINC Code]],'02_Lab_Results'!D:D,'02_Lab_Results'!J:J,,0)</f>
        <v>High</v>
      </c>
      <c r="Z330" s="2" t="str" cm="1">
        <f t="array" ref="Z330">_xlfn.XLOOKUP(1,(B330=B$2:B$500)*(V$2:V$500="4548-4"),Y$2:Y$500,"Not Tested")</f>
        <v>High</v>
      </c>
      <c r="AA330" s="2">
        <v>163</v>
      </c>
      <c r="AB330" s="2">
        <v>60</v>
      </c>
      <c r="AC330" s="2" t="str">
        <f>IF(AND(EHR[[#This Row],[BP_Systolic_mmHg]]&lt;140,EHR[[#This Row],[BP_Diastolic_mmHg]]&lt;90),"Controlled",IF(OR(EHR[[#This Row],[BP_Systolic_mmHg]]="Not Recorded",EHR[[#This Row],[BP_Diastolic_mmHg]]="Not Recorded"),"No Reading","Uncontrolled"))</f>
        <v>Uncontrolled</v>
      </c>
      <c r="AD330" s="2" t="str">
        <f>_xlfn.CONCAT(EHR[[#This Row],[BP_Systolic_mmHg]],"/",EHR[[#This Row],[BP_Diastolic_mmHg]])</f>
        <v>163/60</v>
      </c>
      <c r="AE330" s="2">
        <v>81</v>
      </c>
      <c r="AF330" s="2">
        <v>27</v>
      </c>
      <c r="AG330" s="2">
        <v>37.299999999999997</v>
      </c>
      <c r="AH330" s="2">
        <v>33.299999999999997</v>
      </c>
      <c r="AI330" s="2" t="str">
        <f>IF(EHR[[#This Row],[BMI_kg_m2]]&gt;=30,"Obese","Non-Obese")</f>
        <v>Obese</v>
      </c>
      <c r="AJ330" s="2">
        <v>96</v>
      </c>
      <c r="AK330" s="2" t="s">
        <v>50</v>
      </c>
      <c r="AL330" s="2" t="s">
        <v>51</v>
      </c>
      <c r="AM330" s="2" t="s">
        <v>52</v>
      </c>
      <c r="AN330" s="2" t="s">
        <v>53</v>
      </c>
      <c r="AO330" s="2" t="s">
        <v>54</v>
      </c>
    </row>
    <row r="331" spans="1:41" x14ac:dyDescent="0.2">
      <c r="A331" s="7" t="s">
        <v>1199</v>
      </c>
      <c r="B331" s="3" t="s">
        <v>1207</v>
      </c>
      <c r="C331" s="14">
        <v>45236</v>
      </c>
      <c r="D331" s="3" t="s">
        <v>95</v>
      </c>
      <c r="E331" s="3" t="s">
        <v>61</v>
      </c>
      <c r="F331" s="3" t="s">
        <v>75</v>
      </c>
      <c r="G331" s="3" t="s">
        <v>63</v>
      </c>
      <c r="H331" s="14">
        <v>38849</v>
      </c>
      <c r="I331" s="3">
        <v>19</v>
      </c>
      <c r="J331" s="3" t="str" cm="1">
        <f t="array" ref="J33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31" s="3" t="s">
        <v>1573</v>
      </c>
      <c r="L331" s="3" t="s">
        <v>66</v>
      </c>
      <c r="M331" s="3" t="s">
        <v>141</v>
      </c>
      <c r="N331" s="3" t="s">
        <v>44</v>
      </c>
      <c r="O331" s="3" t="s">
        <v>182</v>
      </c>
      <c r="P331" s="3" t="s">
        <v>328</v>
      </c>
      <c r="Q331" s="3" t="str">
        <f>_xlfn.XLOOKUP(EHR[[#This Row],[Primary_ICD11_Code]],'03_ICD11_Reference'!A:A,'03_ICD11_Reference'!D:D,,0)</f>
        <v>Mental health</v>
      </c>
      <c r="R331" s="3" t="s">
        <v>329</v>
      </c>
      <c r="S331" s="3" t="s">
        <v>69</v>
      </c>
      <c r="T331" s="3" t="s">
        <v>1208</v>
      </c>
      <c r="U331" s="3">
        <v>4</v>
      </c>
      <c r="V331" s="3" t="str">
        <f>_xlfn.XLOOKUP(EHR[[#This Row],[Encounter_ID]],'02_Lab_Results'!B:B,'02_Lab_Results'!D:D,,0)</f>
        <v>2777-1</v>
      </c>
      <c r="W331" s="3" t="str">
        <f>_xlfn.XLOOKUP(EHR[[#This Row],[LOINC Code]],'04_LOINC_Reference'!A:A,'04_LOINC_Reference'!F:F,,0)</f>
        <v>Biochemistry</v>
      </c>
      <c r="X331" s="3" t="str">
        <f>_xlfn.XLOOKUP(EHR[[#This Row],[LOINC Code]],'02_Lab_Results'!D:D,'02_Lab_Results'!E:E,,0)</f>
        <v>Serum phosphate</v>
      </c>
      <c r="Y331" s="3" t="str">
        <f>_xlfn.XLOOKUP(EHR[[#This Row],[LOINC Code]],'02_Lab_Results'!D:D,'02_Lab_Results'!J:J,,0)</f>
        <v>Normal</v>
      </c>
      <c r="Z331" s="3" t="str" cm="1">
        <f t="array" ref="Z331">_xlfn.XLOOKUP(1,(B331=B$2:B$500)*(V$2:V$500="4548-4"),Y$2:Y$500,"Not Tested")</f>
        <v>Not Tested</v>
      </c>
      <c r="AA331" s="3">
        <v>170</v>
      </c>
      <c r="AB331" s="3">
        <v>73</v>
      </c>
      <c r="AC331" s="3" t="str">
        <f>IF(AND(EHR[[#This Row],[BP_Systolic_mmHg]]&lt;140,EHR[[#This Row],[BP_Diastolic_mmHg]]&lt;90),"Controlled",IF(OR(EHR[[#This Row],[BP_Systolic_mmHg]]="Not Recorded",EHR[[#This Row],[BP_Diastolic_mmHg]]="Not Recorded"),"No Reading","Uncontrolled"))</f>
        <v>Uncontrolled</v>
      </c>
      <c r="AD331" s="3" t="str">
        <f>_xlfn.CONCAT(EHR[[#This Row],[BP_Systolic_mmHg]],"/",EHR[[#This Row],[BP_Diastolic_mmHg]])</f>
        <v>170/73</v>
      </c>
      <c r="AE331" s="3">
        <v>92</v>
      </c>
      <c r="AF331" s="3">
        <v>19</v>
      </c>
      <c r="AG331" s="3">
        <v>36.1</v>
      </c>
      <c r="AH331" s="3">
        <v>17.600000000000001</v>
      </c>
      <c r="AI331" s="3" t="str">
        <f>IF(EHR[[#This Row],[BMI_kg_m2]]&gt;=30,"Obese","Non-Obese")</f>
        <v>Non-Obese</v>
      </c>
      <c r="AJ331" s="3">
        <v>90</v>
      </c>
      <c r="AK331" s="3" t="s">
        <v>50</v>
      </c>
      <c r="AL331" s="3" t="s">
        <v>51</v>
      </c>
      <c r="AM331" s="3" t="s">
        <v>52</v>
      </c>
      <c r="AN331" s="3" t="s">
        <v>53</v>
      </c>
      <c r="AO331" s="3" t="s">
        <v>54</v>
      </c>
    </row>
    <row r="332" spans="1:41" x14ac:dyDescent="0.2">
      <c r="A332" s="6" t="s">
        <v>1209</v>
      </c>
      <c r="B332" s="2" t="s">
        <v>1210</v>
      </c>
      <c r="C332" s="13">
        <v>45414</v>
      </c>
      <c r="D332" s="2" t="s">
        <v>103</v>
      </c>
      <c r="E332" s="2" t="s">
        <v>167</v>
      </c>
      <c r="F332" s="2" t="s">
        <v>38</v>
      </c>
      <c r="G332" s="2" t="s">
        <v>123</v>
      </c>
      <c r="H332" s="13">
        <v>16122</v>
      </c>
      <c r="I332" s="2">
        <v>81</v>
      </c>
      <c r="J332" s="2" t="str" cm="1">
        <f t="array" ref="J33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32" s="2" t="s">
        <v>1573</v>
      </c>
      <c r="L332" s="2" t="s">
        <v>42</v>
      </c>
      <c r="M332" s="2" t="s">
        <v>141</v>
      </c>
      <c r="N332" s="2" t="s">
        <v>1574</v>
      </c>
      <c r="O332" s="2" t="s">
        <v>81</v>
      </c>
      <c r="P332" s="2" t="s">
        <v>328</v>
      </c>
      <c r="Q332" s="2" t="str">
        <f>_xlfn.XLOOKUP(EHR[[#This Row],[Primary_ICD11_Code]],'03_ICD11_Reference'!A:A,'03_ICD11_Reference'!D:D,,0)</f>
        <v>Mental health</v>
      </c>
      <c r="R332" s="2" t="s">
        <v>329</v>
      </c>
      <c r="S332" s="2" t="s">
        <v>69</v>
      </c>
      <c r="T332" s="2" t="s">
        <v>1213</v>
      </c>
      <c r="U332" s="2">
        <v>2</v>
      </c>
      <c r="V332" s="2" t="str">
        <f>_xlfn.XLOOKUP(EHR[[#This Row],[Encounter_ID]],'02_Lab_Results'!B:B,'02_Lab_Results'!D:D,,0)</f>
        <v>2085-9</v>
      </c>
      <c r="W332" s="2" t="str">
        <f>_xlfn.XLOOKUP(EHR[[#This Row],[LOINC Code]],'04_LOINC_Reference'!A:A,'04_LOINC_Reference'!F:F,,0)</f>
        <v>Biochemistry</v>
      </c>
      <c r="X332" s="2" t="str">
        <f>_xlfn.XLOOKUP(EHR[[#This Row],[LOINC Code]],'02_Lab_Results'!D:D,'02_Lab_Results'!E:E,,0)</f>
        <v>HDL cholesterol</v>
      </c>
      <c r="Y332" s="2" t="str">
        <f>_xlfn.XLOOKUP(EHR[[#This Row],[LOINC Code]],'02_Lab_Results'!D:D,'02_Lab_Results'!J:J,,0)</f>
        <v>Normal</v>
      </c>
      <c r="Z332" s="2" t="str" cm="1">
        <f t="array" ref="Z332">_xlfn.XLOOKUP(1,(B332=B$2:B$500)*(V$2:V$500="4548-4"),Y$2:Y$500,"Not Tested")</f>
        <v>Not Tested</v>
      </c>
      <c r="AA332" s="2">
        <v>183</v>
      </c>
      <c r="AB332" s="2">
        <v>104</v>
      </c>
      <c r="AC332" s="2" t="str">
        <f>IF(AND(EHR[[#This Row],[BP_Systolic_mmHg]]&lt;140,EHR[[#This Row],[BP_Diastolic_mmHg]]&lt;90),"Controlled",IF(OR(EHR[[#This Row],[BP_Systolic_mmHg]]="Not Recorded",EHR[[#This Row],[BP_Diastolic_mmHg]]="Not Recorded"),"No Reading","Uncontrolled"))</f>
        <v>Uncontrolled</v>
      </c>
      <c r="AD332" s="2" t="str">
        <f>_xlfn.CONCAT(EHR[[#This Row],[BP_Systolic_mmHg]],"/",EHR[[#This Row],[BP_Diastolic_mmHg]])</f>
        <v>183/104</v>
      </c>
      <c r="AE332" s="2">
        <v>78</v>
      </c>
      <c r="AF332" s="2">
        <v>24</v>
      </c>
      <c r="AG332" s="2">
        <v>36.1</v>
      </c>
      <c r="AH332" s="2">
        <v>24.9</v>
      </c>
      <c r="AI332" s="2" t="str">
        <f>IF(EHR[[#This Row],[BMI_kg_m2]]&gt;=30,"Obese","Non-Obese")</f>
        <v>Non-Obese</v>
      </c>
      <c r="AJ332" s="2">
        <v>95</v>
      </c>
      <c r="AK332" s="2" t="s">
        <v>50</v>
      </c>
      <c r="AL332" s="2" t="s">
        <v>51</v>
      </c>
      <c r="AM332" s="2" t="s">
        <v>52</v>
      </c>
      <c r="AN332" s="2" t="s">
        <v>53</v>
      </c>
      <c r="AO332" s="2" t="s">
        <v>54</v>
      </c>
    </row>
    <row r="333" spans="1:41" x14ac:dyDescent="0.2">
      <c r="A333" s="7" t="s">
        <v>1209</v>
      </c>
      <c r="B333" s="3" t="s">
        <v>1214</v>
      </c>
      <c r="C333" s="14">
        <v>45296</v>
      </c>
      <c r="D333" s="3" t="s">
        <v>88</v>
      </c>
      <c r="E333" s="3" t="s">
        <v>167</v>
      </c>
      <c r="F333" s="3" t="s">
        <v>109</v>
      </c>
      <c r="G333" s="3" t="s">
        <v>104</v>
      </c>
      <c r="H333" s="14">
        <v>16122</v>
      </c>
      <c r="I333" s="3">
        <v>81</v>
      </c>
      <c r="J333" s="3" t="str" cm="1">
        <f t="array" ref="J33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33" s="3" t="s">
        <v>1573</v>
      </c>
      <c r="L333" s="3" t="s">
        <v>42</v>
      </c>
      <c r="M333" s="3" t="s">
        <v>141</v>
      </c>
      <c r="N333" s="3" t="s">
        <v>1574</v>
      </c>
      <c r="O333" s="3" t="s">
        <v>81</v>
      </c>
      <c r="P333" s="3" t="s">
        <v>328</v>
      </c>
      <c r="Q333" s="3" t="str">
        <f>_xlfn.XLOOKUP(EHR[[#This Row],[Primary_ICD11_Code]],'03_ICD11_Reference'!A:A,'03_ICD11_Reference'!D:D,,0)</f>
        <v>Mental health</v>
      </c>
      <c r="R333" s="3" t="s">
        <v>329</v>
      </c>
      <c r="S333" s="3" t="s">
        <v>69</v>
      </c>
      <c r="T333" s="3" t="s">
        <v>1216</v>
      </c>
      <c r="U333" s="3">
        <v>2</v>
      </c>
      <c r="V333" s="3" t="str">
        <f>_xlfn.XLOOKUP(EHR[[#This Row],[Encounter_ID]],'02_Lab_Results'!B:B,'02_Lab_Results'!D:D,,0)</f>
        <v>2345-7</v>
      </c>
      <c r="W333" s="3" t="str">
        <f>_xlfn.XLOOKUP(EHR[[#This Row],[LOINC Code]],'04_LOINC_Reference'!A:A,'04_LOINC_Reference'!F:F,,0)</f>
        <v>Biochemistry</v>
      </c>
      <c r="X333" s="3" t="str">
        <f>_xlfn.XLOOKUP(EHR[[#This Row],[LOINC Code]],'02_Lab_Results'!D:D,'02_Lab_Results'!E:E,,0)</f>
        <v>Serum glucose (fasting)</v>
      </c>
      <c r="Y333" s="3" t="str">
        <f>_xlfn.XLOOKUP(EHR[[#This Row],[LOINC Code]],'02_Lab_Results'!D:D,'02_Lab_Results'!J:J,,0)</f>
        <v>Normal</v>
      </c>
      <c r="Z333" s="3" t="str" cm="1">
        <f t="array" ref="Z333">_xlfn.XLOOKUP(1,(B333=B$2:B$500)*(V$2:V$500="4548-4"),Y$2:Y$500,"Not Tested")</f>
        <v>Not Tested</v>
      </c>
      <c r="AA333" s="3">
        <v>133</v>
      </c>
      <c r="AB333" s="3">
        <v>110</v>
      </c>
      <c r="AC333" s="3" t="str">
        <f>IF(AND(EHR[[#This Row],[BP_Systolic_mmHg]]&lt;140,EHR[[#This Row],[BP_Diastolic_mmHg]]&lt;90),"Controlled",IF(OR(EHR[[#This Row],[BP_Systolic_mmHg]]="Not Recorded",EHR[[#This Row],[BP_Diastolic_mmHg]]="Not Recorded"),"No Reading","Uncontrolled"))</f>
        <v>Uncontrolled</v>
      </c>
      <c r="AD333" s="3" t="str">
        <f>_xlfn.CONCAT(EHR[[#This Row],[BP_Systolic_mmHg]],"/",EHR[[#This Row],[BP_Diastolic_mmHg]])</f>
        <v>133/110</v>
      </c>
      <c r="AE333" s="3">
        <v>77</v>
      </c>
      <c r="AF333" s="3">
        <v>17</v>
      </c>
      <c r="AG333" s="3">
        <v>37.700000000000003</v>
      </c>
      <c r="AH333" s="3">
        <v>44.2</v>
      </c>
      <c r="AI333" s="3" t="str">
        <f>IF(EHR[[#This Row],[BMI_kg_m2]]&gt;=30,"Obese","Non-Obese")</f>
        <v>Obese</v>
      </c>
      <c r="AJ333" s="3">
        <v>94</v>
      </c>
      <c r="AK333" s="3" t="s">
        <v>50</v>
      </c>
      <c r="AL333" s="3" t="s">
        <v>51</v>
      </c>
      <c r="AM333" s="3" t="s">
        <v>52</v>
      </c>
      <c r="AN333" s="3" t="s">
        <v>53</v>
      </c>
      <c r="AO333" s="3" t="s">
        <v>54</v>
      </c>
    </row>
    <row r="334" spans="1:41" x14ac:dyDescent="0.2">
      <c r="A334" s="6" t="s">
        <v>1209</v>
      </c>
      <c r="B334" s="2" t="s">
        <v>1217</v>
      </c>
      <c r="C334" s="13">
        <v>45628</v>
      </c>
      <c r="D334" s="2" t="s">
        <v>103</v>
      </c>
      <c r="E334" s="2" t="s">
        <v>61</v>
      </c>
      <c r="F334" s="2" t="s">
        <v>148</v>
      </c>
      <c r="G334" s="2" t="s">
        <v>138</v>
      </c>
      <c r="H334" s="13">
        <v>16122</v>
      </c>
      <c r="I334" s="2">
        <v>81</v>
      </c>
      <c r="J334" s="2" t="str" cm="1">
        <f t="array" ref="J33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34" s="2" t="s">
        <v>1573</v>
      </c>
      <c r="L334" s="2" t="s">
        <v>66</v>
      </c>
      <c r="M334" s="2" t="s">
        <v>141</v>
      </c>
      <c r="N334" s="2" t="s">
        <v>1574</v>
      </c>
      <c r="O334" s="2" t="s">
        <v>81</v>
      </c>
      <c r="P334" s="2" t="s">
        <v>328</v>
      </c>
      <c r="Q334" s="2" t="str">
        <f>_xlfn.XLOOKUP(EHR[[#This Row],[Primary_ICD11_Code]],'03_ICD11_Reference'!A:A,'03_ICD11_Reference'!D:D,,0)</f>
        <v>Mental health</v>
      </c>
      <c r="R334" s="2" t="s">
        <v>329</v>
      </c>
      <c r="S334" s="2" t="s">
        <v>69</v>
      </c>
      <c r="T334" s="2" t="s">
        <v>1219</v>
      </c>
      <c r="U334" s="2">
        <v>4</v>
      </c>
      <c r="V334" s="2" t="str">
        <f>_xlfn.XLOOKUP(EHR[[#This Row],[Encounter_ID]],'02_Lab_Results'!B:B,'02_Lab_Results'!D:D,,0)</f>
        <v>6768-6</v>
      </c>
      <c r="W334" s="2" t="str">
        <f>_xlfn.XLOOKUP(EHR[[#This Row],[LOINC Code]],'04_LOINC_Reference'!A:A,'04_LOINC_Reference'!F:F,,0)</f>
        <v>Biochemistry</v>
      </c>
      <c r="X334" s="2" t="str">
        <f>_xlfn.XLOOKUP(EHR[[#This Row],[LOINC Code]],'02_Lab_Results'!D:D,'02_Lab_Results'!E:E,,0)</f>
        <v>ALP</v>
      </c>
      <c r="Y334" s="2" t="str">
        <f>_xlfn.XLOOKUP(EHR[[#This Row],[LOINC Code]],'02_Lab_Results'!D:D,'02_Lab_Results'!J:J,,0)</f>
        <v>High</v>
      </c>
      <c r="Z334" s="2" t="str" cm="1">
        <f t="array" ref="Z334">_xlfn.XLOOKUP(1,(B334=B$2:B$500)*(V$2:V$500="4548-4"),Y$2:Y$500,"Not Tested")</f>
        <v>Not Tested</v>
      </c>
      <c r="AA334" s="2">
        <v>158</v>
      </c>
      <c r="AB334" s="2">
        <v>77</v>
      </c>
      <c r="AC334" s="2" t="str">
        <f>IF(AND(EHR[[#This Row],[BP_Systolic_mmHg]]&lt;140,EHR[[#This Row],[BP_Diastolic_mmHg]]&lt;90),"Controlled",IF(OR(EHR[[#This Row],[BP_Systolic_mmHg]]="Not Recorded",EHR[[#This Row],[BP_Diastolic_mmHg]]="Not Recorded"),"No Reading","Uncontrolled"))</f>
        <v>Uncontrolled</v>
      </c>
      <c r="AD334" s="2" t="str">
        <f>_xlfn.CONCAT(EHR[[#This Row],[BP_Systolic_mmHg]],"/",EHR[[#This Row],[BP_Diastolic_mmHg]])</f>
        <v>158/77</v>
      </c>
      <c r="AE334" s="2">
        <v>90</v>
      </c>
      <c r="AF334" s="2">
        <v>18</v>
      </c>
      <c r="AG334" s="2">
        <v>36.5</v>
      </c>
      <c r="AH334" s="2">
        <v>21.4</v>
      </c>
      <c r="AI334" s="2" t="str">
        <f>IF(EHR[[#This Row],[BMI_kg_m2]]&gt;=30,"Obese","Non-Obese")</f>
        <v>Non-Obese</v>
      </c>
      <c r="AJ334" s="2">
        <v>91</v>
      </c>
      <c r="AK334" s="2" t="s">
        <v>50</v>
      </c>
      <c r="AL334" s="2" t="s">
        <v>51</v>
      </c>
      <c r="AM334" s="2" t="s">
        <v>52</v>
      </c>
      <c r="AN334" s="2" t="s">
        <v>53</v>
      </c>
      <c r="AO334" s="2" t="s">
        <v>54</v>
      </c>
    </row>
    <row r="335" spans="1:41" x14ac:dyDescent="0.2">
      <c r="A335" s="7" t="s">
        <v>1209</v>
      </c>
      <c r="B335" s="3" t="s">
        <v>1220</v>
      </c>
      <c r="C335" s="14">
        <v>45119</v>
      </c>
      <c r="D335" s="3" t="s">
        <v>95</v>
      </c>
      <c r="E335" s="3" t="s">
        <v>37</v>
      </c>
      <c r="F335" s="3" t="s">
        <v>122</v>
      </c>
      <c r="G335" s="3" t="s">
        <v>115</v>
      </c>
      <c r="H335" s="14">
        <v>16122</v>
      </c>
      <c r="I335" s="3">
        <v>81</v>
      </c>
      <c r="J335" s="3" t="str" cm="1">
        <f t="array" ref="J33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35" s="3" t="s">
        <v>1573</v>
      </c>
      <c r="L335" s="3" t="s">
        <v>110</v>
      </c>
      <c r="M335" s="3" t="s">
        <v>141</v>
      </c>
      <c r="N335" s="3" t="s">
        <v>1574</v>
      </c>
      <c r="O335" s="3" t="s">
        <v>81</v>
      </c>
      <c r="P335" s="3" t="s">
        <v>328</v>
      </c>
      <c r="Q335" s="3" t="str">
        <f>_xlfn.XLOOKUP(EHR[[#This Row],[Primary_ICD11_Code]],'03_ICD11_Reference'!A:A,'03_ICD11_Reference'!D:D,,0)</f>
        <v>Mental health</v>
      </c>
      <c r="R335" s="3" t="s">
        <v>329</v>
      </c>
      <c r="S335" s="3" t="s">
        <v>69</v>
      </c>
      <c r="T335" s="3" t="s">
        <v>159</v>
      </c>
      <c r="U335" s="3">
        <v>1</v>
      </c>
      <c r="V335" s="3" t="str">
        <f>_xlfn.XLOOKUP(EHR[[#This Row],[Encounter_ID]],'02_Lab_Results'!B:B,'02_Lab_Results'!D:D,,0)</f>
        <v>2345-7</v>
      </c>
      <c r="W335" s="3" t="str">
        <f>_xlfn.XLOOKUP(EHR[[#This Row],[LOINC Code]],'04_LOINC_Reference'!A:A,'04_LOINC_Reference'!F:F,,0)</f>
        <v>Biochemistry</v>
      </c>
      <c r="X335" s="3" t="str">
        <f>_xlfn.XLOOKUP(EHR[[#This Row],[LOINC Code]],'02_Lab_Results'!D:D,'02_Lab_Results'!E:E,,0)</f>
        <v>Serum glucose (fasting)</v>
      </c>
      <c r="Y335" s="3" t="str">
        <f>_xlfn.XLOOKUP(EHR[[#This Row],[LOINC Code]],'02_Lab_Results'!D:D,'02_Lab_Results'!J:J,,0)</f>
        <v>Normal</v>
      </c>
      <c r="Z335" s="3" t="str" cm="1">
        <f t="array" ref="Z335">_xlfn.XLOOKUP(1,(B335=B$2:B$500)*(V$2:V$500="4548-4"),Y$2:Y$500,"Not Tested")</f>
        <v>Not Tested</v>
      </c>
      <c r="AA335" s="3">
        <v>167</v>
      </c>
      <c r="AB335" s="3">
        <v>89</v>
      </c>
      <c r="AC335" s="3" t="str">
        <f>IF(AND(EHR[[#This Row],[BP_Systolic_mmHg]]&lt;140,EHR[[#This Row],[BP_Diastolic_mmHg]]&lt;90),"Controlled",IF(OR(EHR[[#This Row],[BP_Systolic_mmHg]]="Not Recorded",EHR[[#This Row],[BP_Diastolic_mmHg]]="Not Recorded"),"No Reading","Uncontrolled"))</f>
        <v>Uncontrolled</v>
      </c>
      <c r="AD335" s="3" t="str">
        <f>_xlfn.CONCAT(EHR[[#This Row],[BP_Systolic_mmHg]],"/",EHR[[#This Row],[BP_Diastolic_mmHg]])</f>
        <v>167/89</v>
      </c>
      <c r="AE335" s="3">
        <v>102</v>
      </c>
      <c r="AF335" s="3">
        <v>27</v>
      </c>
      <c r="AG335" s="3">
        <v>38.700000000000003</v>
      </c>
      <c r="AH335" s="3">
        <v>37.799999999999997</v>
      </c>
      <c r="AI335" s="3" t="str">
        <f>IF(EHR[[#This Row],[BMI_kg_m2]]&gt;=30,"Obese","Non-Obese")</f>
        <v>Obese</v>
      </c>
      <c r="AJ335" s="3">
        <v>96</v>
      </c>
      <c r="AK335" s="3" t="s">
        <v>50</v>
      </c>
      <c r="AL335" s="3" t="s">
        <v>51</v>
      </c>
      <c r="AM335" s="3" t="s">
        <v>52</v>
      </c>
      <c r="AN335" s="3" t="s">
        <v>53</v>
      </c>
      <c r="AO335" s="3" t="s">
        <v>54</v>
      </c>
    </row>
    <row r="336" spans="1:41" x14ac:dyDescent="0.2">
      <c r="A336" s="6" t="s">
        <v>1209</v>
      </c>
      <c r="B336" s="2" t="s">
        <v>1221</v>
      </c>
      <c r="C336" s="13">
        <v>45418</v>
      </c>
      <c r="D336" s="2" t="s">
        <v>60</v>
      </c>
      <c r="E336" s="2" t="s">
        <v>61</v>
      </c>
      <c r="F336" s="2" t="s">
        <v>38</v>
      </c>
      <c r="G336" s="2" t="s">
        <v>115</v>
      </c>
      <c r="H336" s="13">
        <v>16122</v>
      </c>
      <c r="I336" s="2">
        <v>81</v>
      </c>
      <c r="J336" s="2" t="str" cm="1">
        <f t="array" ref="J33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36" s="2" t="s">
        <v>1573</v>
      </c>
      <c r="L336" s="2" t="s">
        <v>116</v>
      </c>
      <c r="M336" s="2" t="s">
        <v>141</v>
      </c>
      <c r="N336" s="2" t="s">
        <v>1574</v>
      </c>
      <c r="O336" s="2" t="s">
        <v>81</v>
      </c>
      <c r="P336" s="2" t="s">
        <v>328</v>
      </c>
      <c r="Q336" s="2" t="str">
        <f>_xlfn.XLOOKUP(EHR[[#This Row],[Primary_ICD11_Code]],'03_ICD11_Reference'!A:A,'03_ICD11_Reference'!D:D,,0)</f>
        <v>Mental health</v>
      </c>
      <c r="R336" s="2" t="s">
        <v>329</v>
      </c>
      <c r="S336" s="2" t="s">
        <v>69</v>
      </c>
      <c r="T336" s="2" t="s">
        <v>1222</v>
      </c>
      <c r="U336" s="2">
        <v>2</v>
      </c>
      <c r="V336" s="2" t="str">
        <f>_xlfn.XLOOKUP(EHR[[#This Row],[Encounter_ID]],'02_Lab_Results'!B:B,'02_Lab_Results'!D:D,,0)</f>
        <v>2345-7</v>
      </c>
      <c r="W336" s="2" t="str">
        <f>_xlfn.XLOOKUP(EHR[[#This Row],[LOINC Code]],'04_LOINC_Reference'!A:A,'04_LOINC_Reference'!F:F,,0)</f>
        <v>Biochemistry</v>
      </c>
      <c r="X336" s="2" t="str">
        <f>_xlfn.XLOOKUP(EHR[[#This Row],[LOINC Code]],'02_Lab_Results'!D:D,'02_Lab_Results'!E:E,,0)</f>
        <v>Serum glucose (fasting)</v>
      </c>
      <c r="Y336" s="2" t="str">
        <f>_xlfn.XLOOKUP(EHR[[#This Row],[LOINC Code]],'02_Lab_Results'!D:D,'02_Lab_Results'!J:J,,0)</f>
        <v>Normal</v>
      </c>
      <c r="Z336" s="2" t="str" cm="1">
        <f t="array" ref="Z336">_xlfn.XLOOKUP(1,(B336=B$2:B$500)*(V$2:V$500="4548-4"),Y$2:Y$500,"Not Tested")</f>
        <v>Not Tested</v>
      </c>
      <c r="AA336" s="2">
        <v>126</v>
      </c>
      <c r="AB336" s="2">
        <v>96</v>
      </c>
      <c r="AC336" s="2" t="str">
        <f>IF(AND(EHR[[#This Row],[BP_Systolic_mmHg]]&lt;140,EHR[[#This Row],[BP_Diastolic_mmHg]]&lt;90),"Controlled",IF(OR(EHR[[#This Row],[BP_Systolic_mmHg]]="Not Recorded",EHR[[#This Row],[BP_Diastolic_mmHg]]="Not Recorded"),"No Reading","Uncontrolled"))</f>
        <v>Uncontrolled</v>
      </c>
      <c r="AD336" s="2" t="str">
        <f>_xlfn.CONCAT(EHR[[#This Row],[BP_Systolic_mmHg]],"/",EHR[[#This Row],[BP_Diastolic_mmHg]])</f>
        <v>126/96</v>
      </c>
      <c r="AE336" s="2">
        <v>60</v>
      </c>
      <c r="AF336" s="2">
        <v>19</v>
      </c>
      <c r="AG336" s="2">
        <v>39.200000000000003</v>
      </c>
      <c r="AH336" s="2">
        <v>32.4</v>
      </c>
      <c r="AI336" s="2" t="str">
        <f>IF(EHR[[#This Row],[BMI_kg_m2]]&gt;=30,"Obese","Non-Obese")</f>
        <v>Obese</v>
      </c>
      <c r="AJ336" s="2">
        <v>100</v>
      </c>
      <c r="AK336" s="2" t="s">
        <v>50</v>
      </c>
      <c r="AL336" s="2" t="s">
        <v>51</v>
      </c>
      <c r="AM336" s="2" t="s">
        <v>52</v>
      </c>
      <c r="AN336" s="2" t="s">
        <v>53</v>
      </c>
      <c r="AO336" s="2" t="s">
        <v>54</v>
      </c>
    </row>
    <row r="337" spans="1:41" x14ac:dyDescent="0.2">
      <c r="A337" s="7" t="s">
        <v>1223</v>
      </c>
      <c r="B337" s="3" t="s">
        <v>1224</v>
      </c>
      <c r="C337" s="15">
        <f>EHR[[#This Row],[Patient_DOB]]+(EHR[[#This Row],[Age_at_Encounter]]*365)</f>
        <v>45709</v>
      </c>
      <c r="D337" s="3" t="s">
        <v>60</v>
      </c>
      <c r="E337" s="3" t="s">
        <v>37</v>
      </c>
      <c r="F337" s="3" t="s">
        <v>122</v>
      </c>
      <c r="G337" s="3" t="s">
        <v>138</v>
      </c>
      <c r="H337" s="14">
        <v>24904</v>
      </c>
      <c r="I337" s="4">
        <v>57</v>
      </c>
      <c r="J337" s="4" t="str" cm="1">
        <f t="array" ref="J33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37" s="3" t="s">
        <v>1572</v>
      </c>
      <c r="L337" s="3" t="s">
        <v>90</v>
      </c>
      <c r="M337" s="3" t="s">
        <v>141</v>
      </c>
      <c r="N337" s="3" t="s">
        <v>44</v>
      </c>
      <c r="O337" s="3" t="s">
        <v>45</v>
      </c>
      <c r="P337" s="3" t="s">
        <v>305</v>
      </c>
      <c r="Q337" s="3" t="str">
        <f>_xlfn.XLOOKUP(EHR[[#This Row],[Primary_ICD11_Code]],'03_ICD11_Reference'!A:A,'03_ICD11_Reference'!D:D,,0)</f>
        <v>Infectious</v>
      </c>
      <c r="R337" s="3" t="s">
        <v>306</v>
      </c>
      <c r="S337" s="3" t="s">
        <v>48</v>
      </c>
      <c r="T337" s="3" t="s">
        <v>1226</v>
      </c>
      <c r="U337" s="3">
        <v>3</v>
      </c>
      <c r="V337" s="3" t="str">
        <f>_xlfn.XLOOKUP(EHR[[#This Row],[Encounter_ID]],'02_Lab_Results'!B:B,'02_Lab_Results'!D:D,,0)</f>
        <v>2951-2</v>
      </c>
      <c r="W337" s="3" t="str">
        <f>_xlfn.XLOOKUP(EHR[[#This Row],[LOINC Code]],'04_LOINC_Reference'!A:A,'04_LOINC_Reference'!F:F,,0)</f>
        <v>Biochemistry</v>
      </c>
      <c r="X337" s="3" t="str">
        <f>_xlfn.XLOOKUP(EHR[[#This Row],[LOINC Code]],'02_Lab_Results'!D:D,'02_Lab_Results'!E:E,,0)</f>
        <v>Serum sodium</v>
      </c>
      <c r="Y337" s="3" t="str">
        <f>_xlfn.XLOOKUP(EHR[[#This Row],[LOINC Code]],'02_Lab_Results'!D:D,'02_Lab_Results'!J:J,,0)</f>
        <v>Low</v>
      </c>
      <c r="Z337" s="3" t="str" cm="1">
        <f t="array" ref="Z337">_xlfn.XLOOKUP(1,(B337=B$2:B$500)*(V$2:V$500="4548-4"),Y$2:Y$500,"Not Tested")</f>
        <v>Not Tested</v>
      </c>
      <c r="AA337" s="4">
        <v>163</v>
      </c>
      <c r="AB337" s="4" t="s">
        <v>1570</v>
      </c>
      <c r="AC337" s="4" t="str">
        <f>IF(AND(EHR[[#This Row],[BP_Systolic_mmHg]]&lt;140,EHR[[#This Row],[BP_Diastolic_mmHg]]&lt;90),"Controlled",IF(OR(EHR[[#This Row],[BP_Systolic_mmHg]]="Not Recorded",EHR[[#This Row],[BP_Diastolic_mmHg]]="Not Recorded"),"No Reading","Uncontrolled"))</f>
        <v>No Reading</v>
      </c>
      <c r="AD337" s="4" t="str">
        <f>_xlfn.CONCAT(EHR[[#This Row],[BP_Systolic_mmHg]],"/",EHR[[#This Row],[BP_Diastolic_mmHg]])</f>
        <v>163/Not Recorded</v>
      </c>
      <c r="AE337" s="3">
        <v>58</v>
      </c>
      <c r="AF337" s="3">
        <v>25</v>
      </c>
      <c r="AG337" s="3">
        <v>37.6</v>
      </c>
      <c r="AH337" s="4">
        <v>19.2</v>
      </c>
      <c r="AI337" s="4" t="str">
        <f>IF(EHR[[#This Row],[BMI_kg_m2]]&gt;=30,"Obese","Non-Obese")</f>
        <v>Non-Obese</v>
      </c>
      <c r="AJ337" s="3">
        <v>89</v>
      </c>
      <c r="AK337" s="3" t="s">
        <v>50</v>
      </c>
      <c r="AL337" s="3" t="s">
        <v>51</v>
      </c>
      <c r="AM337" s="3" t="s">
        <v>52</v>
      </c>
      <c r="AN337" s="3" t="s">
        <v>53</v>
      </c>
      <c r="AO337" s="3" t="s">
        <v>54</v>
      </c>
    </row>
    <row r="338" spans="1:41" x14ac:dyDescent="0.2">
      <c r="A338" s="6" t="s">
        <v>1227</v>
      </c>
      <c r="B338" s="2" t="s">
        <v>1228</v>
      </c>
      <c r="C338" s="13">
        <v>45708</v>
      </c>
      <c r="D338" s="2" t="s">
        <v>88</v>
      </c>
      <c r="E338" s="2" t="s">
        <v>96</v>
      </c>
      <c r="F338" s="2" t="s">
        <v>109</v>
      </c>
      <c r="G338" s="2" t="s">
        <v>115</v>
      </c>
      <c r="H338" s="13">
        <v>23168</v>
      </c>
      <c r="I338" s="2">
        <v>62</v>
      </c>
      <c r="J338" s="2" t="str" cm="1">
        <f t="array" ref="J33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38" s="2" t="s">
        <v>1573</v>
      </c>
      <c r="L338" s="2" t="s">
        <v>78</v>
      </c>
      <c r="M338" s="2" t="s">
        <v>43</v>
      </c>
      <c r="N338" s="2" t="s">
        <v>44</v>
      </c>
      <c r="O338" s="2" t="s">
        <v>45</v>
      </c>
      <c r="P338" s="2" t="s">
        <v>283</v>
      </c>
      <c r="Q338" s="2" t="str">
        <f>_xlfn.XLOOKUP(EHR[[#This Row],[Primary_ICD11_Code]],'03_ICD11_Reference'!A:A,'03_ICD11_Reference'!D:D,,0)</f>
        <v>Multi-system</v>
      </c>
      <c r="R338" s="2" t="s">
        <v>284</v>
      </c>
      <c r="S338" s="2" t="s">
        <v>69</v>
      </c>
      <c r="T338" s="2" t="s">
        <v>518</v>
      </c>
      <c r="U338" s="2">
        <v>1</v>
      </c>
      <c r="V338" s="2" t="str">
        <f>_xlfn.XLOOKUP(EHR[[#This Row],[Encounter_ID]],'02_Lab_Results'!B:B,'02_Lab_Results'!D:D,,0)</f>
        <v>17861-6</v>
      </c>
      <c r="W338" s="2" t="str">
        <f>_xlfn.XLOOKUP(EHR[[#This Row],[LOINC Code]],'04_LOINC_Reference'!A:A,'04_LOINC_Reference'!F:F,,0)</f>
        <v>Biochemistry</v>
      </c>
      <c r="X338" s="2" t="str">
        <f>_xlfn.XLOOKUP(EHR[[#This Row],[LOINC Code]],'02_Lab_Results'!D:D,'02_Lab_Results'!E:E,,0)</f>
        <v>Serum calcium</v>
      </c>
      <c r="Y338" s="2" t="str">
        <f>_xlfn.XLOOKUP(EHR[[#This Row],[LOINC Code]],'02_Lab_Results'!D:D,'02_Lab_Results'!J:J,,0)</f>
        <v>High</v>
      </c>
      <c r="Z338" s="2" t="str" cm="1">
        <f t="array" ref="Z338">_xlfn.XLOOKUP(1,(B338=B$2:B$500)*(V$2:V$500="4548-4"),Y$2:Y$500,"Not Tested")</f>
        <v>Not Tested</v>
      </c>
      <c r="AA338" s="2">
        <v>96</v>
      </c>
      <c r="AB338" s="2">
        <v>68</v>
      </c>
      <c r="AC338" s="2" t="str">
        <f>IF(AND(EHR[[#This Row],[BP_Systolic_mmHg]]&lt;140,EHR[[#This Row],[BP_Diastolic_mmHg]]&lt;90),"Controlled",IF(OR(EHR[[#This Row],[BP_Systolic_mmHg]]="Not Recorded",EHR[[#This Row],[BP_Diastolic_mmHg]]="Not Recorded"),"No Reading","Uncontrolled"))</f>
        <v>Controlled</v>
      </c>
      <c r="AD338" s="2" t="str">
        <f>_xlfn.CONCAT(EHR[[#This Row],[BP_Systolic_mmHg]],"/",EHR[[#This Row],[BP_Diastolic_mmHg]])</f>
        <v>96/68</v>
      </c>
      <c r="AE338" s="2">
        <v>64</v>
      </c>
      <c r="AF338" s="2">
        <v>17</v>
      </c>
      <c r="AG338" s="2">
        <v>38.9</v>
      </c>
      <c r="AH338" s="2">
        <v>32.799999999999997</v>
      </c>
      <c r="AI338" s="2" t="str">
        <f>IF(EHR[[#This Row],[BMI_kg_m2]]&gt;=30,"Obese","Non-Obese")</f>
        <v>Obese</v>
      </c>
      <c r="AJ338" s="2">
        <v>100</v>
      </c>
      <c r="AK338" s="2" t="s">
        <v>50</v>
      </c>
      <c r="AL338" s="2" t="s">
        <v>51</v>
      </c>
      <c r="AM338" s="2" t="s">
        <v>52</v>
      </c>
      <c r="AN338" s="2" t="s">
        <v>53</v>
      </c>
      <c r="AO338" s="2" t="s">
        <v>54</v>
      </c>
    </row>
    <row r="339" spans="1:41" x14ac:dyDescent="0.2">
      <c r="A339" s="7" t="s">
        <v>1227</v>
      </c>
      <c r="B339" s="3" t="s">
        <v>1231</v>
      </c>
      <c r="C339" s="14">
        <v>45616</v>
      </c>
      <c r="D339" s="3" t="s">
        <v>88</v>
      </c>
      <c r="E339" s="3" t="s">
        <v>61</v>
      </c>
      <c r="F339" s="3" t="s">
        <v>219</v>
      </c>
      <c r="G339" s="3" t="s">
        <v>76</v>
      </c>
      <c r="H339" s="14">
        <v>23168</v>
      </c>
      <c r="I339" s="3">
        <v>62</v>
      </c>
      <c r="J339" s="3" t="str" cm="1">
        <f t="array" ref="J33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39" s="3" t="s">
        <v>1573</v>
      </c>
      <c r="L339" s="3" t="s">
        <v>116</v>
      </c>
      <c r="M339" s="3" t="s">
        <v>43</v>
      </c>
      <c r="N339" s="3" t="s">
        <v>44</v>
      </c>
      <c r="O339" s="3" t="s">
        <v>45</v>
      </c>
      <c r="P339" s="3" t="s">
        <v>283</v>
      </c>
      <c r="Q339" s="3" t="str">
        <f>_xlfn.XLOOKUP(EHR[[#This Row],[Primary_ICD11_Code]],'03_ICD11_Reference'!A:A,'03_ICD11_Reference'!D:D,,0)</f>
        <v>Multi-system</v>
      </c>
      <c r="R339" s="3" t="s">
        <v>284</v>
      </c>
      <c r="S339" s="3" t="s">
        <v>69</v>
      </c>
      <c r="T339" s="3" t="s">
        <v>1232</v>
      </c>
      <c r="U339" s="3">
        <v>3</v>
      </c>
      <c r="V339" s="3" t="str">
        <f>_xlfn.XLOOKUP(EHR[[#This Row],[Encounter_ID]],'02_Lab_Results'!B:B,'02_Lab_Results'!D:D,,0)</f>
        <v>2160-0</v>
      </c>
      <c r="W339" s="3" t="str">
        <f>_xlfn.XLOOKUP(EHR[[#This Row],[LOINC Code]],'04_LOINC_Reference'!A:A,'04_LOINC_Reference'!F:F,,0)</f>
        <v>Biochemistry</v>
      </c>
      <c r="X339" s="3" t="str">
        <f>_xlfn.XLOOKUP(EHR[[#This Row],[LOINC Code]],'02_Lab_Results'!D:D,'02_Lab_Results'!E:E,,0)</f>
        <v>Serum creatinine</v>
      </c>
      <c r="Y339" s="3" t="str">
        <f>_xlfn.XLOOKUP(EHR[[#This Row],[LOINC Code]],'02_Lab_Results'!D:D,'02_Lab_Results'!J:J,,0)</f>
        <v>Normal</v>
      </c>
      <c r="Z339" s="3" t="str" cm="1">
        <f t="array" ref="Z339">_xlfn.XLOOKUP(1,(B339=B$2:B$500)*(V$2:V$500="4548-4"),Y$2:Y$500,"Not Tested")</f>
        <v>Not Tested</v>
      </c>
      <c r="AA339" s="3">
        <v>181</v>
      </c>
      <c r="AB339" s="3">
        <v>66</v>
      </c>
      <c r="AC339" s="3" t="str">
        <f>IF(AND(EHR[[#This Row],[BP_Systolic_mmHg]]&lt;140,EHR[[#This Row],[BP_Diastolic_mmHg]]&lt;90),"Controlled",IF(OR(EHR[[#This Row],[BP_Systolic_mmHg]]="Not Recorded",EHR[[#This Row],[BP_Diastolic_mmHg]]="Not Recorded"),"No Reading","Uncontrolled"))</f>
        <v>Uncontrolled</v>
      </c>
      <c r="AD339" s="3" t="str">
        <f>_xlfn.CONCAT(EHR[[#This Row],[BP_Systolic_mmHg]],"/",EHR[[#This Row],[BP_Diastolic_mmHg]])</f>
        <v>181/66</v>
      </c>
      <c r="AE339" s="3">
        <v>77</v>
      </c>
      <c r="AF339" s="3">
        <v>18</v>
      </c>
      <c r="AG339" s="3">
        <v>36.700000000000003</v>
      </c>
      <c r="AH339" s="3">
        <v>24</v>
      </c>
      <c r="AI339" s="3" t="str">
        <f>IF(EHR[[#This Row],[BMI_kg_m2]]&gt;=30,"Obese","Non-Obese")</f>
        <v>Non-Obese</v>
      </c>
      <c r="AJ339" s="3">
        <v>88</v>
      </c>
      <c r="AK339" s="3" t="s">
        <v>50</v>
      </c>
      <c r="AL339" s="3" t="s">
        <v>51</v>
      </c>
      <c r="AM339" s="3" t="s">
        <v>52</v>
      </c>
      <c r="AN339" s="3" t="s">
        <v>53</v>
      </c>
      <c r="AO339" s="3" t="s">
        <v>54</v>
      </c>
    </row>
    <row r="340" spans="1:41" x14ac:dyDescent="0.2">
      <c r="A340" s="6" t="s">
        <v>1227</v>
      </c>
      <c r="B340" s="2" t="s">
        <v>1233</v>
      </c>
      <c r="C340" s="13">
        <v>45222</v>
      </c>
      <c r="D340" s="2" t="s">
        <v>95</v>
      </c>
      <c r="E340" s="2" t="s">
        <v>61</v>
      </c>
      <c r="F340" s="2" t="s">
        <v>122</v>
      </c>
      <c r="G340" s="2" t="s">
        <v>98</v>
      </c>
      <c r="H340" s="13">
        <v>23168</v>
      </c>
      <c r="I340" s="2">
        <v>62</v>
      </c>
      <c r="J340" s="2" t="str" cm="1">
        <f t="array" ref="J34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40" s="2" t="s">
        <v>1573</v>
      </c>
      <c r="L340" s="2" t="s">
        <v>116</v>
      </c>
      <c r="M340" s="2" t="s">
        <v>43</v>
      </c>
      <c r="N340" s="2" t="s">
        <v>44</v>
      </c>
      <c r="O340" s="2" t="s">
        <v>45</v>
      </c>
      <c r="P340" s="2" t="s">
        <v>283</v>
      </c>
      <c r="Q340" s="2" t="str">
        <f>_xlfn.XLOOKUP(EHR[[#This Row],[Primary_ICD11_Code]],'03_ICD11_Reference'!A:A,'03_ICD11_Reference'!D:D,,0)</f>
        <v>Multi-system</v>
      </c>
      <c r="R340" s="2" t="s">
        <v>284</v>
      </c>
      <c r="S340" s="2" t="s">
        <v>69</v>
      </c>
      <c r="T340" s="2" t="s">
        <v>1235</v>
      </c>
      <c r="U340" s="2">
        <v>4</v>
      </c>
      <c r="V340" s="2" t="str">
        <f>_xlfn.XLOOKUP(EHR[[#This Row],[Encounter_ID]],'02_Lab_Results'!B:B,'02_Lab_Results'!D:D,,0)</f>
        <v>789-8</v>
      </c>
      <c r="W340" s="2" t="str">
        <f>_xlfn.XLOOKUP(EHR[[#This Row],[LOINC Code]],'04_LOINC_Reference'!A:A,'04_LOINC_Reference'!F:F,,0)</f>
        <v>Biochemistry</v>
      </c>
      <c r="X340" s="2" t="str">
        <f>_xlfn.XLOOKUP(EHR[[#This Row],[LOINC Code]],'02_Lab_Results'!D:D,'02_Lab_Results'!E:E,,0)</f>
        <v>RBC count</v>
      </c>
      <c r="Y340" s="2" t="str">
        <f>_xlfn.XLOOKUP(EHR[[#This Row],[LOINC Code]],'02_Lab_Results'!D:D,'02_Lab_Results'!J:J,,0)</f>
        <v>High</v>
      </c>
      <c r="Z340" s="2" t="str" cm="1">
        <f t="array" ref="Z340">_xlfn.XLOOKUP(1,(B340=B$2:B$500)*(V$2:V$500="4548-4"),Y$2:Y$500,"Not Tested")</f>
        <v>Not Tested</v>
      </c>
      <c r="AA340" s="2">
        <v>145</v>
      </c>
      <c r="AB340" s="2">
        <v>57</v>
      </c>
      <c r="AC340" s="2" t="str">
        <f>IF(AND(EHR[[#This Row],[BP_Systolic_mmHg]]&lt;140,EHR[[#This Row],[BP_Diastolic_mmHg]]&lt;90),"Controlled",IF(OR(EHR[[#This Row],[BP_Systolic_mmHg]]="Not Recorded",EHR[[#This Row],[BP_Diastolic_mmHg]]="Not Recorded"),"No Reading","Uncontrolled"))</f>
        <v>Uncontrolled</v>
      </c>
      <c r="AD340" s="2" t="str">
        <f>_xlfn.CONCAT(EHR[[#This Row],[BP_Systolic_mmHg]],"/",EHR[[#This Row],[BP_Diastolic_mmHg]])</f>
        <v>145/57</v>
      </c>
      <c r="AE340" s="2">
        <v>75</v>
      </c>
      <c r="AF340" s="2">
        <v>14</v>
      </c>
      <c r="AG340" s="2">
        <v>36.9</v>
      </c>
      <c r="AH340" s="2">
        <v>34.6</v>
      </c>
      <c r="AI340" s="2" t="str">
        <f>IF(EHR[[#This Row],[BMI_kg_m2]]&gt;=30,"Obese","Non-Obese")</f>
        <v>Obese</v>
      </c>
      <c r="AJ340" s="2">
        <v>91</v>
      </c>
      <c r="AK340" s="2" t="s">
        <v>50</v>
      </c>
      <c r="AL340" s="2" t="s">
        <v>51</v>
      </c>
      <c r="AM340" s="2" t="s">
        <v>52</v>
      </c>
      <c r="AN340" s="2" t="s">
        <v>53</v>
      </c>
      <c r="AO340" s="2" t="s">
        <v>54</v>
      </c>
    </row>
    <row r="341" spans="1:41" x14ac:dyDescent="0.2">
      <c r="A341" s="7" t="s">
        <v>1227</v>
      </c>
      <c r="B341" s="3" t="s">
        <v>1236</v>
      </c>
      <c r="C341" s="14">
        <v>45303</v>
      </c>
      <c r="D341" s="3" t="s">
        <v>88</v>
      </c>
      <c r="E341" s="3" t="s">
        <v>37</v>
      </c>
      <c r="F341" s="3" t="s">
        <v>38</v>
      </c>
      <c r="G341" s="3" t="s">
        <v>63</v>
      </c>
      <c r="H341" s="14">
        <v>23168</v>
      </c>
      <c r="I341" s="3">
        <v>62</v>
      </c>
      <c r="J341" s="3" t="str" cm="1">
        <f t="array" ref="J34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41" s="3" t="s">
        <v>1573</v>
      </c>
      <c r="L341" s="3" t="s">
        <v>42</v>
      </c>
      <c r="M341" s="3" t="s">
        <v>43</v>
      </c>
      <c r="N341" s="3" t="s">
        <v>44</v>
      </c>
      <c r="O341" s="3" t="s">
        <v>45</v>
      </c>
      <c r="P341" s="3" t="s">
        <v>283</v>
      </c>
      <c r="Q341" s="3" t="str">
        <f>_xlfn.XLOOKUP(EHR[[#This Row],[Primary_ICD11_Code]],'03_ICD11_Reference'!A:A,'03_ICD11_Reference'!D:D,,0)</f>
        <v>Multi-system</v>
      </c>
      <c r="R341" s="3" t="s">
        <v>284</v>
      </c>
      <c r="S341" s="3" t="s">
        <v>69</v>
      </c>
      <c r="T341" s="3" t="s">
        <v>1238</v>
      </c>
      <c r="U341" s="3">
        <v>2</v>
      </c>
      <c r="V341" s="3" t="str">
        <f>_xlfn.XLOOKUP(EHR[[#This Row],[Encounter_ID]],'02_Lab_Results'!B:B,'02_Lab_Results'!D:D,,0)</f>
        <v>4548-4</v>
      </c>
      <c r="W341" s="3" t="str">
        <f>_xlfn.XLOOKUP(EHR[[#This Row],[LOINC Code]],'04_LOINC_Reference'!A:A,'04_LOINC_Reference'!F:F,,0)</f>
        <v>Biochemistry</v>
      </c>
      <c r="X341" s="3" t="str">
        <f>_xlfn.XLOOKUP(EHR[[#This Row],[LOINC Code]],'02_Lab_Results'!D:D,'02_Lab_Results'!E:E,,0)</f>
        <v>HbA1c</v>
      </c>
      <c r="Y341" s="3" t="str">
        <f>_xlfn.XLOOKUP(EHR[[#This Row],[LOINC Code]],'02_Lab_Results'!D:D,'02_Lab_Results'!J:J,,0)</f>
        <v>High</v>
      </c>
      <c r="Z341" s="3" t="str" cm="1">
        <f t="array" ref="Z341">_xlfn.XLOOKUP(1,(B341=B$2:B$500)*(V$2:V$500="4548-4"),Y$2:Y$500,"Not Tested")</f>
        <v>High</v>
      </c>
      <c r="AA341" s="3">
        <v>111</v>
      </c>
      <c r="AB341" s="3">
        <v>115</v>
      </c>
      <c r="AC341" s="3" t="str">
        <f>IF(AND(EHR[[#This Row],[BP_Systolic_mmHg]]&lt;140,EHR[[#This Row],[BP_Diastolic_mmHg]]&lt;90),"Controlled",IF(OR(EHR[[#This Row],[BP_Systolic_mmHg]]="Not Recorded",EHR[[#This Row],[BP_Diastolic_mmHg]]="Not Recorded"),"No Reading","Uncontrolled"))</f>
        <v>Uncontrolled</v>
      </c>
      <c r="AD341" s="3" t="str">
        <f>_xlfn.CONCAT(EHR[[#This Row],[BP_Systolic_mmHg]],"/",EHR[[#This Row],[BP_Diastolic_mmHg]])</f>
        <v>111/115</v>
      </c>
      <c r="AE341" s="3">
        <v>87</v>
      </c>
      <c r="AF341" s="3">
        <v>14</v>
      </c>
      <c r="AG341" s="3">
        <v>37.4</v>
      </c>
      <c r="AH341" s="3">
        <v>36.299999999999997</v>
      </c>
      <c r="AI341" s="3" t="str">
        <f>IF(EHR[[#This Row],[BMI_kg_m2]]&gt;=30,"Obese","Non-Obese")</f>
        <v>Obese</v>
      </c>
      <c r="AJ341" s="3">
        <v>88</v>
      </c>
      <c r="AK341" s="3" t="s">
        <v>50</v>
      </c>
      <c r="AL341" s="3" t="s">
        <v>51</v>
      </c>
      <c r="AM341" s="3" t="s">
        <v>52</v>
      </c>
      <c r="AN341" s="3" t="s">
        <v>53</v>
      </c>
      <c r="AO341" s="3" t="s">
        <v>54</v>
      </c>
    </row>
    <row r="342" spans="1:41" x14ac:dyDescent="0.2">
      <c r="A342" s="6" t="s">
        <v>1227</v>
      </c>
      <c r="B342" s="2" t="s">
        <v>1239</v>
      </c>
      <c r="C342" s="13">
        <v>45130</v>
      </c>
      <c r="D342" s="2" t="s">
        <v>88</v>
      </c>
      <c r="E342" s="2" t="s">
        <v>96</v>
      </c>
      <c r="F342" s="2" t="s">
        <v>219</v>
      </c>
      <c r="G342" s="2" t="s">
        <v>104</v>
      </c>
      <c r="H342" s="13">
        <v>23168</v>
      </c>
      <c r="I342" s="2">
        <v>62</v>
      </c>
      <c r="J342" s="2" t="str" cm="1">
        <f t="array" ref="J34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42" s="2" t="s">
        <v>1573</v>
      </c>
      <c r="L342" s="2" t="s">
        <v>140</v>
      </c>
      <c r="M342" s="2" t="s">
        <v>43</v>
      </c>
      <c r="N342" s="2" t="s">
        <v>44</v>
      </c>
      <c r="O342" s="2" t="s">
        <v>45</v>
      </c>
      <c r="P342" s="2" t="s">
        <v>283</v>
      </c>
      <c r="Q342" s="2" t="str">
        <f>_xlfn.XLOOKUP(EHR[[#This Row],[Primary_ICD11_Code]],'03_ICD11_Reference'!A:A,'03_ICD11_Reference'!D:D,,0)</f>
        <v>Multi-system</v>
      </c>
      <c r="R342" s="2" t="s">
        <v>284</v>
      </c>
      <c r="S342" s="2" t="s">
        <v>69</v>
      </c>
      <c r="T342" s="2" t="s">
        <v>1241</v>
      </c>
      <c r="U342" s="2">
        <v>3</v>
      </c>
      <c r="V342" s="2" t="str">
        <f>_xlfn.XLOOKUP(EHR[[#This Row],[Encounter_ID]],'02_Lab_Results'!B:B,'02_Lab_Results'!D:D,,0)</f>
        <v>6690-2</v>
      </c>
      <c r="W342" s="2" t="str">
        <f>_xlfn.XLOOKUP(EHR[[#This Row],[LOINC Code]],'04_LOINC_Reference'!A:A,'04_LOINC_Reference'!F:F,,0)</f>
        <v>Biochemistry</v>
      </c>
      <c r="X342" s="2" t="str">
        <f>_xlfn.XLOOKUP(EHR[[#This Row],[LOINC Code]],'02_Lab_Results'!D:D,'02_Lab_Results'!E:E,,0)</f>
        <v>WBC count</v>
      </c>
      <c r="Y342" s="2" t="str">
        <f>_xlfn.XLOOKUP(EHR[[#This Row],[LOINC Code]],'02_Lab_Results'!D:D,'02_Lab_Results'!J:J,,0)</f>
        <v>Low</v>
      </c>
      <c r="Z342" s="2" t="str" cm="1">
        <f t="array" ref="Z342">_xlfn.XLOOKUP(1,(B342=B$2:B$500)*(V$2:V$500="4548-4"),Y$2:Y$500,"Not Tested")</f>
        <v>Not Tested</v>
      </c>
      <c r="AA342" s="2">
        <v>125</v>
      </c>
      <c r="AB342" s="2">
        <v>91</v>
      </c>
      <c r="AC342" s="2" t="str">
        <f>IF(AND(EHR[[#This Row],[BP_Systolic_mmHg]]&lt;140,EHR[[#This Row],[BP_Diastolic_mmHg]]&lt;90),"Controlled",IF(OR(EHR[[#This Row],[BP_Systolic_mmHg]]="Not Recorded",EHR[[#This Row],[BP_Diastolic_mmHg]]="Not Recorded"),"No Reading","Uncontrolled"))</f>
        <v>Uncontrolled</v>
      </c>
      <c r="AD342" s="2" t="str">
        <f>_xlfn.CONCAT(EHR[[#This Row],[BP_Systolic_mmHg]],"/",EHR[[#This Row],[BP_Diastolic_mmHg]])</f>
        <v>125/91</v>
      </c>
      <c r="AE342" s="2">
        <v>124</v>
      </c>
      <c r="AF342" s="2">
        <v>14</v>
      </c>
      <c r="AG342" s="2">
        <v>38.700000000000003</v>
      </c>
      <c r="AH342" s="2">
        <v>38.200000000000003</v>
      </c>
      <c r="AI342" s="2" t="str">
        <f>IF(EHR[[#This Row],[BMI_kg_m2]]&gt;=30,"Obese","Non-Obese")</f>
        <v>Obese</v>
      </c>
      <c r="AJ342" s="2">
        <v>91</v>
      </c>
      <c r="AK342" s="2" t="s">
        <v>50</v>
      </c>
      <c r="AL342" s="2" t="s">
        <v>51</v>
      </c>
      <c r="AM342" s="2" t="s">
        <v>52</v>
      </c>
      <c r="AN342" s="2" t="s">
        <v>53</v>
      </c>
      <c r="AO342" s="2" t="s">
        <v>54</v>
      </c>
    </row>
    <row r="343" spans="1:41" x14ac:dyDescent="0.2">
      <c r="A343" s="7" t="s">
        <v>1227</v>
      </c>
      <c r="B343" s="3" t="s">
        <v>1242</v>
      </c>
      <c r="C343" s="14">
        <v>45713</v>
      </c>
      <c r="D343" s="3" t="s">
        <v>60</v>
      </c>
      <c r="E343" s="3" t="s">
        <v>61</v>
      </c>
      <c r="F343" s="3" t="s">
        <v>132</v>
      </c>
      <c r="G343" s="3" t="s">
        <v>76</v>
      </c>
      <c r="H343" s="14">
        <v>23168</v>
      </c>
      <c r="I343" s="3">
        <v>62</v>
      </c>
      <c r="J343" s="3" t="str" cm="1">
        <f t="array" ref="J34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43" s="3" t="s">
        <v>1573</v>
      </c>
      <c r="L343" s="3" t="s">
        <v>140</v>
      </c>
      <c r="M343" s="3" t="s">
        <v>43</v>
      </c>
      <c r="N343" s="3" t="s">
        <v>44</v>
      </c>
      <c r="O343" s="3" t="s">
        <v>45</v>
      </c>
      <c r="P343" s="3" t="s">
        <v>283</v>
      </c>
      <c r="Q343" s="3" t="str">
        <f>_xlfn.XLOOKUP(EHR[[#This Row],[Primary_ICD11_Code]],'03_ICD11_Reference'!A:A,'03_ICD11_Reference'!D:D,,0)</f>
        <v>Multi-system</v>
      </c>
      <c r="R343" s="3" t="s">
        <v>284</v>
      </c>
      <c r="S343" s="3" t="s">
        <v>69</v>
      </c>
      <c r="T343" s="3" t="s">
        <v>117</v>
      </c>
      <c r="U343" s="3">
        <v>1</v>
      </c>
      <c r="V343" s="3" t="str">
        <f>_xlfn.XLOOKUP(EHR[[#This Row],[Encounter_ID]],'02_Lab_Results'!B:B,'02_Lab_Results'!D:D,,0)</f>
        <v>2093-3</v>
      </c>
      <c r="W343" s="3" t="str">
        <f>_xlfn.XLOOKUP(EHR[[#This Row],[LOINC Code]],'04_LOINC_Reference'!A:A,'04_LOINC_Reference'!F:F,,0)</f>
        <v>Biochemistry</v>
      </c>
      <c r="X343" s="3" t="str">
        <f>_xlfn.XLOOKUP(EHR[[#This Row],[LOINC Code]],'02_Lab_Results'!D:D,'02_Lab_Results'!E:E,,0)</f>
        <v>Total cholesterol</v>
      </c>
      <c r="Y343" s="3" t="str">
        <f>_xlfn.XLOOKUP(EHR[[#This Row],[LOINC Code]],'02_Lab_Results'!D:D,'02_Lab_Results'!J:J,,0)</f>
        <v>Normal</v>
      </c>
      <c r="Z343" s="3" t="str" cm="1">
        <f t="array" ref="Z343">_xlfn.XLOOKUP(1,(B343=B$2:B$500)*(V$2:V$500="4548-4"),Y$2:Y$500,"Not Tested")</f>
        <v>Not Tested</v>
      </c>
      <c r="AA343" s="3">
        <v>136</v>
      </c>
      <c r="AB343" s="3">
        <v>62</v>
      </c>
      <c r="AC343" s="3" t="str">
        <f>IF(AND(EHR[[#This Row],[BP_Systolic_mmHg]]&lt;140,EHR[[#This Row],[BP_Diastolic_mmHg]]&lt;90),"Controlled",IF(OR(EHR[[#This Row],[BP_Systolic_mmHg]]="Not Recorded",EHR[[#This Row],[BP_Diastolic_mmHg]]="Not Recorded"),"No Reading","Uncontrolled"))</f>
        <v>Controlled</v>
      </c>
      <c r="AD343" s="3" t="str">
        <f>_xlfn.CONCAT(EHR[[#This Row],[BP_Systolic_mmHg]],"/",EHR[[#This Row],[BP_Diastolic_mmHg]])</f>
        <v>136/62</v>
      </c>
      <c r="AE343" s="3">
        <v>87</v>
      </c>
      <c r="AF343" s="3">
        <v>16</v>
      </c>
      <c r="AG343" s="3">
        <v>39</v>
      </c>
      <c r="AH343" s="3">
        <v>18.3</v>
      </c>
      <c r="AI343" s="3" t="str">
        <f>IF(EHR[[#This Row],[BMI_kg_m2]]&gt;=30,"Obese","Non-Obese")</f>
        <v>Non-Obese</v>
      </c>
      <c r="AJ343" s="3">
        <v>97</v>
      </c>
      <c r="AK343" s="3" t="s">
        <v>50</v>
      </c>
      <c r="AL343" s="3" t="s">
        <v>51</v>
      </c>
      <c r="AM343" s="3" t="s">
        <v>52</v>
      </c>
      <c r="AN343" s="3" t="s">
        <v>53</v>
      </c>
      <c r="AO343" s="3" t="s">
        <v>54</v>
      </c>
    </row>
    <row r="344" spans="1:41" x14ac:dyDescent="0.2">
      <c r="A344" s="6" t="s">
        <v>1243</v>
      </c>
      <c r="B344" s="2" t="s">
        <v>1244</v>
      </c>
      <c r="C344" s="13">
        <v>45429</v>
      </c>
      <c r="D344" s="2" t="s">
        <v>95</v>
      </c>
      <c r="E344" s="2" t="s">
        <v>167</v>
      </c>
      <c r="F344" s="2" t="s">
        <v>132</v>
      </c>
      <c r="G344" s="2" t="s">
        <v>98</v>
      </c>
      <c r="H344" s="13">
        <v>34752</v>
      </c>
      <c r="I344" s="2">
        <v>30</v>
      </c>
      <c r="J344" s="2" t="str" cm="1">
        <f t="array" ref="J34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44" s="2" t="s">
        <v>1573</v>
      </c>
      <c r="L344" s="2" t="s">
        <v>78</v>
      </c>
      <c r="M344" s="2" t="s">
        <v>141</v>
      </c>
      <c r="N344" s="2" t="s">
        <v>80</v>
      </c>
      <c r="O344" s="2" t="s">
        <v>81</v>
      </c>
      <c r="P344" s="2" t="s">
        <v>283</v>
      </c>
      <c r="Q344" s="2" t="str">
        <f>_xlfn.XLOOKUP(EHR[[#This Row],[Primary_ICD11_Code]],'03_ICD11_Reference'!A:A,'03_ICD11_Reference'!D:D,,0)</f>
        <v>Multi-system</v>
      </c>
      <c r="R344" s="2" t="s">
        <v>284</v>
      </c>
      <c r="S344" s="2" t="s">
        <v>69</v>
      </c>
      <c r="T344" s="2" t="s">
        <v>556</v>
      </c>
      <c r="U344" s="2">
        <v>1</v>
      </c>
      <c r="V344" s="2" t="str">
        <f>_xlfn.XLOOKUP(EHR[[#This Row],[Encounter_ID]],'02_Lab_Results'!B:B,'02_Lab_Results'!D:D,,0)</f>
        <v>789-8</v>
      </c>
      <c r="W344" s="2" t="str">
        <f>_xlfn.XLOOKUP(EHR[[#This Row],[LOINC Code]],'04_LOINC_Reference'!A:A,'04_LOINC_Reference'!F:F,,0)</f>
        <v>Biochemistry</v>
      </c>
      <c r="X344" s="2" t="str">
        <f>_xlfn.XLOOKUP(EHR[[#This Row],[LOINC Code]],'02_Lab_Results'!D:D,'02_Lab_Results'!E:E,,0)</f>
        <v>RBC count</v>
      </c>
      <c r="Y344" s="2" t="str">
        <f>_xlfn.XLOOKUP(EHR[[#This Row],[LOINC Code]],'02_Lab_Results'!D:D,'02_Lab_Results'!J:J,,0)</f>
        <v>High</v>
      </c>
      <c r="Z344" s="2" t="str" cm="1">
        <f t="array" ref="Z344">_xlfn.XLOOKUP(1,(B344=B$2:B$500)*(V$2:V$500="4548-4"),Y$2:Y$500,"Not Tested")</f>
        <v>Not Tested</v>
      </c>
      <c r="AA344" s="2">
        <v>140</v>
      </c>
      <c r="AB344" s="2">
        <v>88</v>
      </c>
      <c r="AC344" s="2" t="str">
        <f>IF(AND(EHR[[#This Row],[BP_Systolic_mmHg]]&lt;140,EHR[[#This Row],[BP_Diastolic_mmHg]]&lt;90),"Controlled",IF(OR(EHR[[#This Row],[BP_Systolic_mmHg]]="Not Recorded",EHR[[#This Row],[BP_Diastolic_mmHg]]="Not Recorded"),"No Reading","Uncontrolled"))</f>
        <v>Uncontrolled</v>
      </c>
      <c r="AD344" s="2" t="str">
        <f>_xlfn.CONCAT(EHR[[#This Row],[BP_Systolic_mmHg]],"/",EHR[[#This Row],[BP_Diastolic_mmHg]])</f>
        <v>140/88</v>
      </c>
      <c r="AE344" s="2">
        <v>111</v>
      </c>
      <c r="AF344" s="2">
        <v>21</v>
      </c>
      <c r="AG344" s="2">
        <v>36.1</v>
      </c>
      <c r="AH344" s="2">
        <v>39.299999999999997</v>
      </c>
      <c r="AI344" s="2" t="str">
        <f>IF(EHR[[#This Row],[BMI_kg_m2]]&gt;=30,"Obese","Non-Obese")</f>
        <v>Obese</v>
      </c>
      <c r="AJ344" s="2">
        <v>100</v>
      </c>
      <c r="AK344" s="2" t="s">
        <v>50</v>
      </c>
      <c r="AL344" s="2" t="s">
        <v>51</v>
      </c>
      <c r="AM344" s="2" t="s">
        <v>52</v>
      </c>
      <c r="AN344" s="2" t="s">
        <v>53</v>
      </c>
      <c r="AO344" s="2" t="s">
        <v>54</v>
      </c>
    </row>
    <row r="345" spans="1:41" x14ac:dyDescent="0.2">
      <c r="A345" s="7" t="s">
        <v>1243</v>
      </c>
      <c r="B345" s="3" t="s">
        <v>1247</v>
      </c>
      <c r="C345" s="14">
        <v>44963</v>
      </c>
      <c r="D345" s="3" t="s">
        <v>95</v>
      </c>
      <c r="E345" s="3" t="s">
        <v>89</v>
      </c>
      <c r="F345" s="3" t="s">
        <v>38</v>
      </c>
      <c r="G345" s="3" t="s">
        <v>123</v>
      </c>
      <c r="H345" s="14">
        <v>34752</v>
      </c>
      <c r="I345" s="3">
        <v>30</v>
      </c>
      <c r="J345" s="3" t="str" cm="1">
        <f t="array" ref="J34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45" s="3" t="s">
        <v>1573</v>
      </c>
      <c r="L345" s="3" t="s">
        <v>78</v>
      </c>
      <c r="M345" s="3" t="s">
        <v>141</v>
      </c>
      <c r="N345" s="3" t="s">
        <v>80</v>
      </c>
      <c r="O345" s="3" t="s">
        <v>81</v>
      </c>
      <c r="P345" s="3" t="s">
        <v>283</v>
      </c>
      <c r="Q345" s="3" t="str">
        <f>_xlfn.XLOOKUP(EHR[[#This Row],[Primary_ICD11_Code]],'03_ICD11_Reference'!A:A,'03_ICD11_Reference'!D:D,,0)</f>
        <v>Multi-system</v>
      </c>
      <c r="R345" s="3" t="s">
        <v>284</v>
      </c>
      <c r="S345" s="3" t="s">
        <v>69</v>
      </c>
      <c r="T345" s="3" t="s">
        <v>1249</v>
      </c>
      <c r="U345" s="3">
        <v>4</v>
      </c>
      <c r="V345" s="3" t="str">
        <f>_xlfn.XLOOKUP(EHR[[#This Row],[Encounter_ID]],'02_Lab_Results'!B:B,'02_Lab_Results'!D:D,,0)</f>
        <v>2823-3</v>
      </c>
      <c r="W345" s="3" t="str">
        <f>_xlfn.XLOOKUP(EHR[[#This Row],[LOINC Code]],'04_LOINC_Reference'!A:A,'04_LOINC_Reference'!F:F,,0)</f>
        <v>Biochemistry</v>
      </c>
      <c r="X345" s="3" t="str">
        <f>_xlfn.XLOOKUP(EHR[[#This Row],[LOINC Code]],'02_Lab_Results'!D:D,'02_Lab_Results'!E:E,,0)</f>
        <v>Serum potassium</v>
      </c>
      <c r="Y345" s="3" t="str">
        <f>_xlfn.XLOOKUP(EHR[[#This Row],[LOINC Code]],'02_Lab_Results'!D:D,'02_Lab_Results'!J:J,,0)</f>
        <v>Normal</v>
      </c>
      <c r="Z345" s="3" t="str" cm="1">
        <f t="array" ref="Z345">_xlfn.XLOOKUP(1,(B345=B$2:B$500)*(V$2:V$500="4548-4"),Y$2:Y$500,"Not Tested")</f>
        <v>Not Tested</v>
      </c>
      <c r="AA345" s="3">
        <v>98</v>
      </c>
      <c r="AB345" s="3">
        <v>88</v>
      </c>
      <c r="AC345" s="3" t="str">
        <f>IF(AND(EHR[[#This Row],[BP_Systolic_mmHg]]&lt;140,EHR[[#This Row],[BP_Diastolic_mmHg]]&lt;90),"Controlled",IF(OR(EHR[[#This Row],[BP_Systolic_mmHg]]="Not Recorded",EHR[[#This Row],[BP_Diastolic_mmHg]]="Not Recorded"),"No Reading","Uncontrolled"))</f>
        <v>Controlled</v>
      </c>
      <c r="AD345" s="3" t="str">
        <f>_xlfn.CONCAT(EHR[[#This Row],[BP_Systolic_mmHg]],"/",EHR[[#This Row],[BP_Diastolic_mmHg]])</f>
        <v>98/88</v>
      </c>
      <c r="AE345" s="3">
        <v>115</v>
      </c>
      <c r="AF345" s="3">
        <v>17</v>
      </c>
      <c r="AG345" s="3">
        <v>38.299999999999997</v>
      </c>
      <c r="AH345" s="3">
        <v>31.5</v>
      </c>
      <c r="AI345" s="3" t="str">
        <f>IF(EHR[[#This Row],[BMI_kg_m2]]&gt;=30,"Obese","Non-Obese")</f>
        <v>Obese</v>
      </c>
      <c r="AJ345" s="3">
        <v>89</v>
      </c>
      <c r="AK345" s="3" t="s">
        <v>50</v>
      </c>
      <c r="AL345" s="3" t="s">
        <v>51</v>
      </c>
      <c r="AM345" s="3" t="s">
        <v>52</v>
      </c>
      <c r="AN345" s="3" t="s">
        <v>53</v>
      </c>
      <c r="AO345" s="3" t="s">
        <v>54</v>
      </c>
    </row>
    <row r="346" spans="1:41" x14ac:dyDescent="0.2">
      <c r="A346" s="6" t="s">
        <v>1243</v>
      </c>
      <c r="B346" s="2" t="s">
        <v>1250</v>
      </c>
      <c r="C346" s="13">
        <v>45196</v>
      </c>
      <c r="D346" s="2" t="s">
        <v>36</v>
      </c>
      <c r="E346" s="2" t="s">
        <v>167</v>
      </c>
      <c r="F346" s="2" t="s">
        <v>97</v>
      </c>
      <c r="G346" s="2" t="s">
        <v>123</v>
      </c>
      <c r="H346" s="13">
        <v>34752</v>
      </c>
      <c r="I346" s="2">
        <v>30</v>
      </c>
      <c r="J346" s="2" t="str" cm="1">
        <f t="array" ref="J34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46" s="2" t="s">
        <v>1573</v>
      </c>
      <c r="L346" s="2" t="s">
        <v>66</v>
      </c>
      <c r="M346" s="2" t="s">
        <v>141</v>
      </c>
      <c r="N346" s="2" t="s">
        <v>80</v>
      </c>
      <c r="O346" s="2" t="s">
        <v>81</v>
      </c>
      <c r="P346" s="2" t="s">
        <v>283</v>
      </c>
      <c r="Q346" s="2" t="str">
        <f>_xlfn.XLOOKUP(EHR[[#This Row],[Primary_ICD11_Code]],'03_ICD11_Reference'!A:A,'03_ICD11_Reference'!D:D,,0)</f>
        <v>Multi-system</v>
      </c>
      <c r="R346" s="2" t="s">
        <v>284</v>
      </c>
      <c r="S346" s="2" t="s">
        <v>69</v>
      </c>
      <c r="T346" s="2" t="s">
        <v>601</v>
      </c>
      <c r="U346" s="2">
        <v>1</v>
      </c>
      <c r="V346" s="2" t="str">
        <f>_xlfn.XLOOKUP(EHR[[#This Row],[Encounter_ID]],'02_Lab_Results'!B:B,'02_Lab_Results'!D:D,,0)</f>
        <v>13457-7</v>
      </c>
      <c r="W346" s="2" t="str">
        <f>_xlfn.XLOOKUP(EHR[[#This Row],[LOINC Code]],'04_LOINC_Reference'!A:A,'04_LOINC_Reference'!F:F,,0)</f>
        <v>Biochemistry</v>
      </c>
      <c r="X346" s="2" t="str">
        <f>_xlfn.XLOOKUP(EHR[[#This Row],[LOINC Code]],'02_Lab_Results'!D:D,'02_Lab_Results'!E:E,,0)</f>
        <v>LDL cholesterol</v>
      </c>
      <c r="Y346" s="2" t="str">
        <f>_xlfn.XLOOKUP(EHR[[#This Row],[LOINC Code]],'02_Lab_Results'!D:D,'02_Lab_Results'!J:J,,0)</f>
        <v>High</v>
      </c>
      <c r="Z346" s="2" t="str" cm="1">
        <f t="array" ref="Z346">_xlfn.XLOOKUP(1,(B346=B$2:B$500)*(V$2:V$500="4548-4"),Y$2:Y$500,"Not Tested")</f>
        <v>Not Tested</v>
      </c>
      <c r="AA346" s="2">
        <v>140</v>
      </c>
      <c r="AB346" s="2">
        <v>113</v>
      </c>
      <c r="AC346" s="2" t="str">
        <f>IF(AND(EHR[[#This Row],[BP_Systolic_mmHg]]&lt;140,EHR[[#This Row],[BP_Diastolic_mmHg]]&lt;90),"Controlled",IF(OR(EHR[[#This Row],[BP_Systolic_mmHg]]="Not Recorded",EHR[[#This Row],[BP_Diastolic_mmHg]]="Not Recorded"),"No Reading","Uncontrolled"))</f>
        <v>Uncontrolled</v>
      </c>
      <c r="AD346" s="2" t="str">
        <f>_xlfn.CONCAT(EHR[[#This Row],[BP_Systolic_mmHg]],"/",EHR[[#This Row],[BP_Diastolic_mmHg]])</f>
        <v>140/113</v>
      </c>
      <c r="AE346" s="2">
        <v>96</v>
      </c>
      <c r="AF346" s="2">
        <v>18</v>
      </c>
      <c r="AG346" s="2">
        <v>39.1</v>
      </c>
      <c r="AH346" s="2">
        <v>26.6</v>
      </c>
      <c r="AI346" s="2" t="str">
        <f>IF(EHR[[#This Row],[BMI_kg_m2]]&gt;=30,"Obese","Non-Obese")</f>
        <v>Non-Obese</v>
      </c>
      <c r="AJ346" s="2">
        <v>87</v>
      </c>
      <c r="AK346" s="2" t="s">
        <v>50</v>
      </c>
      <c r="AL346" s="2" t="s">
        <v>51</v>
      </c>
      <c r="AM346" s="2" t="s">
        <v>52</v>
      </c>
      <c r="AN346" s="2" t="s">
        <v>53</v>
      </c>
      <c r="AO346" s="2" t="s">
        <v>54</v>
      </c>
    </row>
    <row r="347" spans="1:41" x14ac:dyDescent="0.2">
      <c r="A347" s="7" t="s">
        <v>1243</v>
      </c>
      <c r="B347" s="3" t="s">
        <v>1252</v>
      </c>
      <c r="C347" s="14">
        <v>45567</v>
      </c>
      <c r="D347" s="3" t="s">
        <v>36</v>
      </c>
      <c r="E347" s="3" t="s">
        <v>37</v>
      </c>
      <c r="F347" s="3" t="s">
        <v>109</v>
      </c>
      <c r="G347" s="3" t="s">
        <v>115</v>
      </c>
      <c r="H347" s="14">
        <v>34752</v>
      </c>
      <c r="I347" s="3">
        <v>30</v>
      </c>
      <c r="J347" s="3" t="str" cm="1">
        <f t="array" ref="J34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47" s="3" t="s">
        <v>1573</v>
      </c>
      <c r="L347" s="3" t="s">
        <v>110</v>
      </c>
      <c r="M347" s="3" t="s">
        <v>141</v>
      </c>
      <c r="N347" s="3" t="s">
        <v>80</v>
      </c>
      <c r="O347" s="3" t="s">
        <v>81</v>
      </c>
      <c r="P347" s="3" t="s">
        <v>283</v>
      </c>
      <c r="Q347" s="3" t="str">
        <f>_xlfn.XLOOKUP(EHR[[#This Row],[Primary_ICD11_Code]],'03_ICD11_Reference'!A:A,'03_ICD11_Reference'!D:D,,0)</f>
        <v>Multi-system</v>
      </c>
      <c r="R347" s="3" t="s">
        <v>284</v>
      </c>
      <c r="S347" s="3" t="s">
        <v>69</v>
      </c>
      <c r="T347" s="3" t="s">
        <v>1254</v>
      </c>
      <c r="U347" s="3">
        <v>3</v>
      </c>
      <c r="V347" s="3" t="str">
        <f>_xlfn.XLOOKUP(EHR[[#This Row],[Encounter_ID]],'02_Lab_Results'!B:B,'02_Lab_Results'!D:D,,0)</f>
        <v>14627-4</v>
      </c>
      <c r="W347" s="3" t="str">
        <f>_xlfn.XLOOKUP(EHR[[#This Row],[LOINC Code]],'04_LOINC_Reference'!A:A,'04_LOINC_Reference'!F:F,,0)</f>
        <v>Biochemistry</v>
      </c>
      <c r="X347" s="3" t="str">
        <f>_xlfn.XLOOKUP(EHR[[#This Row],[LOINC Code]],'02_Lab_Results'!D:D,'02_Lab_Results'!E:E,,0)</f>
        <v>eGFR (CKD-EPI)</v>
      </c>
      <c r="Y347" s="3" t="str">
        <f>_xlfn.XLOOKUP(EHR[[#This Row],[LOINC Code]],'02_Lab_Results'!D:D,'02_Lab_Results'!J:J,,0)</f>
        <v>High</v>
      </c>
      <c r="Z347" s="3" t="str" cm="1">
        <f t="array" ref="Z347">_xlfn.XLOOKUP(1,(B347=B$2:B$500)*(V$2:V$500="4548-4"),Y$2:Y$500,"Not Tested")</f>
        <v>Not Tested</v>
      </c>
      <c r="AA347" s="3">
        <v>126</v>
      </c>
      <c r="AB347" s="3">
        <v>61</v>
      </c>
      <c r="AC347" s="3" t="str">
        <f>IF(AND(EHR[[#This Row],[BP_Systolic_mmHg]]&lt;140,EHR[[#This Row],[BP_Diastolic_mmHg]]&lt;90),"Controlled",IF(OR(EHR[[#This Row],[BP_Systolic_mmHg]]="Not Recorded",EHR[[#This Row],[BP_Diastolic_mmHg]]="Not Recorded"),"No Reading","Uncontrolled"))</f>
        <v>Controlled</v>
      </c>
      <c r="AD347" s="3" t="str">
        <f>_xlfn.CONCAT(EHR[[#This Row],[BP_Systolic_mmHg]],"/",EHR[[#This Row],[BP_Diastolic_mmHg]])</f>
        <v>126/61</v>
      </c>
      <c r="AE347" s="3">
        <v>76</v>
      </c>
      <c r="AF347" s="3">
        <v>18</v>
      </c>
      <c r="AG347" s="3">
        <v>37.1</v>
      </c>
      <c r="AH347" s="3">
        <v>36.299999999999997</v>
      </c>
      <c r="AI347" s="3" t="str">
        <f>IF(EHR[[#This Row],[BMI_kg_m2]]&gt;=30,"Obese","Non-Obese")</f>
        <v>Obese</v>
      </c>
      <c r="AJ347" s="3">
        <v>90</v>
      </c>
      <c r="AK347" s="3" t="s">
        <v>50</v>
      </c>
      <c r="AL347" s="3" t="s">
        <v>51</v>
      </c>
      <c r="AM347" s="3" t="s">
        <v>52</v>
      </c>
      <c r="AN347" s="3" t="s">
        <v>53</v>
      </c>
      <c r="AO347" s="3" t="s">
        <v>54</v>
      </c>
    </row>
    <row r="348" spans="1:41" x14ac:dyDescent="0.2">
      <c r="A348" s="6" t="s">
        <v>1255</v>
      </c>
      <c r="B348" s="2" t="s">
        <v>1256</v>
      </c>
      <c r="C348" s="13">
        <v>45529</v>
      </c>
      <c r="D348" s="2" t="s">
        <v>88</v>
      </c>
      <c r="E348" s="2" t="s">
        <v>167</v>
      </c>
      <c r="F348" s="2" t="s">
        <v>38</v>
      </c>
      <c r="G348" s="2" t="s">
        <v>104</v>
      </c>
      <c r="H348" s="13">
        <v>37855</v>
      </c>
      <c r="I348" s="2">
        <v>22</v>
      </c>
      <c r="J348" s="2" t="str" cm="1">
        <f t="array" ref="J34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48" s="2" t="s">
        <v>1573</v>
      </c>
      <c r="L348" s="2" t="s">
        <v>42</v>
      </c>
      <c r="M348" s="2" t="s">
        <v>141</v>
      </c>
      <c r="N348" s="2" t="s">
        <v>125</v>
      </c>
      <c r="O348" s="2" t="s">
        <v>45</v>
      </c>
      <c r="P348" s="2" t="s">
        <v>126</v>
      </c>
      <c r="Q348" s="2" t="str">
        <f>_xlfn.XLOOKUP(EHR[[#This Row],[Primary_ICD11_Code]],'03_ICD11_Reference'!A:A,'03_ICD11_Reference'!D:D,,0)</f>
        <v>Neurological</v>
      </c>
      <c r="R348" s="2" t="s">
        <v>127</v>
      </c>
      <c r="S348" s="2" t="s">
        <v>69</v>
      </c>
      <c r="T348" s="2" t="s">
        <v>1259</v>
      </c>
      <c r="U348" s="2">
        <v>2</v>
      </c>
      <c r="V348" s="2" t="str">
        <f>_xlfn.XLOOKUP(EHR[[#This Row],[Encounter_ID]],'02_Lab_Results'!B:B,'02_Lab_Results'!D:D,,0)</f>
        <v>6768-6</v>
      </c>
      <c r="W348" s="2" t="str">
        <f>_xlfn.XLOOKUP(EHR[[#This Row],[LOINC Code]],'04_LOINC_Reference'!A:A,'04_LOINC_Reference'!F:F,,0)</f>
        <v>Biochemistry</v>
      </c>
      <c r="X348" s="2" t="str">
        <f>_xlfn.XLOOKUP(EHR[[#This Row],[LOINC Code]],'02_Lab_Results'!D:D,'02_Lab_Results'!E:E,,0)</f>
        <v>ALP</v>
      </c>
      <c r="Y348" s="2" t="str">
        <f>_xlfn.XLOOKUP(EHR[[#This Row],[LOINC Code]],'02_Lab_Results'!D:D,'02_Lab_Results'!J:J,,0)</f>
        <v>High</v>
      </c>
      <c r="Z348" s="2" t="str" cm="1">
        <f t="array" ref="Z348">_xlfn.XLOOKUP(1,(B348=B$2:B$500)*(V$2:V$500="4548-4"),Y$2:Y$500,"Not Tested")</f>
        <v>Not Tested</v>
      </c>
      <c r="AA348" s="2">
        <v>97</v>
      </c>
      <c r="AB348" s="2">
        <v>74</v>
      </c>
      <c r="AC348" s="2" t="str">
        <f>IF(AND(EHR[[#This Row],[BP_Systolic_mmHg]]&lt;140,EHR[[#This Row],[BP_Diastolic_mmHg]]&lt;90),"Controlled",IF(OR(EHR[[#This Row],[BP_Systolic_mmHg]]="Not Recorded",EHR[[#This Row],[BP_Diastolic_mmHg]]="Not Recorded"),"No Reading","Uncontrolled"))</f>
        <v>Controlled</v>
      </c>
      <c r="AD348" s="2" t="str">
        <f>_xlfn.CONCAT(EHR[[#This Row],[BP_Systolic_mmHg]],"/",EHR[[#This Row],[BP_Diastolic_mmHg]])</f>
        <v>97/74</v>
      </c>
      <c r="AE348" s="2">
        <v>93</v>
      </c>
      <c r="AF348" s="2">
        <v>17</v>
      </c>
      <c r="AG348" s="2">
        <v>36.299999999999997</v>
      </c>
      <c r="AH348" s="2">
        <v>31.4</v>
      </c>
      <c r="AI348" s="2" t="str">
        <f>IF(EHR[[#This Row],[BMI_kg_m2]]&gt;=30,"Obese","Non-Obese")</f>
        <v>Obese</v>
      </c>
      <c r="AJ348" s="2">
        <v>96</v>
      </c>
      <c r="AK348" s="2" t="s">
        <v>50</v>
      </c>
      <c r="AL348" s="2" t="s">
        <v>51</v>
      </c>
      <c r="AM348" s="2" t="s">
        <v>52</v>
      </c>
      <c r="AN348" s="2" t="s">
        <v>53</v>
      </c>
      <c r="AO348" s="2" t="s">
        <v>54</v>
      </c>
    </row>
    <row r="349" spans="1:41" x14ac:dyDescent="0.2">
      <c r="A349" s="7" t="s">
        <v>1255</v>
      </c>
      <c r="B349" s="3" t="s">
        <v>1260</v>
      </c>
      <c r="C349" s="14">
        <v>45373</v>
      </c>
      <c r="D349" s="3" t="s">
        <v>88</v>
      </c>
      <c r="E349" s="3" t="s">
        <v>37</v>
      </c>
      <c r="F349" s="3" t="s">
        <v>97</v>
      </c>
      <c r="G349" s="3" t="s">
        <v>63</v>
      </c>
      <c r="H349" s="14">
        <v>37855</v>
      </c>
      <c r="I349" s="3">
        <v>22</v>
      </c>
      <c r="J349" s="3" t="str" cm="1">
        <f t="array" ref="J34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49" s="3" t="s">
        <v>1573</v>
      </c>
      <c r="L349" s="3" t="s">
        <v>90</v>
      </c>
      <c r="M349" s="3" t="s">
        <v>141</v>
      </c>
      <c r="N349" s="3" t="s">
        <v>125</v>
      </c>
      <c r="O349" s="3" t="s">
        <v>45</v>
      </c>
      <c r="P349" s="3" t="s">
        <v>126</v>
      </c>
      <c r="Q349" s="3" t="str">
        <f>_xlfn.XLOOKUP(EHR[[#This Row],[Primary_ICD11_Code]],'03_ICD11_Reference'!A:A,'03_ICD11_Reference'!D:D,,0)</f>
        <v>Neurological</v>
      </c>
      <c r="R349" s="3" t="s">
        <v>127</v>
      </c>
      <c r="S349" s="3" t="s">
        <v>69</v>
      </c>
      <c r="T349" s="3" t="s">
        <v>1261</v>
      </c>
      <c r="U349" s="3">
        <v>3</v>
      </c>
      <c r="V349" s="3" t="str">
        <f>_xlfn.XLOOKUP(EHR[[#This Row],[Encounter_ID]],'02_Lab_Results'!B:B,'02_Lab_Results'!D:D,,0)</f>
        <v>6768-6</v>
      </c>
      <c r="W349" s="3" t="str">
        <f>_xlfn.XLOOKUP(EHR[[#This Row],[LOINC Code]],'04_LOINC_Reference'!A:A,'04_LOINC_Reference'!F:F,,0)</f>
        <v>Biochemistry</v>
      </c>
      <c r="X349" s="3" t="str">
        <f>_xlfn.XLOOKUP(EHR[[#This Row],[LOINC Code]],'02_Lab_Results'!D:D,'02_Lab_Results'!E:E,,0)</f>
        <v>ALP</v>
      </c>
      <c r="Y349" s="3" t="str">
        <f>_xlfn.XLOOKUP(EHR[[#This Row],[LOINC Code]],'02_Lab_Results'!D:D,'02_Lab_Results'!J:J,,0)</f>
        <v>High</v>
      </c>
      <c r="Z349" s="3" t="str" cm="1">
        <f t="array" ref="Z349">_xlfn.XLOOKUP(1,(B349=B$2:B$500)*(V$2:V$500="4548-4"),Y$2:Y$500,"Not Tested")</f>
        <v>Not Tested</v>
      </c>
      <c r="AA349" s="3">
        <v>113</v>
      </c>
      <c r="AB349" s="3">
        <v>93</v>
      </c>
      <c r="AC349" s="3" t="str">
        <f>IF(AND(EHR[[#This Row],[BP_Systolic_mmHg]]&lt;140,EHR[[#This Row],[BP_Diastolic_mmHg]]&lt;90),"Controlled",IF(OR(EHR[[#This Row],[BP_Systolic_mmHg]]="Not Recorded",EHR[[#This Row],[BP_Diastolic_mmHg]]="Not Recorded"),"No Reading","Uncontrolled"))</f>
        <v>Uncontrolled</v>
      </c>
      <c r="AD349" s="3" t="str">
        <f>_xlfn.CONCAT(EHR[[#This Row],[BP_Systolic_mmHg]],"/",EHR[[#This Row],[BP_Diastolic_mmHg]])</f>
        <v>113/93</v>
      </c>
      <c r="AE349" s="3">
        <v>123</v>
      </c>
      <c r="AF349" s="3">
        <v>13</v>
      </c>
      <c r="AG349" s="3">
        <v>38.700000000000003</v>
      </c>
      <c r="AH349" s="3">
        <v>23.6</v>
      </c>
      <c r="AI349" s="3" t="str">
        <f>IF(EHR[[#This Row],[BMI_kg_m2]]&gt;=30,"Obese","Non-Obese")</f>
        <v>Non-Obese</v>
      </c>
      <c r="AJ349" s="3">
        <v>90</v>
      </c>
      <c r="AK349" s="3" t="s">
        <v>50</v>
      </c>
      <c r="AL349" s="3" t="s">
        <v>51</v>
      </c>
      <c r="AM349" s="3" t="s">
        <v>52</v>
      </c>
      <c r="AN349" s="3" t="s">
        <v>53</v>
      </c>
      <c r="AO349" s="3" t="s">
        <v>54</v>
      </c>
    </row>
    <row r="350" spans="1:41" x14ac:dyDescent="0.2">
      <c r="A350" s="6" t="s">
        <v>1255</v>
      </c>
      <c r="B350" s="2" t="s">
        <v>1262</v>
      </c>
      <c r="C350" s="13">
        <v>45271</v>
      </c>
      <c r="D350" s="2" t="s">
        <v>103</v>
      </c>
      <c r="E350" s="2" t="s">
        <v>96</v>
      </c>
      <c r="F350" s="2" t="s">
        <v>132</v>
      </c>
      <c r="G350" s="2" t="s">
        <v>104</v>
      </c>
      <c r="H350" s="13">
        <v>37855</v>
      </c>
      <c r="I350" s="2">
        <v>22</v>
      </c>
      <c r="J350" s="2" t="str" cm="1">
        <f t="array" ref="J35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50" s="2" t="s">
        <v>1573</v>
      </c>
      <c r="L350" s="2" t="s">
        <v>90</v>
      </c>
      <c r="M350" s="2" t="s">
        <v>141</v>
      </c>
      <c r="N350" s="2" t="s">
        <v>125</v>
      </c>
      <c r="O350" s="2" t="s">
        <v>45</v>
      </c>
      <c r="P350" s="2" t="s">
        <v>126</v>
      </c>
      <c r="Q350" s="2" t="str">
        <f>_xlfn.XLOOKUP(EHR[[#This Row],[Primary_ICD11_Code]],'03_ICD11_Reference'!A:A,'03_ICD11_Reference'!D:D,,0)</f>
        <v>Neurological</v>
      </c>
      <c r="R350" s="2" t="s">
        <v>127</v>
      </c>
      <c r="S350" s="2" t="s">
        <v>69</v>
      </c>
      <c r="T350" s="2" t="s">
        <v>1264</v>
      </c>
      <c r="U350" s="2">
        <v>3</v>
      </c>
      <c r="V350" s="2" t="str">
        <f>_xlfn.XLOOKUP(EHR[[#This Row],[Encounter_ID]],'02_Lab_Results'!B:B,'02_Lab_Results'!D:D,,0)</f>
        <v>2823-3</v>
      </c>
      <c r="W350" s="2" t="str">
        <f>_xlfn.XLOOKUP(EHR[[#This Row],[LOINC Code]],'04_LOINC_Reference'!A:A,'04_LOINC_Reference'!F:F,,0)</f>
        <v>Biochemistry</v>
      </c>
      <c r="X350" s="2" t="str">
        <f>_xlfn.XLOOKUP(EHR[[#This Row],[LOINC Code]],'02_Lab_Results'!D:D,'02_Lab_Results'!E:E,,0)</f>
        <v>Serum potassium</v>
      </c>
      <c r="Y350" s="2" t="str">
        <f>_xlfn.XLOOKUP(EHR[[#This Row],[LOINC Code]],'02_Lab_Results'!D:D,'02_Lab_Results'!J:J,,0)</f>
        <v>Normal</v>
      </c>
      <c r="Z350" s="2" t="str" cm="1">
        <f t="array" ref="Z350">_xlfn.XLOOKUP(1,(B350=B$2:B$500)*(V$2:V$500="4548-4"),Y$2:Y$500,"Not Tested")</f>
        <v>Not Tested</v>
      </c>
      <c r="AA350" s="2">
        <v>120</v>
      </c>
      <c r="AB350" s="2">
        <v>89</v>
      </c>
      <c r="AC350" s="2" t="str">
        <f>IF(AND(EHR[[#This Row],[BP_Systolic_mmHg]]&lt;140,EHR[[#This Row],[BP_Diastolic_mmHg]]&lt;90),"Controlled",IF(OR(EHR[[#This Row],[BP_Systolic_mmHg]]="Not Recorded",EHR[[#This Row],[BP_Diastolic_mmHg]]="Not Recorded"),"No Reading","Uncontrolled"))</f>
        <v>Controlled</v>
      </c>
      <c r="AD350" s="2" t="str">
        <f>_xlfn.CONCAT(EHR[[#This Row],[BP_Systolic_mmHg]],"/",EHR[[#This Row],[BP_Diastolic_mmHg]])</f>
        <v>120/89</v>
      </c>
      <c r="AE350" s="2">
        <v>90</v>
      </c>
      <c r="AF350" s="2">
        <v>19</v>
      </c>
      <c r="AG350" s="2">
        <v>37.1</v>
      </c>
      <c r="AH350" s="2">
        <v>19.7</v>
      </c>
      <c r="AI350" s="2" t="str">
        <f>IF(EHR[[#This Row],[BMI_kg_m2]]&gt;=30,"Obese","Non-Obese")</f>
        <v>Non-Obese</v>
      </c>
      <c r="AJ350" s="2">
        <v>98</v>
      </c>
      <c r="AK350" s="2" t="s">
        <v>50</v>
      </c>
      <c r="AL350" s="2" t="s">
        <v>51</v>
      </c>
      <c r="AM350" s="2" t="s">
        <v>52</v>
      </c>
      <c r="AN350" s="2" t="s">
        <v>53</v>
      </c>
      <c r="AO350" s="2" t="s">
        <v>54</v>
      </c>
    </row>
    <row r="351" spans="1:41" x14ac:dyDescent="0.2">
      <c r="A351" s="7" t="s">
        <v>1255</v>
      </c>
      <c r="B351" s="3" t="s">
        <v>1265</v>
      </c>
      <c r="C351" s="14">
        <v>45454</v>
      </c>
      <c r="D351" s="3" t="s">
        <v>88</v>
      </c>
      <c r="E351" s="3" t="s">
        <v>89</v>
      </c>
      <c r="F351" s="3" t="s">
        <v>132</v>
      </c>
      <c r="G351" s="3" t="s">
        <v>123</v>
      </c>
      <c r="H351" s="14">
        <v>37855</v>
      </c>
      <c r="I351" s="3">
        <v>22</v>
      </c>
      <c r="J351" s="3" t="str" cm="1">
        <f t="array" ref="J35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51" s="3" t="s">
        <v>1573</v>
      </c>
      <c r="L351" s="3" t="s">
        <v>90</v>
      </c>
      <c r="M351" s="3" t="s">
        <v>141</v>
      </c>
      <c r="N351" s="3" t="s">
        <v>125</v>
      </c>
      <c r="O351" s="3" t="s">
        <v>45</v>
      </c>
      <c r="P351" s="3" t="s">
        <v>126</v>
      </c>
      <c r="Q351" s="3" t="str">
        <f>_xlfn.XLOOKUP(EHR[[#This Row],[Primary_ICD11_Code]],'03_ICD11_Reference'!A:A,'03_ICD11_Reference'!D:D,,0)</f>
        <v>Neurological</v>
      </c>
      <c r="R351" s="3" t="s">
        <v>127</v>
      </c>
      <c r="S351" s="3" t="s">
        <v>69</v>
      </c>
      <c r="T351" s="3" t="s">
        <v>1267</v>
      </c>
      <c r="U351" s="3">
        <v>2</v>
      </c>
      <c r="V351" s="3" t="str">
        <f>_xlfn.XLOOKUP(EHR[[#This Row],[Encounter_ID]],'02_Lab_Results'!B:B,'02_Lab_Results'!D:D,,0)</f>
        <v>6690-2</v>
      </c>
      <c r="W351" s="3" t="str">
        <f>_xlfn.XLOOKUP(EHR[[#This Row],[LOINC Code]],'04_LOINC_Reference'!A:A,'04_LOINC_Reference'!F:F,,0)</f>
        <v>Biochemistry</v>
      </c>
      <c r="X351" s="3" t="str">
        <f>_xlfn.XLOOKUP(EHR[[#This Row],[LOINC Code]],'02_Lab_Results'!D:D,'02_Lab_Results'!E:E,,0)</f>
        <v>WBC count</v>
      </c>
      <c r="Y351" s="3" t="str">
        <f>_xlfn.XLOOKUP(EHR[[#This Row],[LOINC Code]],'02_Lab_Results'!D:D,'02_Lab_Results'!J:J,,0)</f>
        <v>Low</v>
      </c>
      <c r="Z351" s="3" t="str" cm="1">
        <f t="array" ref="Z351">_xlfn.XLOOKUP(1,(B351=B$2:B$500)*(V$2:V$500="4548-4"),Y$2:Y$500,"Not Tested")</f>
        <v>Not Tested</v>
      </c>
      <c r="AA351" s="3">
        <v>136</v>
      </c>
      <c r="AB351" s="3">
        <v>101</v>
      </c>
      <c r="AC351" s="3" t="str">
        <f>IF(AND(EHR[[#This Row],[BP_Systolic_mmHg]]&lt;140,EHR[[#This Row],[BP_Diastolic_mmHg]]&lt;90),"Controlled",IF(OR(EHR[[#This Row],[BP_Systolic_mmHg]]="Not Recorded",EHR[[#This Row],[BP_Diastolic_mmHg]]="Not Recorded"),"No Reading","Uncontrolled"))</f>
        <v>Uncontrolled</v>
      </c>
      <c r="AD351" s="3" t="str">
        <f>_xlfn.CONCAT(EHR[[#This Row],[BP_Systolic_mmHg]],"/",EHR[[#This Row],[BP_Diastolic_mmHg]])</f>
        <v>136/101</v>
      </c>
      <c r="AE351" s="3">
        <v>64</v>
      </c>
      <c r="AF351" s="3">
        <v>12</v>
      </c>
      <c r="AG351" s="3">
        <v>38.299999999999997</v>
      </c>
      <c r="AH351" s="3">
        <v>42.1</v>
      </c>
      <c r="AI351" s="3" t="str">
        <f>IF(EHR[[#This Row],[BMI_kg_m2]]&gt;=30,"Obese","Non-Obese")</f>
        <v>Obese</v>
      </c>
      <c r="AJ351" s="3">
        <v>94</v>
      </c>
      <c r="AK351" s="3" t="s">
        <v>50</v>
      </c>
      <c r="AL351" s="3" t="s">
        <v>51</v>
      </c>
      <c r="AM351" s="3" t="s">
        <v>52</v>
      </c>
      <c r="AN351" s="3" t="s">
        <v>53</v>
      </c>
      <c r="AO351" s="3" t="s">
        <v>54</v>
      </c>
    </row>
    <row r="352" spans="1:41" x14ac:dyDescent="0.2">
      <c r="A352" s="6" t="s">
        <v>1255</v>
      </c>
      <c r="B352" s="2" t="s">
        <v>1268</v>
      </c>
      <c r="C352" s="13">
        <v>45132</v>
      </c>
      <c r="D352" s="2" t="s">
        <v>95</v>
      </c>
      <c r="E352" s="2" t="s">
        <v>167</v>
      </c>
      <c r="F352" s="2" t="s">
        <v>62</v>
      </c>
      <c r="G352" s="2" t="s">
        <v>115</v>
      </c>
      <c r="H352" s="13">
        <v>37855</v>
      </c>
      <c r="I352" s="2">
        <v>22</v>
      </c>
      <c r="J352" s="2" t="str" cm="1">
        <f t="array" ref="J35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52" s="2" t="s">
        <v>1573</v>
      </c>
      <c r="L352" s="2" t="s">
        <v>42</v>
      </c>
      <c r="M352" s="2" t="s">
        <v>141</v>
      </c>
      <c r="N352" s="2" t="s">
        <v>125</v>
      </c>
      <c r="O352" s="2" t="s">
        <v>45</v>
      </c>
      <c r="P352" s="2" t="s">
        <v>126</v>
      </c>
      <c r="Q352" s="2" t="str">
        <f>_xlfn.XLOOKUP(EHR[[#This Row],[Primary_ICD11_Code]],'03_ICD11_Reference'!A:A,'03_ICD11_Reference'!D:D,,0)</f>
        <v>Neurological</v>
      </c>
      <c r="R352" s="2" t="s">
        <v>127</v>
      </c>
      <c r="S352" s="2" t="s">
        <v>69</v>
      </c>
      <c r="T352" s="2" t="s">
        <v>518</v>
      </c>
      <c r="U352" s="2">
        <v>1</v>
      </c>
      <c r="V352" s="2" t="str">
        <f>_xlfn.XLOOKUP(EHR[[#This Row],[Encounter_ID]],'02_Lab_Results'!B:B,'02_Lab_Results'!D:D,,0)</f>
        <v>2951-2</v>
      </c>
      <c r="W352" s="2" t="str">
        <f>_xlfn.XLOOKUP(EHR[[#This Row],[LOINC Code]],'04_LOINC_Reference'!A:A,'04_LOINC_Reference'!F:F,,0)</f>
        <v>Biochemistry</v>
      </c>
      <c r="X352" s="2" t="str">
        <f>_xlfn.XLOOKUP(EHR[[#This Row],[LOINC Code]],'02_Lab_Results'!D:D,'02_Lab_Results'!E:E,,0)</f>
        <v>Serum sodium</v>
      </c>
      <c r="Y352" s="2" t="str">
        <f>_xlfn.XLOOKUP(EHR[[#This Row],[LOINC Code]],'02_Lab_Results'!D:D,'02_Lab_Results'!J:J,,0)</f>
        <v>Low</v>
      </c>
      <c r="Z352" s="2" t="str" cm="1">
        <f t="array" ref="Z352">_xlfn.XLOOKUP(1,(B352=B$2:B$500)*(V$2:V$500="4548-4"),Y$2:Y$500,"Not Tested")</f>
        <v>Not Tested</v>
      </c>
      <c r="AA352" s="2">
        <v>128</v>
      </c>
      <c r="AB352" s="2">
        <v>64</v>
      </c>
      <c r="AC352" s="2" t="str">
        <f>IF(AND(EHR[[#This Row],[BP_Systolic_mmHg]]&lt;140,EHR[[#This Row],[BP_Diastolic_mmHg]]&lt;90),"Controlled",IF(OR(EHR[[#This Row],[BP_Systolic_mmHg]]="Not Recorded",EHR[[#This Row],[BP_Diastolic_mmHg]]="Not Recorded"),"No Reading","Uncontrolled"))</f>
        <v>Controlled</v>
      </c>
      <c r="AD352" s="2" t="str">
        <f>_xlfn.CONCAT(EHR[[#This Row],[BP_Systolic_mmHg]],"/",EHR[[#This Row],[BP_Diastolic_mmHg]])</f>
        <v>128/64</v>
      </c>
      <c r="AE352" s="2">
        <v>61</v>
      </c>
      <c r="AF352" s="2">
        <v>23</v>
      </c>
      <c r="AG352" s="2">
        <v>37</v>
      </c>
      <c r="AH352" s="2">
        <v>29.9</v>
      </c>
      <c r="AI352" s="2" t="str">
        <f>IF(EHR[[#This Row],[BMI_kg_m2]]&gt;=30,"Obese","Non-Obese")</f>
        <v>Non-Obese</v>
      </c>
      <c r="AJ352" s="2">
        <v>91</v>
      </c>
      <c r="AK352" s="2" t="s">
        <v>50</v>
      </c>
      <c r="AL352" s="2" t="s">
        <v>51</v>
      </c>
      <c r="AM352" s="2" t="s">
        <v>52</v>
      </c>
      <c r="AN352" s="2" t="s">
        <v>53</v>
      </c>
      <c r="AO352" s="2" t="s">
        <v>54</v>
      </c>
    </row>
    <row r="353" spans="1:41" x14ac:dyDescent="0.2">
      <c r="A353" s="7" t="s">
        <v>1269</v>
      </c>
      <c r="B353" s="3" t="s">
        <v>1270</v>
      </c>
      <c r="C353" s="14">
        <v>45500</v>
      </c>
      <c r="D353" s="3" t="s">
        <v>95</v>
      </c>
      <c r="E353" s="3" t="s">
        <v>37</v>
      </c>
      <c r="F353" s="3" t="s">
        <v>75</v>
      </c>
      <c r="G353" s="3" t="s">
        <v>63</v>
      </c>
      <c r="H353" s="14">
        <v>20549</v>
      </c>
      <c r="I353" s="3">
        <v>69</v>
      </c>
      <c r="J353" s="3" t="str" cm="1">
        <f t="array" ref="J35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53" s="3" t="s">
        <v>1572</v>
      </c>
      <c r="L353" s="3" t="s">
        <v>42</v>
      </c>
      <c r="M353" s="3" t="s">
        <v>45</v>
      </c>
      <c r="N353" s="3" t="s">
        <v>80</v>
      </c>
      <c r="O353" s="3" t="s">
        <v>81</v>
      </c>
      <c r="P353" s="3" t="s">
        <v>305</v>
      </c>
      <c r="Q353" s="3" t="str">
        <f>_xlfn.XLOOKUP(EHR[[#This Row],[Primary_ICD11_Code]],'03_ICD11_Reference'!A:A,'03_ICD11_Reference'!D:D,,0)</f>
        <v>Infectious</v>
      </c>
      <c r="R353" s="3" t="s">
        <v>306</v>
      </c>
      <c r="S353" s="3" t="s">
        <v>48</v>
      </c>
      <c r="T353" s="3" t="s">
        <v>1273</v>
      </c>
      <c r="U353" s="3">
        <v>3</v>
      </c>
      <c r="V353" s="3" t="str">
        <f>_xlfn.XLOOKUP(EHR[[#This Row],[Encounter_ID]],'02_Lab_Results'!B:B,'02_Lab_Results'!D:D,,0)</f>
        <v>2093-3</v>
      </c>
      <c r="W353" s="3" t="str">
        <f>_xlfn.XLOOKUP(EHR[[#This Row],[LOINC Code]],'04_LOINC_Reference'!A:A,'04_LOINC_Reference'!F:F,,0)</f>
        <v>Biochemistry</v>
      </c>
      <c r="X353" s="3" t="str">
        <f>_xlfn.XLOOKUP(EHR[[#This Row],[LOINC Code]],'02_Lab_Results'!D:D,'02_Lab_Results'!E:E,,0)</f>
        <v>Total cholesterol</v>
      </c>
      <c r="Y353" s="3" t="str">
        <f>_xlfn.XLOOKUP(EHR[[#This Row],[LOINC Code]],'02_Lab_Results'!D:D,'02_Lab_Results'!J:J,,0)</f>
        <v>Normal</v>
      </c>
      <c r="Z353" s="3" t="str" cm="1">
        <f t="array" ref="Z353">_xlfn.XLOOKUP(1,(B353=B$2:B$500)*(V$2:V$500="4548-4"),Y$2:Y$500,"Not Tested")</f>
        <v>Not Tested</v>
      </c>
      <c r="AA353" s="3">
        <v>184</v>
      </c>
      <c r="AB353" s="3">
        <v>80</v>
      </c>
      <c r="AC353" s="3" t="str">
        <f>IF(AND(EHR[[#This Row],[BP_Systolic_mmHg]]&lt;140,EHR[[#This Row],[BP_Diastolic_mmHg]]&lt;90),"Controlled",IF(OR(EHR[[#This Row],[BP_Systolic_mmHg]]="Not Recorded",EHR[[#This Row],[BP_Diastolic_mmHg]]="Not Recorded"),"No Reading","Uncontrolled"))</f>
        <v>Uncontrolled</v>
      </c>
      <c r="AD353" s="3" t="str">
        <f>_xlfn.CONCAT(EHR[[#This Row],[BP_Systolic_mmHg]],"/",EHR[[#This Row],[BP_Diastolic_mmHg]])</f>
        <v>184/80</v>
      </c>
      <c r="AE353" s="3">
        <v>118</v>
      </c>
      <c r="AF353" s="3">
        <v>15</v>
      </c>
      <c r="AG353" s="3">
        <v>36.9</v>
      </c>
      <c r="AH353" s="3">
        <v>18.3</v>
      </c>
      <c r="AI353" s="3" t="str">
        <f>IF(EHR[[#This Row],[BMI_kg_m2]]&gt;=30,"Obese","Non-Obese")</f>
        <v>Non-Obese</v>
      </c>
      <c r="AJ353" s="3">
        <v>97</v>
      </c>
      <c r="AK353" s="3" t="s">
        <v>50</v>
      </c>
      <c r="AL353" s="3" t="s">
        <v>51</v>
      </c>
      <c r="AM353" s="3" t="s">
        <v>52</v>
      </c>
      <c r="AN353" s="3" t="s">
        <v>53</v>
      </c>
      <c r="AO353" s="3" t="s">
        <v>54</v>
      </c>
    </row>
    <row r="354" spans="1:41" x14ac:dyDescent="0.2">
      <c r="A354" s="6" t="s">
        <v>1274</v>
      </c>
      <c r="B354" s="2" t="s">
        <v>1275</v>
      </c>
      <c r="C354" s="13">
        <v>45439</v>
      </c>
      <c r="D354" s="2" t="s">
        <v>36</v>
      </c>
      <c r="E354" s="2" t="s">
        <v>167</v>
      </c>
      <c r="F354" s="2" t="s">
        <v>97</v>
      </c>
      <c r="G354" s="2" t="s">
        <v>39</v>
      </c>
      <c r="H354" s="13">
        <v>36353</v>
      </c>
      <c r="I354" s="2">
        <v>26</v>
      </c>
      <c r="J354" s="2" t="str" cm="1">
        <f t="array" ref="J35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54" s="2" t="s">
        <v>1573</v>
      </c>
      <c r="L354" s="2" t="s">
        <v>66</v>
      </c>
      <c r="M354" s="2" t="s">
        <v>43</v>
      </c>
      <c r="N354" s="2" t="s">
        <v>80</v>
      </c>
      <c r="O354" s="2" t="s">
        <v>45</v>
      </c>
      <c r="P354" s="2" t="s">
        <v>195</v>
      </c>
      <c r="Q354" s="2" t="str">
        <f>_xlfn.XLOOKUP(EHR[[#This Row],[Primary_ICD11_Code]],'03_ICD11_Reference'!A:A,'03_ICD11_Reference'!D:D,,0)</f>
        <v>Respiratory</v>
      </c>
      <c r="R354" s="2" t="s">
        <v>196</v>
      </c>
      <c r="S354" s="2" t="s">
        <v>69</v>
      </c>
      <c r="T354" s="2" t="s">
        <v>1278</v>
      </c>
      <c r="U354" s="2">
        <v>2</v>
      </c>
      <c r="V354" s="2" t="str">
        <f>_xlfn.XLOOKUP(EHR[[#This Row],[Encounter_ID]],'02_Lab_Results'!B:B,'02_Lab_Results'!D:D,,0)</f>
        <v>2777-1</v>
      </c>
      <c r="W354" s="2" t="str">
        <f>_xlfn.XLOOKUP(EHR[[#This Row],[LOINC Code]],'04_LOINC_Reference'!A:A,'04_LOINC_Reference'!F:F,,0)</f>
        <v>Biochemistry</v>
      </c>
      <c r="X354" s="2" t="str">
        <f>_xlfn.XLOOKUP(EHR[[#This Row],[LOINC Code]],'02_Lab_Results'!D:D,'02_Lab_Results'!E:E,,0)</f>
        <v>Serum phosphate</v>
      </c>
      <c r="Y354" s="2" t="str">
        <f>_xlfn.XLOOKUP(EHR[[#This Row],[LOINC Code]],'02_Lab_Results'!D:D,'02_Lab_Results'!J:J,,0)</f>
        <v>Normal</v>
      </c>
      <c r="Z354" s="2" t="str" cm="1">
        <f t="array" ref="Z354">_xlfn.XLOOKUP(1,(B354=B$2:B$500)*(V$2:V$500="4548-4"),Y$2:Y$500,"Not Tested")</f>
        <v>Not Tested</v>
      </c>
      <c r="AA354" s="2">
        <v>179</v>
      </c>
      <c r="AB354" s="2">
        <v>86</v>
      </c>
      <c r="AC354" s="2" t="str">
        <f>IF(AND(EHR[[#This Row],[BP_Systolic_mmHg]]&lt;140,EHR[[#This Row],[BP_Diastolic_mmHg]]&lt;90),"Controlled",IF(OR(EHR[[#This Row],[BP_Systolic_mmHg]]="Not Recorded",EHR[[#This Row],[BP_Diastolic_mmHg]]="Not Recorded"),"No Reading","Uncontrolled"))</f>
        <v>Uncontrolled</v>
      </c>
      <c r="AD354" s="2" t="str">
        <f>_xlfn.CONCAT(EHR[[#This Row],[BP_Systolic_mmHg]],"/",EHR[[#This Row],[BP_Diastolic_mmHg]])</f>
        <v>179/86</v>
      </c>
      <c r="AE354" s="2">
        <v>112</v>
      </c>
      <c r="AF354" s="2">
        <v>27</v>
      </c>
      <c r="AG354" s="2">
        <v>39</v>
      </c>
      <c r="AH354" s="2">
        <v>24.7</v>
      </c>
      <c r="AI354" s="2" t="str">
        <f>IF(EHR[[#This Row],[BMI_kg_m2]]&gt;=30,"Obese","Non-Obese")</f>
        <v>Non-Obese</v>
      </c>
      <c r="AJ354" s="2">
        <v>98</v>
      </c>
      <c r="AK354" s="2" t="s">
        <v>50</v>
      </c>
      <c r="AL354" s="2" t="s">
        <v>51</v>
      </c>
      <c r="AM354" s="2" t="s">
        <v>52</v>
      </c>
      <c r="AN354" s="2" t="s">
        <v>53</v>
      </c>
      <c r="AO354" s="2" t="s">
        <v>54</v>
      </c>
    </row>
    <row r="355" spans="1:41" x14ac:dyDescent="0.2">
      <c r="A355" s="7" t="s">
        <v>1274</v>
      </c>
      <c r="B355" s="3" t="s">
        <v>1279</v>
      </c>
      <c r="C355" s="14">
        <v>45693</v>
      </c>
      <c r="D355" s="3" t="s">
        <v>88</v>
      </c>
      <c r="E355" s="3" t="s">
        <v>167</v>
      </c>
      <c r="F355" s="3" t="s">
        <v>122</v>
      </c>
      <c r="G355" s="3" t="s">
        <v>76</v>
      </c>
      <c r="H355" s="14">
        <v>36353</v>
      </c>
      <c r="I355" s="3">
        <v>26</v>
      </c>
      <c r="J355" s="3" t="str" cm="1">
        <f t="array" ref="J35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55" s="3" t="s">
        <v>1573</v>
      </c>
      <c r="L355" s="3" t="s">
        <v>90</v>
      </c>
      <c r="M355" s="3" t="s">
        <v>43</v>
      </c>
      <c r="N355" s="3" t="s">
        <v>80</v>
      </c>
      <c r="O355" s="3" t="s">
        <v>45</v>
      </c>
      <c r="P355" s="3" t="s">
        <v>195</v>
      </c>
      <c r="Q355" s="3" t="str">
        <f>_xlfn.XLOOKUP(EHR[[#This Row],[Primary_ICD11_Code]],'03_ICD11_Reference'!A:A,'03_ICD11_Reference'!D:D,,0)</f>
        <v>Respiratory</v>
      </c>
      <c r="R355" s="3" t="s">
        <v>196</v>
      </c>
      <c r="S355" s="3" t="s">
        <v>69</v>
      </c>
      <c r="T355" s="3" t="s">
        <v>117</v>
      </c>
      <c r="U355" s="3">
        <v>1</v>
      </c>
      <c r="V355" s="3" t="str">
        <f>_xlfn.XLOOKUP(EHR[[#This Row],[Encounter_ID]],'02_Lab_Results'!B:B,'02_Lab_Results'!D:D,,0)</f>
        <v>2085-9</v>
      </c>
      <c r="W355" s="3" t="str">
        <f>_xlfn.XLOOKUP(EHR[[#This Row],[LOINC Code]],'04_LOINC_Reference'!A:A,'04_LOINC_Reference'!F:F,,0)</f>
        <v>Biochemistry</v>
      </c>
      <c r="X355" s="3" t="str">
        <f>_xlfn.XLOOKUP(EHR[[#This Row],[LOINC Code]],'02_Lab_Results'!D:D,'02_Lab_Results'!E:E,,0)</f>
        <v>HDL cholesterol</v>
      </c>
      <c r="Y355" s="3" t="str">
        <f>_xlfn.XLOOKUP(EHR[[#This Row],[LOINC Code]],'02_Lab_Results'!D:D,'02_Lab_Results'!J:J,,0)</f>
        <v>Normal</v>
      </c>
      <c r="Z355" s="3" t="str" cm="1">
        <f t="array" ref="Z355">_xlfn.XLOOKUP(1,(B355=B$2:B$500)*(V$2:V$500="4548-4"),Y$2:Y$500,"Not Tested")</f>
        <v>Not Tested</v>
      </c>
      <c r="AA355" s="3">
        <v>162</v>
      </c>
      <c r="AB355" s="3">
        <v>111</v>
      </c>
      <c r="AC355" s="3" t="str">
        <f>IF(AND(EHR[[#This Row],[BP_Systolic_mmHg]]&lt;140,EHR[[#This Row],[BP_Diastolic_mmHg]]&lt;90),"Controlled",IF(OR(EHR[[#This Row],[BP_Systolic_mmHg]]="Not Recorded",EHR[[#This Row],[BP_Diastolic_mmHg]]="Not Recorded"),"No Reading","Uncontrolled"))</f>
        <v>Uncontrolled</v>
      </c>
      <c r="AD355" s="3" t="str">
        <f>_xlfn.CONCAT(EHR[[#This Row],[BP_Systolic_mmHg]],"/",EHR[[#This Row],[BP_Diastolic_mmHg]])</f>
        <v>162/111</v>
      </c>
      <c r="AE355" s="3">
        <v>66</v>
      </c>
      <c r="AF355" s="3">
        <v>14</v>
      </c>
      <c r="AG355" s="3">
        <v>36.700000000000003</v>
      </c>
      <c r="AH355" s="3">
        <v>25.3</v>
      </c>
      <c r="AI355" s="3" t="str">
        <f>IF(EHR[[#This Row],[BMI_kg_m2]]&gt;=30,"Obese","Non-Obese")</f>
        <v>Non-Obese</v>
      </c>
      <c r="AJ355" s="3">
        <v>92</v>
      </c>
      <c r="AK355" s="3" t="s">
        <v>50</v>
      </c>
      <c r="AL355" s="3" t="s">
        <v>51</v>
      </c>
      <c r="AM355" s="3" t="s">
        <v>52</v>
      </c>
      <c r="AN355" s="3" t="s">
        <v>53</v>
      </c>
      <c r="AO355" s="3" t="s">
        <v>54</v>
      </c>
    </row>
    <row r="356" spans="1:41" x14ac:dyDescent="0.2">
      <c r="A356" s="6" t="s">
        <v>1274</v>
      </c>
      <c r="B356" s="2" t="s">
        <v>1280</v>
      </c>
      <c r="C356" s="13">
        <v>45360</v>
      </c>
      <c r="D356" s="2" t="s">
        <v>103</v>
      </c>
      <c r="E356" s="2" t="s">
        <v>167</v>
      </c>
      <c r="F356" s="2" t="s">
        <v>148</v>
      </c>
      <c r="G356" s="2" t="s">
        <v>39</v>
      </c>
      <c r="H356" s="13">
        <v>36353</v>
      </c>
      <c r="I356" s="2">
        <v>26</v>
      </c>
      <c r="J356" s="2" t="str" cm="1">
        <f t="array" ref="J35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56" s="2" t="s">
        <v>1573</v>
      </c>
      <c r="L356" s="2" t="s">
        <v>42</v>
      </c>
      <c r="M356" s="2" t="s">
        <v>43</v>
      </c>
      <c r="N356" s="2" t="s">
        <v>80</v>
      </c>
      <c r="O356" s="2" t="s">
        <v>45</v>
      </c>
      <c r="P356" s="2" t="s">
        <v>195</v>
      </c>
      <c r="Q356" s="2" t="str">
        <f>_xlfn.XLOOKUP(EHR[[#This Row],[Primary_ICD11_Code]],'03_ICD11_Reference'!A:A,'03_ICD11_Reference'!D:D,,0)</f>
        <v>Respiratory</v>
      </c>
      <c r="R356" s="2" t="s">
        <v>196</v>
      </c>
      <c r="S356" s="2" t="s">
        <v>69</v>
      </c>
      <c r="T356" s="2" t="s">
        <v>1282</v>
      </c>
      <c r="U356" s="2">
        <v>3</v>
      </c>
      <c r="V356" s="2" t="str">
        <f>_xlfn.XLOOKUP(EHR[[#This Row],[Encounter_ID]],'02_Lab_Results'!B:B,'02_Lab_Results'!D:D,,0)</f>
        <v>17861-6</v>
      </c>
      <c r="W356" s="2" t="str">
        <f>_xlfn.XLOOKUP(EHR[[#This Row],[LOINC Code]],'04_LOINC_Reference'!A:A,'04_LOINC_Reference'!F:F,,0)</f>
        <v>Biochemistry</v>
      </c>
      <c r="X356" s="2" t="str">
        <f>_xlfn.XLOOKUP(EHR[[#This Row],[LOINC Code]],'02_Lab_Results'!D:D,'02_Lab_Results'!E:E,,0)</f>
        <v>Serum calcium</v>
      </c>
      <c r="Y356" s="2" t="str">
        <f>_xlfn.XLOOKUP(EHR[[#This Row],[LOINC Code]],'02_Lab_Results'!D:D,'02_Lab_Results'!J:J,,0)</f>
        <v>High</v>
      </c>
      <c r="Z356" s="2" t="str" cm="1">
        <f t="array" ref="Z356">_xlfn.XLOOKUP(1,(B356=B$2:B$500)*(V$2:V$500="4548-4"),Y$2:Y$500,"Not Tested")</f>
        <v>Not Tested</v>
      </c>
      <c r="AA356" s="2">
        <v>138</v>
      </c>
      <c r="AB356" s="2">
        <v>70</v>
      </c>
      <c r="AC356" s="2" t="str">
        <f>IF(AND(EHR[[#This Row],[BP_Systolic_mmHg]]&lt;140,EHR[[#This Row],[BP_Diastolic_mmHg]]&lt;90),"Controlled",IF(OR(EHR[[#This Row],[BP_Systolic_mmHg]]="Not Recorded",EHR[[#This Row],[BP_Diastolic_mmHg]]="Not Recorded"),"No Reading","Uncontrolled"))</f>
        <v>Controlled</v>
      </c>
      <c r="AD356" s="2" t="str">
        <f>_xlfn.CONCAT(EHR[[#This Row],[BP_Systolic_mmHg]],"/",EHR[[#This Row],[BP_Diastolic_mmHg]])</f>
        <v>138/70</v>
      </c>
      <c r="AE356" s="2">
        <v>71</v>
      </c>
      <c r="AF356" s="2">
        <v>25</v>
      </c>
      <c r="AG356" s="2">
        <v>36.5</v>
      </c>
      <c r="AH356" s="2">
        <v>31</v>
      </c>
      <c r="AI356" s="2" t="str">
        <f>IF(EHR[[#This Row],[BMI_kg_m2]]&gt;=30,"Obese","Non-Obese")</f>
        <v>Obese</v>
      </c>
      <c r="AJ356" s="2">
        <v>92</v>
      </c>
      <c r="AK356" s="2" t="s">
        <v>50</v>
      </c>
      <c r="AL356" s="2" t="s">
        <v>51</v>
      </c>
      <c r="AM356" s="2" t="s">
        <v>52</v>
      </c>
      <c r="AN356" s="2" t="s">
        <v>53</v>
      </c>
      <c r="AO356" s="2" t="s">
        <v>54</v>
      </c>
    </row>
    <row r="357" spans="1:41" x14ac:dyDescent="0.2">
      <c r="A357" s="7" t="s">
        <v>1274</v>
      </c>
      <c r="B357" s="3" t="s">
        <v>1283</v>
      </c>
      <c r="C357" s="14">
        <v>45581</v>
      </c>
      <c r="D357" s="3" t="s">
        <v>36</v>
      </c>
      <c r="E357" s="3" t="s">
        <v>61</v>
      </c>
      <c r="F357" s="3" t="s">
        <v>38</v>
      </c>
      <c r="G357" s="3" t="s">
        <v>98</v>
      </c>
      <c r="H357" s="14">
        <v>36353</v>
      </c>
      <c r="I357" s="3">
        <v>26</v>
      </c>
      <c r="J357" s="3" t="str" cm="1">
        <f t="array" ref="J35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57" s="3" t="s">
        <v>1573</v>
      </c>
      <c r="L357" s="3" t="s">
        <v>116</v>
      </c>
      <c r="M357" s="3" t="s">
        <v>43</v>
      </c>
      <c r="N357" s="3" t="s">
        <v>80</v>
      </c>
      <c r="O357" s="3" t="s">
        <v>45</v>
      </c>
      <c r="P357" s="3" t="s">
        <v>195</v>
      </c>
      <c r="Q357" s="3" t="str">
        <f>_xlfn.XLOOKUP(EHR[[#This Row],[Primary_ICD11_Code]],'03_ICD11_Reference'!A:A,'03_ICD11_Reference'!D:D,,0)</f>
        <v>Respiratory</v>
      </c>
      <c r="R357" s="3" t="s">
        <v>196</v>
      </c>
      <c r="S357" s="3" t="s">
        <v>69</v>
      </c>
      <c r="T357" s="3" t="s">
        <v>1284</v>
      </c>
      <c r="U357" s="3">
        <v>4</v>
      </c>
      <c r="V357" s="3" t="str">
        <f>_xlfn.XLOOKUP(EHR[[#This Row],[Encounter_ID]],'02_Lab_Results'!B:B,'02_Lab_Results'!D:D,,0)</f>
        <v>2345-7</v>
      </c>
      <c r="W357" s="3" t="str">
        <f>_xlfn.XLOOKUP(EHR[[#This Row],[LOINC Code]],'04_LOINC_Reference'!A:A,'04_LOINC_Reference'!F:F,,0)</f>
        <v>Biochemistry</v>
      </c>
      <c r="X357" s="3" t="str">
        <f>_xlfn.XLOOKUP(EHR[[#This Row],[LOINC Code]],'02_Lab_Results'!D:D,'02_Lab_Results'!E:E,,0)</f>
        <v>Serum glucose (fasting)</v>
      </c>
      <c r="Y357" s="3" t="str">
        <f>_xlfn.XLOOKUP(EHR[[#This Row],[LOINC Code]],'02_Lab_Results'!D:D,'02_Lab_Results'!J:J,,0)</f>
        <v>Normal</v>
      </c>
      <c r="Z357" s="3" t="str" cm="1">
        <f t="array" ref="Z357">_xlfn.XLOOKUP(1,(B357=B$2:B$500)*(V$2:V$500="4548-4"),Y$2:Y$500,"Not Tested")</f>
        <v>Not Tested</v>
      </c>
      <c r="AA357" s="3">
        <v>181</v>
      </c>
      <c r="AB357" s="3">
        <v>77</v>
      </c>
      <c r="AC357" s="3" t="str">
        <f>IF(AND(EHR[[#This Row],[BP_Systolic_mmHg]]&lt;140,EHR[[#This Row],[BP_Diastolic_mmHg]]&lt;90),"Controlled",IF(OR(EHR[[#This Row],[BP_Systolic_mmHg]]="Not Recorded",EHR[[#This Row],[BP_Diastolic_mmHg]]="Not Recorded"),"No Reading","Uncontrolled"))</f>
        <v>Uncontrolled</v>
      </c>
      <c r="AD357" s="3" t="str">
        <f>_xlfn.CONCAT(EHR[[#This Row],[BP_Systolic_mmHg]],"/",EHR[[#This Row],[BP_Diastolic_mmHg]])</f>
        <v>181/77</v>
      </c>
      <c r="AE357" s="3">
        <v>111</v>
      </c>
      <c r="AF357" s="3">
        <v>14</v>
      </c>
      <c r="AG357" s="3">
        <v>38.799999999999997</v>
      </c>
      <c r="AH357" s="3">
        <v>41.9</v>
      </c>
      <c r="AI357" s="3" t="str">
        <f>IF(EHR[[#This Row],[BMI_kg_m2]]&gt;=30,"Obese","Non-Obese")</f>
        <v>Obese</v>
      </c>
      <c r="AJ357" s="3">
        <v>92</v>
      </c>
      <c r="AK357" s="3" t="s">
        <v>50</v>
      </c>
      <c r="AL357" s="3" t="s">
        <v>51</v>
      </c>
      <c r="AM357" s="3" t="s">
        <v>52</v>
      </c>
      <c r="AN357" s="3" t="s">
        <v>53</v>
      </c>
      <c r="AO357" s="3" t="s">
        <v>54</v>
      </c>
    </row>
    <row r="358" spans="1:41" x14ac:dyDescent="0.2">
      <c r="A358" s="6" t="s">
        <v>1285</v>
      </c>
      <c r="B358" s="2" t="s">
        <v>1286</v>
      </c>
      <c r="C358" s="13">
        <v>45029</v>
      </c>
      <c r="D358" s="2" t="s">
        <v>103</v>
      </c>
      <c r="E358" s="2" t="s">
        <v>37</v>
      </c>
      <c r="F358" s="2" t="s">
        <v>132</v>
      </c>
      <c r="G358" s="2" t="s">
        <v>138</v>
      </c>
      <c r="H358" s="13">
        <v>20098</v>
      </c>
      <c r="I358" s="2">
        <v>70</v>
      </c>
      <c r="J358" s="2" t="str" cm="1">
        <f t="array" ref="J35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58" s="2" t="s">
        <v>1573</v>
      </c>
      <c r="L358" s="2" t="s">
        <v>116</v>
      </c>
      <c r="M358" s="2" t="s">
        <v>141</v>
      </c>
      <c r="N358" s="2" t="s">
        <v>1574</v>
      </c>
      <c r="O358" s="2" t="s">
        <v>81</v>
      </c>
      <c r="P358" s="2" t="s">
        <v>195</v>
      </c>
      <c r="Q358" s="2" t="str">
        <f>_xlfn.XLOOKUP(EHR[[#This Row],[Primary_ICD11_Code]],'03_ICD11_Reference'!A:A,'03_ICD11_Reference'!D:D,,0)</f>
        <v>Respiratory</v>
      </c>
      <c r="R358" s="2" t="s">
        <v>196</v>
      </c>
      <c r="S358" s="2" t="s">
        <v>69</v>
      </c>
      <c r="T358" s="2" t="s">
        <v>1288</v>
      </c>
      <c r="U358" s="2">
        <v>4</v>
      </c>
      <c r="V358" s="2" t="str">
        <f>_xlfn.XLOOKUP(EHR[[#This Row],[Encounter_ID]],'02_Lab_Results'!B:B,'02_Lab_Results'!D:D,,0)</f>
        <v>789-8</v>
      </c>
      <c r="W358" s="2" t="str">
        <f>_xlfn.XLOOKUP(EHR[[#This Row],[LOINC Code]],'04_LOINC_Reference'!A:A,'04_LOINC_Reference'!F:F,,0)</f>
        <v>Biochemistry</v>
      </c>
      <c r="X358" s="2" t="str">
        <f>_xlfn.XLOOKUP(EHR[[#This Row],[LOINC Code]],'02_Lab_Results'!D:D,'02_Lab_Results'!E:E,,0)</f>
        <v>RBC count</v>
      </c>
      <c r="Y358" s="2" t="str">
        <f>_xlfn.XLOOKUP(EHR[[#This Row],[LOINC Code]],'02_Lab_Results'!D:D,'02_Lab_Results'!J:J,,0)</f>
        <v>High</v>
      </c>
      <c r="Z358" s="2" t="str" cm="1">
        <f t="array" ref="Z358">_xlfn.XLOOKUP(1,(B358=B$2:B$500)*(V$2:V$500="4548-4"),Y$2:Y$500,"Not Tested")</f>
        <v>Not Tested</v>
      </c>
      <c r="AA358" s="2">
        <v>169</v>
      </c>
      <c r="AB358" s="2">
        <v>97</v>
      </c>
      <c r="AC358" s="2" t="str">
        <f>IF(AND(EHR[[#This Row],[BP_Systolic_mmHg]]&lt;140,EHR[[#This Row],[BP_Diastolic_mmHg]]&lt;90),"Controlled",IF(OR(EHR[[#This Row],[BP_Systolic_mmHg]]="Not Recorded",EHR[[#This Row],[BP_Diastolic_mmHg]]="Not Recorded"),"No Reading","Uncontrolled"))</f>
        <v>Uncontrolled</v>
      </c>
      <c r="AD358" s="2" t="str">
        <f>_xlfn.CONCAT(EHR[[#This Row],[BP_Systolic_mmHg]],"/",EHR[[#This Row],[BP_Diastolic_mmHg]])</f>
        <v>169/97</v>
      </c>
      <c r="AE358" s="2">
        <v>88</v>
      </c>
      <c r="AF358" s="2">
        <v>18</v>
      </c>
      <c r="AG358" s="2">
        <v>37.9</v>
      </c>
      <c r="AH358" s="2">
        <v>40.700000000000003</v>
      </c>
      <c r="AI358" s="2" t="str">
        <f>IF(EHR[[#This Row],[BMI_kg_m2]]&gt;=30,"Obese","Non-Obese")</f>
        <v>Obese</v>
      </c>
      <c r="AJ358" s="2">
        <v>97</v>
      </c>
      <c r="AK358" s="2" t="s">
        <v>50</v>
      </c>
      <c r="AL358" s="2" t="s">
        <v>51</v>
      </c>
      <c r="AM358" s="2" t="s">
        <v>52</v>
      </c>
      <c r="AN358" s="2" t="s">
        <v>53</v>
      </c>
      <c r="AO358" s="2" t="s">
        <v>54</v>
      </c>
    </row>
    <row r="359" spans="1:41" x14ac:dyDescent="0.2">
      <c r="A359" s="7" t="s">
        <v>1285</v>
      </c>
      <c r="B359" s="3" t="s">
        <v>1289</v>
      </c>
      <c r="C359" s="14">
        <v>45239</v>
      </c>
      <c r="D359" s="3" t="s">
        <v>36</v>
      </c>
      <c r="E359" s="3" t="s">
        <v>61</v>
      </c>
      <c r="F359" s="3" t="s">
        <v>97</v>
      </c>
      <c r="G359" s="3" t="s">
        <v>76</v>
      </c>
      <c r="H359" s="14">
        <v>20098</v>
      </c>
      <c r="I359" s="3">
        <v>70</v>
      </c>
      <c r="J359" s="3" t="str" cm="1">
        <f t="array" ref="J35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59" s="3" t="s">
        <v>1573</v>
      </c>
      <c r="L359" s="3" t="s">
        <v>66</v>
      </c>
      <c r="M359" s="3" t="s">
        <v>141</v>
      </c>
      <c r="N359" s="3" t="s">
        <v>1574</v>
      </c>
      <c r="O359" s="3" t="s">
        <v>81</v>
      </c>
      <c r="P359" s="3" t="s">
        <v>195</v>
      </c>
      <c r="Q359" s="3" t="str">
        <f>_xlfn.XLOOKUP(EHR[[#This Row],[Primary_ICD11_Code]],'03_ICD11_Reference'!A:A,'03_ICD11_Reference'!D:D,,0)</f>
        <v>Respiratory</v>
      </c>
      <c r="R359" s="3" t="s">
        <v>196</v>
      </c>
      <c r="S359" s="3" t="s">
        <v>69</v>
      </c>
      <c r="T359" s="3" t="s">
        <v>1290</v>
      </c>
      <c r="U359" s="3">
        <v>4</v>
      </c>
      <c r="V359" s="3" t="str">
        <f>_xlfn.XLOOKUP(EHR[[#This Row],[Encounter_ID]],'02_Lab_Results'!B:B,'02_Lab_Results'!D:D,,0)</f>
        <v>13457-7</v>
      </c>
      <c r="W359" s="3" t="str">
        <f>_xlfn.XLOOKUP(EHR[[#This Row],[LOINC Code]],'04_LOINC_Reference'!A:A,'04_LOINC_Reference'!F:F,,0)</f>
        <v>Biochemistry</v>
      </c>
      <c r="X359" s="3" t="str">
        <f>_xlfn.XLOOKUP(EHR[[#This Row],[LOINC Code]],'02_Lab_Results'!D:D,'02_Lab_Results'!E:E,,0)</f>
        <v>LDL cholesterol</v>
      </c>
      <c r="Y359" s="3" t="str">
        <f>_xlfn.XLOOKUP(EHR[[#This Row],[LOINC Code]],'02_Lab_Results'!D:D,'02_Lab_Results'!J:J,,0)</f>
        <v>High</v>
      </c>
      <c r="Z359" s="3" t="str" cm="1">
        <f t="array" ref="Z359">_xlfn.XLOOKUP(1,(B359=B$2:B$500)*(V$2:V$500="4548-4"),Y$2:Y$500,"Not Tested")</f>
        <v>Not Tested</v>
      </c>
      <c r="AA359" s="3">
        <v>123</v>
      </c>
      <c r="AB359" s="3">
        <v>60</v>
      </c>
      <c r="AC359" s="3" t="str">
        <f>IF(AND(EHR[[#This Row],[BP_Systolic_mmHg]]&lt;140,EHR[[#This Row],[BP_Diastolic_mmHg]]&lt;90),"Controlled",IF(OR(EHR[[#This Row],[BP_Systolic_mmHg]]="Not Recorded",EHR[[#This Row],[BP_Diastolic_mmHg]]="Not Recorded"),"No Reading","Uncontrolled"))</f>
        <v>Controlled</v>
      </c>
      <c r="AD359" s="3" t="str">
        <f>_xlfn.CONCAT(EHR[[#This Row],[BP_Systolic_mmHg]],"/",EHR[[#This Row],[BP_Diastolic_mmHg]])</f>
        <v>123/60</v>
      </c>
      <c r="AE359" s="3">
        <v>62</v>
      </c>
      <c r="AF359" s="3">
        <v>20</v>
      </c>
      <c r="AG359" s="3">
        <v>39.1</v>
      </c>
      <c r="AH359" s="3">
        <v>41.2</v>
      </c>
      <c r="AI359" s="3" t="str">
        <f>IF(EHR[[#This Row],[BMI_kg_m2]]&gt;=30,"Obese","Non-Obese")</f>
        <v>Obese</v>
      </c>
      <c r="AJ359" s="3">
        <v>97</v>
      </c>
      <c r="AK359" s="3" t="s">
        <v>50</v>
      </c>
      <c r="AL359" s="3" t="s">
        <v>51</v>
      </c>
      <c r="AM359" s="3" t="s">
        <v>52</v>
      </c>
      <c r="AN359" s="3" t="s">
        <v>53</v>
      </c>
      <c r="AO359" s="3" t="s">
        <v>54</v>
      </c>
    </row>
    <row r="360" spans="1:41" x14ac:dyDescent="0.2">
      <c r="A360" s="6" t="s">
        <v>1285</v>
      </c>
      <c r="B360" s="2" t="s">
        <v>1291</v>
      </c>
      <c r="C360" s="13">
        <v>45215</v>
      </c>
      <c r="D360" s="2" t="s">
        <v>88</v>
      </c>
      <c r="E360" s="2" t="s">
        <v>61</v>
      </c>
      <c r="F360" s="2" t="s">
        <v>122</v>
      </c>
      <c r="G360" s="2" t="s">
        <v>98</v>
      </c>
      <c r="H360" s="13">
        <v>20098</v>
      </c>
      <c r="I360" s="2">
        <v>70</v>
      </c>
      <c r="J360" s="2" t="str" cm="1">
        <f t="array" ref="J36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60" s="2" t="s">
        <v>1573</v>
      </c>
      <c r="L360" s="2" t="s">
        <v>140</v>
      </c>
      <c r="M360" s="2" t="s">
        <v>141</v>
      </c>
      <c r="N360" s="2" t="s">
        <v>1574</v>
      </c>
      <c r="O360" s="2" t="s">
        <v>81</v>
      </c>
      <c r="P360" s="2" t="s">
        <v>195</v>
      </c>
      <c r="Q360" s="2" t="str">
        <f>_xlfn.XLOOKUP(EHR[[#This Row],[Primary_ICD11_Code]],'03_ICD11_Reference'!A:A,'03_ICD11_Reference'!D:D,,0)</f>
        <v>Respiratory</v>
      </c>
      <c r="R360" s="2" t="s">
        <v>196</v>
      </c>
      <c r="S360" s="2" t="s">
        <v>69</v>
      </c>
      <c r="T360" s="2" t="s">
        <v>268</v>
      </c>
      <c r="U360" s="2">
        <v>1</v>
      </c>
      <c r="V360" s="2" t="str">
        <f>_xlfn.XLOOKUP(EHR[[#This Row],[Encounter_ID]],'02_Lab_Results'!B:B,'02_Lab_Results'!D:D,,0)</f>
        <v>789-8</v>
      </c>
      <c r="W360" s="2" t="str">
        <f>_xlfn.XLOOKUP(EHR[[#This Row],[LOINC Code]],'04_LOINC_Reference'!A:A,'04_LOINC_Reference'!F:F,,0)</f>
        <v>Biochemistry</v>
      </c>
      <c r="X360" s="2" t="str">
        <f>_xlfn.XLOOKUP(EHR[[#This Row],[LOINC Code]],'02_Lab_Results'!D:D,'02_Lab_Results'!E:E,,0)</f>
        <v>RBC count</v>
      </c>
      <c r="Y360" s="2" t="str">
        <f>_xlfn.XLOOKUP(EHR[[#This Row],[LOINC Code]],'02_Lab_Results'!D:D,'02_Lab_Results'!J:J,,0)</f>
        <v>High</v>
      </c>
      <c r="Z360" s="2" t="str" cm="1">
        <f t="array" ref="Z360">_xlfn.XLOOKUP(1,(B360=B$2:B$500)*(V$2:V$500="4548-4"),Y$2:Y$500,"Not Tested")</f>
        <v>Not Tested</v>
      </c>
      <c r="AA360" s="2">
        <v>113</v>
      </c>
      <c r="AB360" s="2">
        <v>80</v>
      </c>
      <c r="AC360" s="2" t="str">
        <f>IF(AND(EHR[[#This Row],[BP_Systolic_mmHg]]&lt;140,EHR[[#This Row],[BP_Diastolic_mmHg]]&lt;90),"Controlled",IF(OR(EHR[[#This Row],[BP_Systolic_mmHg]]="Not Recorded",EHR[[#This Row],[BP_Diastolic_mmHg]]="Not Recorded"),"No Reading","Uncontrolled"))</f>
        <v>Controlled</v>
      </c>
      <c r="AD360" s="2" t="str">
        <f>_xlfn.CONCAT(EHR[[#This Row],[BP_Systolic_mmHg]],"/",EHR[[#This Row],[BP_Diastolic_mmHg]])</f>
        <v>113/80</v>
      </c>
      <c r="AE360" s="2">
        <v>64</v>
      </c>
      <c r="AF360" s="2">
        <v>26</v>
      </c>
      <c r="AG360" s="2">
        <v>39</v>
      </c>
      <c r="AH360" s="2">
        <v>42.7</v>
      </c>
      <c r="AI360" s="2" t="str">
        <f>IF(EHR[[#This Row],[BMI_kg_m2]]&gt;=30,"Obese","Non-Obese")</f>
        <v>Obese</v>
      </c>
      <c r="AJ360" s="2">
        <v>90</v>
      </c>
      <c r="AK360" s="2" t="s">
        <v>50</v>
      </c>
      <c r="AL360" s="2" t="s">
        <v>51</v>
      </c>
      <c r="AM360" s="2" t="s">
        <v>52</v>
      </c>
      <c r="AN360" s="2" t="s">
        <v>53</v>
      </c>
      <c r="AO360" s="2" t="s">
        <v>54</v>
      </c>
    </row>
    <row r="361" spans="1:41" x14ac:dyDescent="0.2">
      <c r="A361" s="7" t="s">
        <v>1285</v>
      </c>
      <c r="B361" s="3" t="s">
        <v>1293</v>
      </c>
      <c r="C361" s="14">
        <v>45195</v>
      </c>
      <c r="D361" s="3" t="s">
        <v>88</v>
      </c>
      <c r="E361" s="3" t="s">
        <v>96</v>
      </c>
      <c r="F361" s="3" t="s">
        <v>219</v>
      </c>
      <c r="G361" s="3" t="s">
        <v>98</v>
      </c>
      <c r="H361" s="14">
        <v>20098</v>
      </c>
      <c r="I361" s="3">
        <v>70</v>
      </c>
      <c r="J361" s="3" t="str" cm="1">
        <f t="array" ref="J36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61" s="3" t="s">
        <v>1573</v>
      </c>
      <c r="L361" s="3" t="s">
        <v>110</v>
      </c>
      <c r="M361" s="3" t="s">
        <v>141</v>
      </c>
      <c r="N361" s="3" t="s">
        <v>1574</v>
      </c>
      <c r="O361" s="3" t="s">
        <v>81</v>
      </c>
      <c r="P361" s="3" t="s">
        <v>195</v>
      </c>
      <c r="Q361" s="3" t="str">
        <f>_xlfn.XLOOKUP(EHR[[#This Row],[Primary_ICD11_Code]],'03_ICD11_Reference'!A:A,'03_ICD11_Reference'!D:D,,0)</f>
        <v>Respiratory</v>
      </c>
      <c r="R361" s="3" t="s">
        <v>196</v>
      </c>
      <c r="S361" s="3" t="s">
        <v>69</v>
      </c>
      <c r="T361" s="3" t="s">
        <v>163</v>
      </c>
      <c r="U361" s="3">
        <v>1</v>
      </c>
      <c r="V361" s="3" t="str">
        <f>_xlfn.XLOOKUP(EHR[[#This Row],[Encounter_ID]],'02_Lab_Results'!B:B,'02_Lab_Results'!D:D,,0)</f>
        <v>2345-7</v>
      </c>
      <c r="W361" s="3" t="str">
        <f>_xlfn.XLOOKUP(EHR[[#This Row],[LOINC Code]],'04_LOINC_Reference'!A:A,'04_LOINC_Reference'!F:F,,0)</f>
        <v>Biochemistry</v>
      </c>
      <c r="X361" s="3" t="str">
        <f>_xlfn.XLOOKUP(EHR[[#This Row],[LOINC Code]],'02_Lab_Results'!D:D,'02_Lab_Results'!E:E,,0)</f>
        <v>Serum glucose (fasting)</v>
      </c>
      <c r="Y361" s="3" t="str">
        <f>_xlfn.XLOOKUP(EHR[[#This Row],[LOINC Code]],'02_Lab_Results'!D:D,'02_Lab_Results'!J:J,,0)</f>
        <v>Normal</v>
      </c>
      <c r="Z361" s="3" t="str" cm="1">
        <f t="array" ref="Z361">_xlfn.XLOOKUP(1,(B361=B$2:B$500)*(V$2:V$500="4548-4"),Y$2:Y$500,"Not Tested")</f>
        <v>Not Tested</v>
      </c>
      <c r="AA361" s="3">
        <v>158</v>
      </c>
      <c r="AB361" s="3">
        <v>65</v>
      </c>
      <c r="AC361" s="3" t="str">
        <f>IF(AND(EHR[[#This Row],[BP_Systolic_mmHg]]&lt;140,EHR[[#This Row],[BP_Diastolic_mmHg]]&lt;90),"Controlled",IF(OR(EHR[[#This Row],[BP_Systolic_mmHg]]="Not Recorded",EHR[[#This Row],[BP_Diastolic_mmHg]]="Not Recorded"),"No Reading","Uncontrolled"))</f>
        <v>Uncontrolled</v>
      </c>
      <c r="AD361" s="3" t="str">
        <f>_xlfn.CONCAT(EHR[[#This Row],[BP_Systolic_mmHg]],"/",EHR[[#This Row],[BP_Diastolic_mmHg]])</f>
        <v>158/65</v>
      </c>
      <c r="AE361" s="3">
        <v>80</v>
      </c>
      <c r="AF361" s="3">
        <v>19</v>
      </c>
      <c r="AG361" s="3">
        <v>36.799999999999997</v>
      </c>
      <c r="AH361" s="3">
        <v>20</v>
      </c>
      <c r="AI361" s="3" t="str">
        <f>IF(EHR[[#This Row],[BMI_kg_m2]]&gt;=30,"Obese","Non-Obese")</f>
        <v>Non-Obese</v>
      </c>
      <c r="AJ361" s="3">
        <v>92</v>
      </c>
      <c r="AK361" s="3" t="s">
        <v>50</v>
      </c>
      <c r="AL361" s="3" t="s">
        <v>51</v>
      </c>
      <c r="AM361" s="3" t="s">
        <v>52</v>
      </c>
      <c r="AN361" s="3" t="s">
        <v>53</v>
      </c>
      <c r="AO361" s="3" t="s">
        <v>54</v>
      </c>
    </row>
    <row r="362" spans="1:41" x14ac:dyDescent="0.2">
      <c r="A362" s="6" t="s">
        <v>1294</v>
      </c>
      <c r="B362" s="2" t="s">
        <v>1295</v>
      </c>
      <c r="C362" s="13">
        <v>45138</v>
      </c>
      <c r="D362" s="2" t="s">
        <v>103</v>
      </c>
      <c r="E362" s="2" t="s">
        <v>167</v>
      </c>
      <c r="F362" s="2" t="s">
        <v>97</v>
      </c>
      <c r="G362" s="2" t="s">
        <v>98</v>
      </c>
      <c r="H362" s="13">
        <v>29704</v>
      </c>
      <c r="I362" s="2">
        <v>44</v>
      </c>
      <c r="J362" s="2" t="str" cm="1">
        <f t="array" ref="J36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62" s="2" t="s">
        <v>1572</v>
      </c>
      <c r="L362" s="2" t="s">
        <v>110</v>
      </c>
      <c r="M362" s="2" t="s">
        <v>141</v>
      </c>
      <c r="N362" s="2" t="s">
        <v>1574</v>
      </c>
      <c r="O362" s="2" t="s">
        <v>182</v>
      </c>
      <c r="P362" s="2" t="s">
        <v>254</v>
      </c>
      <c r="Q362" s="2" t="str">
        <f>_xlfn.XLOOKUP(EHR[[#This Row],[Primary_ICD11_Code]],'03_ICD11_Reference'!A:A,'03_ICD11_Reference'!D:D,,0)</f>
        <v>Respiratory</v>
      </c>
      <c r="R362" s="2" t="s">
        <v>255</v>
      </c>
      <c r="S362" s="2" t="s">
        <v>69</v>
      </c>
      <c r="T362" s="2" t="s">
        <v>1297</v>
      </c>
      <c r="U362" s="2">
        <v>3</v>
      </c>
      <c r="V362" s="2" t="str">
        <f>_xlfn.XLOOKUP(EHR[[#This Row],[Encounter_ID]],'02_Lab_Results'!B:B,'02_Lab_Results'!D:D,,0)</f>
        <v>789-8</v>
      </c>
      <c r="W362" s="2" t="str">
        <f>_xlfn.XLOOKUP(EHR[[#This Row],[LOINC Code]],'04_LOINC_Reference'!A:A,'04_LOINC_Reference'!F:F,,0)</f>
        <v>Biochemistry</v>
      </c>
      <c r="X362" s="2" t="str">
        <f>_xlfn.XLOOKUP(EHR[[#This Row],[LOINC Code]],'02_Lab_Results'!D:D,'02_Lab_Results'!E:E,,0)</f>
        <v>RBC count</v>
      </c>
      <c r="Y362" s="2" t="str">
        <f>_xlfn.XLOOKUP(EHR[[#This Row],[LOINC Code]],'02_Lab_Results'!D:D,'02_Lab_Results'!J:J,,0)</f>
        <v>High</v>
      </c>
      <c r="Z362" s="2" t="str" cm="1">
        <f t="array" ref="Z362">_xlfn.XLOOKUP(1,(B362=B$2:B$500)*(V$2:V$500="4548-4"),Y$2:Y$500,"Not Tested")</f>
        <v>Not Tested</v>
      </c>
      <c r="AA362" s="2">
        <v>149</v>
      </c>
      <c r="AB362" s="2">
        <v>115</v>
      </c>
      <c r="AC362" s="2" t="str">
        <f>IF(AND(EHR[[#This Row],[BP_Systolic_mmHg]]&lt;140,EHR[[#This Row],[BP_Diastolic_mmHg]]&lt;90),"Controlled",IF(OR(EHR[[#This Row],[BP_Systolic_mmHg]]="Not Recorded",EHR[[#This Row],[BP_Diastolic_mmHg]]="Not Recorded"),"No Reading","Uncontrolled"))</f>
        <v>Uncontrolled</v>
      </c>
      <c r="AD362" s="2" t="str">
        <f>_xlfn.CONCAT(EHR[[#This Row],[BP_Systolic_mmHg]],"/",EHR[[#This Row],[BP_Diastolic_mmHg]])</f>
        <v>149/115</v>
      </c>
      <c r="AE362" s="2">
        <v>71</v>
      </c>
      <c r="AF362" s="2">
        <v>23</v>
      </c>
      <c r="AG362" s="2">
        <v>37.299999999999997</v>
      </c>
      <c r="AH362" s="2">
        <v>29.1</v>
      </c>
      <c r="AI362" s="2" t="str">
        <f>IF(EHR[[#This Row],[BMI_kg_m2]]&gt;=30,"Obese","Non-Obese")</f>
        <v>Non-Obese</v>
      </c>
      <c r="AJ362" s="2">
        <v>89</v>
      </c>
      <c r="AK362" s="2" t="s">
        <v>50</v>
      </c>
      <c r="AL362" s="2" t="s">
        <v>51</v>
      </c>
      <c r="AM362" s="2" t="s">
        <v>52</v>
      </c>
      <c r="AN362" s="2" t="s">
        <v>53</v>
      </c>
      <c r="AO362" s="2" t="s">
        <v>54</v>
      </c>
    </row>
    <row r="363" spans="1:41" x14ac:dyDescent="0.2">
      <c r="A363" s="7" t="s">
        <v>1294</v>
      </c>
      <c r="B363" s="3" t="s">
        <v>1298</v>
      </c>
      <c r="C363" s="14">
        <v>44937</v>
      </c>
      <c r="D363" s="3" t="s">
        <v>60</v>
      </c>
      <c r="E363" s="3" t="s">
        <v>37</v>
      </c>
      <c r="F363" s="3" t="s">
        <v>109</v>
      </c>
      <c r="G363" s="3" t="s">
        <v>138</v>
      </c>
      <c r="H363" s="14">
        <v>29704</v>
      </c>
      <c r="I363" s="3">
        <v>44</v>
      </c>
      <c r="J363" s="3" t="str" cm="1">
        <f t="array" ref="J36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63" s="3" t="s">
        <v>1572</v>
      </c>
      <c r="L363" s="3" t="s">
        <v>78</v>
      </c>
      <c r="M363" s="3" t="s">
        <v>141</v>
      </c>
      <c r="N363" s="3" t="s">
        <v>1574</v>
      </c>
      <c r="O363" s="3" t="s">
        <v>182</v>
      </c>
      <c r="P363" s="3" t="s">
        <v>254</v>
      </c>
      <c r="Q363" s="3" t="str">
        <f>_xlfn.XLOOKUP(EHR[[#This Row],[Primary_ICD11_Code]],'03_ICD11_Reference'!A:A,'03_ICD11_Reference'!D:D,,0)</f>
        <v>Respiratory</v>
      </c>
      <c r="R363" s="3" t="s">
        <v>255</v>
      </c>
      <c r="S363" s="3" t="s">
        <v>69</v>
      </c>
      <c r="T363" s="3" t="s">
        <v>1300</v>
      </c>
      <c r="U363" s="3">
        <v>3</v>
      </c>
      <c r="V363" s="3" t="str">
        <f>_xlfn.XLOOKUP(EHR[[#This Row],[Encounter_ID]],'02_Lab_Results'!B:B,'02_Lab_Results'!D:D,,0)</f>
        <v>2345-7</v>
      </c>
      <c r="W363" s="3" t="str">
        <f>_xlfn.XLOOKUP(EHR[[#This Row],[LOINC Code]],'04_LOINC_Reference'!A:A,'04_LOINC_Reference'!F:F,,0)</f>
        <v>Biochemistry</v>
      </c>
      <c r="X363" s="3" t="str">
        <f>_xlfn.XLOOKUP(EHR[[#This Row],[LOINC Code]],'02_Lab_Results'!D:D,'02_Lab_Results'!E:E,,0)</f>
        <v>Serum glucose (fasting)</v>
      </c>
      <c r="Y363" s="3" t="str">
        <f>_xlfn.XLOOKUP(EHR[[#This Row],[LOINC Code]],'02_Lab_Results'!D:D,'02_Lab_Results'!J:J,,0)</f>
        <v>Normal</v>
      </c>
      <c r="Z363" s="3" t="str" cm="1">
        <f t="array" ref="Z363">_xlfn.XLOOKUP(1,(B363=B$2:B$500)*(V$2:V$500="4548-4"),Y$2:Y$500,"Not Tested")</f>
        <v>Not Tested</v>
      </c>
      <c r="AA363" s="3">
        <v>137</v>
      </c>
      <c r="AB363" s="3">
        <v>107</v>
      </c>
      <c r="AC363" s="3" t="str">
        <f>IF(AND(EHR[[#This Row],[BP_Systolic_mmHg]]&lt;140,EHR[[#This Row],[BP_Diastolic_mmHg]]&lt;90),"Controlled",IF(OR(EHR[[#This Row],[BP_Systolic_mmHg]]="Not Recorded",EHR[[#This Row],[BP_Diastolic_mmHg]]="Not Recorded"),"No Reading","Uncontrolled"))</f>
        <v>Uncontrolled</v>
      </c>
      <c r="AD363" s="3" t="str">
        <f>_xlfn.CONCAT(EHR[[#This Row],[BP_Systolic_mmHg]],"/",EHR[[#This Row],[BP_Diastolic_mmHg]])</f>
        <v>137/107</v>
      </c>
      <c r="AE363" s="3">
        <v>123</v>
      </c>
      <c r="AF363" s="3">
        <v>18</v>
      </c>
      <c r="AG363" s="3">
        <v>36.700000000000003</v>
      </c>
      <c r="AH363" s="3">
        <v>28.4</v>
      </c>
      <c r="AI363" s="3" t="str">
        <f>IF(EHR[[#This Row],[BMI_kg_m2]]&gt;=30,"Obese","Non-Obese")</f>
        <v>Non-Obese</v>
      </c>
      <c r="AJ363" s="3">
        <v>93</v>
      </c>
      <c r="AK363" s="3" t="s">
        <v>50</v>
      </c>
      <c r="AL363" s="3" t="s">
        <v>51</v>
      </c>
      <c r="AM363" s="3" t="s">
        <v>52</v>
      </c>
      <c r="AN363" s="3" t="s">
        <v>53</v>
      </c>
      <c r="AO363" s="3" t="s">
        <v>54</v>
      </c>
    </row>
    <row r="364" spans="1:41" x14ac:dyDescent="0.2">
      <c r="A364" s="6" t="s">
        <v>1294</v>
      </c>
      <c r="B364" s="2" t="s">
        <v>1301</v>
      </c>
      <c r="C364" s="13">
        <v>45289</v>
      </c>
      <c r="D364" s="2" t="s">
        <v>88</v>
      </c>
      <c r="E364" s="2" t="s">
        <v>37</v>
      </c>
      <c r="F364" s="2" t="s">
        <v>97</v>
      </c>
      <c r="G364" s="2" t="s">
        <v>115</v>
      </c>
      <c r="H364" s="13">
        <v>29704</v>
      </c>
      <c r="I364" s="2">
        <v>44</v>
      </c>
      <c r="J364" s="2" t="str" cm="1">
        <f t="array" ref="J36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64" s="2" t="s">
        <v>1572</v>
      </c>
      <c r="L364" s="2" t="s">
        <v>42</v>
      </c>
      <c r="M364" s="2" t="s">
        <v>141</v>
      </c>
      <c r="N364" s="2" t="s">
        <v>1574</v>
      </c>
      <c r="O364" s="2" t="s">
        <v>182</v>
      </c>
      <c r="P364" s="2" t="s">
        <v>254</v>
      </c>
      <c r="Q364" s="2" t="str">
        <f>_xlfn.XLOOKUP(EHR[[#This Row],[Primary_ICD11_Code]],'03_ICD11_Reference'!A:A,'03_ICD11_Reference'!D:D,,0)</f>
        <v>Respiratory</v>
      </c>
      <c r="R364" s="2" t="s">
        <v>255</v>
      </c>
      <c r="S364" s="2" t="s">
        <v>69</v>
      </c>
      <c r="T364" s="2" t="s">
        <v>1302</v>
      </c>
      <c r="U364" s="2">
        <v>4</v>
      </c>
      <c r="V364" s="2" t="str">
        <f>_xlfn.XLOOKUP(EHR[[#This Row],[Encounter_ID]],'02_Lab_Results'!B:B,'02_Lab_Results'!D:D,,0)</f>
        <v>2951-2</v>
      </c>
      <c r="W364" s="2" t="str">
        <f>_xlfn.XLOOKUP(EHR[[#This Row],[LOINC Code]],'04_LOINC_Reference'!A:A,'04_LOINC_Reference'!F:F,,0)</f>
        <v>Biochemistry</v>
      </c>
      <c r="X364" s="2" t="str">
        <f>_xlfn.XLOOKUP(EHR[[#This Row],[LOINC Code]],'02_Lab_Results'!D:D,'02_Lab_Results'!E:E,,0)</f>
        <v>Serum sodium</v>
      </c>
      <c r="Y364" s="2" t="str">
        <f>_xlfn.XLOOKUP(EHR[[#This Row],[LOINC Code]],'02_Lab_Results'!D:D,'02_Lab_Results'!J:J,,0)</f>
        <v>Low</v>
      </c>
      <c r="Z364" s="2" t="str" cm="1">
        <f t="array" ref="Z364">_xlfn.XLOOKUP(1,(B364=B$2:B$500)*(V$2:V$500="4548-4"),Y$2:Y$500,"Not Tested")</f>
        <v>Not Tested</v>
      </c>
      <c r="AA364" s="2">
        <v>185</v>
      </c>
      <c r="AB364" s="2">
        <v>111</v>
      </c>
      <c r="AC364" s="2" t="str">
        <f>IF(AND(EHR[[#This Row],[BP_Systolic_mmHg]]&lt;140,EHR[[#This Row],[BP_Diastolic_mmHg]]&lt;90),"Controlled",IF(OR(EHR[[#This Row],[BP_Systolic_mmHg]]="Not Recorded",EHR[[#This Row],[BP_Diastolic_mmHg]]="Not Recorded"),"No Reading","Uncontrolled"))</f>
        <v>Uncontrolled</v>
      </c>
      <c r="AD364" s="2" t="str">
        <f>_xlfn.CONCAT(EHR[[#This Row],[BP_Systolic_mmHg]],"/",EHR[[#This Row],[BP_Diastolic_mmHg]])</f>
        <v>185/111</v>
      </c>
      <c r="AE364" s="2">
        <v>123</v>
      </c>
      <c r="AF364" s="2">
        <v>22</v>
      </c>
      <c r="AG364" s="2">
        <v>38.4</v>
      </c>
      <c r="AH364" s="2">
        <v>18.8</v>
      </c>
      <c r="AI364" s="2" t="str">
        <f>IF(EHR[[#This Row],[BMI_kg_m2]]&gt;=30,"Obese","Non-Obese")</f>
        <v>Non-Obese</v>
      </c>
      <c r="AJ364" s="2">
        <v>90</v>
      </c>
      <c r="AK364" s="2" t="s">
        <v>50</v>
      </c>
      <c r="AL364" s="2" t="s">
        <v>51</v>
      </c>
      <c r="AM364" s="2" t="s">
        <v>52</v>
      </c>
      <c r="AN364" s="2" t="s">
        <v>53</v>
      </c>
      <c r="AO364" s="2" t="s">
        <v>54</v>
      </c>
    </row>
    <row r="365" spans="1:41" x14ac:dyDescent="0.2">
      <c r="A365" s="7" t="s">
        <v>1303</v>
      </c>
      <c r="B365" s="3" t="s">
        <v>1304</v>
      </c>
      <c r="C365" s="15">
        <v>45046</v>
      </c>
      <c r="D365" s="3" t="s">
        <v>36</v>
      </c>
      <c r="E365" s="3" t="s">
        <v>96</v>
      </c>
      <c r="F365" s="3" t="s">
        <v>38</v>
      </c>
      <c r="G365" s="3" t="s">
        <v>76</v>
      </c>
      <c r="H365" s="14">
        <v>15929</v>
      </c>
      <c r="I365" s="18">
        <f>(EHR[[#This Row],[Encounter_Date]]-EHR[[#This Row],[Patient_DOB]])/365</f>
        <v>79.772602739726025</v>
      </c>
      <c r="J365" s="18" t="str" cm="1">
        <f t="array" ref="J36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65" s="3" t="s">
        <v>1572</v>
      </c>
      <c r="L365" s="3" t="s">
        <v>116</v>
      </c>
      <c r="M365" s="3" t="s">
        <v>45</v>
      </c>
      <c r="N365" s="3" t="s">
        <v>125</v>
      </c>
      <c r="O365" s="3" t="s">
        <v>1574</v>
      </c>
      <c r="P365" s="3" t="s">
        <v>82</v>
      </c>
      <c r="Q365" s="3" t="str">
        <f>_xlfn.XLOOKUP(EHR[[#This Row],[Primary_ICD11_Code]],'03_ICD11_Reference'!A:A,'03_ICD11_Reference'!D:D,,0)</f>
        <v>Renal</v>
      </c>
      <c r="R365" s="3" t="s">
        <v>83</v>
      </c>
      <c r="S365" s="3" t="s">
        <v>69</v>
      </c>
      <c r="T365" s="3" t="s">
        <v>1307</v>
      </c>
      <c r="U365" s="3">
        <v>3</v>
      </c>
      <c r="V365" s="3" t="str">
        <f>_xlfn.XLOOKUP(EHR[[#This Row],[Encounter_ID]],'02_Lab_Results'!B:B,'02_Lab_Results'!D:D,,0)</f>
        <v>2823-3</v>
      </c>
      <c r="W365" s="3" t="str">
        <f>_xlfn.XLOOKUP(EHR[[#This Row],[LOINC Code]],'04_LOINC_Reference'!A:A,'04_LOINC_Reference'!F:F,,0)</f>
        <v>Biochemistry</v>
      </c>
      <c r="X365" s="3" t="str">
        <f>_xlfn.XLOOKUP(EHR[[#This Row],[LOINC Code]],'02_Lab_Results'!D:D,'02_Lab_Results'!E:E,,0)</f>
        <v>Serum potassium</v>
      </c>
      <c r="Y365" s="3" t="str">
        <f>_xlfn.XLOOKUP(EHR[[#This Row],[LOINC Code]],'02_Lab_Results'!D:D,'02_Lab_Results'!J:J,,0)</f>
        <v>Normal</v>
      </c>
      <c r="Z365" s="3" t="str" cm="1">
        <f t="array" ref="Z365">_xlfn.XLOOKUP(1,(B365=B$2:B$500)*(V$2:V$500="4548-4"),Y$2:Y$500,"Not Tested")</f>
        <v>Not Tested</v>
      </c>
      <c r="AA365" s="4">
        <v>123</v>
      </c>
      <c r="AB365" s="4">
        <v>114</v>
      </c>
      <c r="AC365" s="4" t="str">
        <f>IF(AND(EHR[[#This Row],[BP_Systolic_mmHg]]&lt;140,EHR[[#This Row],[BP_Diastolic_mmHg]]&lt;90),"Controlled",IF(OR(EHR[[#This Row],[BP_Systolic_mmHg]]="Not Recorded",EHR[[#This Row],[BP_Diastolic_mmHg]]="Not Recorded"),"No Reading","Uncontrolled"))</f>
        <v>Uncontrolled</v>
      </c>
      <c r="AD365" s="4" t="str">
        <f>_xlfn.CONCAT(EHR[[#This Row],[BP_Systolic_mmHg]],"/",EHR[[#This Row],[BP_Diastolic_mmHg]])</f>
        <v>123/114</v>
      </c>
      <c r="AE365" s="3">
        <v>87</v>
      </c>
      <c r="AF365" s="3">
        <v>28</v>
      </c>
      <c r="AG365" s="3">
        <v>36.9</v>
      </c>
      <c r="AH365" s="4">
        <v>27.8</v>
      </c>
      <c r="AI365" s="4" t="str">
        <f>IF(EHR[[#This Row],[BMI_kg_m2]]&gt;=30,"Obese","Non-Obese")</f>
        <v>Non-Obese</v>
      </c>
      <c r="AJ365" s="3">
        <v>93</v>
      </c>
      <c r="AK365" s="3" t="s">
        <v>50</v>
      </c>
      <c r="AL365" s="3" t="s">
        <v>51</v>
      </c>
      <c r="AM365" s="3" t="s">
        <v>52</v>
      </c>
      <c r="AN365" s="3" t="s">
        <v>53</v>
      </c>
      <c r="AO365" s="3" t="s">
        <v>54</v>
      </c>
    </row>
    <row r="366" spans="1:41" x14ac:dyDescent="0.2">
      <c r="A366" s="6" t="s">
        <v>1303</v>
      </c>
      <c r="B366" s="2" t="s">
        <v>1308</v>
      </c>
      <c r="C366" s="15">
        <f>EHR[[#This Row],[Patient_DOB]]+(EHR[[#This Row],[Age_at_Encounter]]*365)</f>
        <v>45859</v>
      </c>
      <c r="D366" s="2" t="s">
        <v>60</v>
      </c>
      <c r="E366" s="2" t="s">
        <v>96</v>
      </c>
      <c r="F366" s="2" t="s">
        <v>109</v>
      </c>
      <c r="G366" s="2" t="s">
        <v>98</v>
      </c>
      <c r="H366" s="13">
        <v>15929</v>
      </c>
      <c r="I366" s="4">
        <v>82</v>
      </c>
      <c r="J366" s="4" t="str" cm="1">
        <f t="array" ref="J36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66" s="2" t="s">
        <v>1572</v>
      </c>
      <c r="L366" s="2" t="s">
        <v>78</v>
      </c>
      <c r="M366" s="2" t="s">
        <v>45</v>
      </c>
      <c r="N366" s="2" t="s">
        <v>125</v>
      </c>
      <c r="O366" s="2" t="s">
        <v>1574</v>
      </c>
      <c r="P366" s="2" t="s">
        <v>82</v>
      </c>
      <c r="Q366" s="2" t="str">
        <f>_xlfn.XLOOKUP(EHR[[#This Row],[Primary_ICD11_Code]],'03_ICD11_Reference'!A:A,'03_ICD11_Reference'!D:D,,0)</f>
        <v>Renal</v>
      </c>
      <c r="R366" s="2" t="s">
        <v>83</v>
      </c>
      <c r="S366" s="2" t="s">
        <v>69</v>
      </c>
      <c r="T366" s="2" t="s">
        <v>117</v>
      </c>
      <c r="U366" s="2">
        <v>1</v>
      </c>
      <c r="V366" s="2" t="str">
        <f>_xlfn.XLOOKUP(EHR[[#This Row],[Encounter_ID]],'02_Lab_Results'!B:B,'02_Lab_Results'!D:D,,0)</f>
        <v>13457-7</v>
      </c>
      <c r="W366" s="2" t="str">
        <f>_xlfn.XLOOKUP(EHR[[#This Row],[LOINC Code]],'04_LOINC_Reference'!A:A,'04_LOINC_Reference'!F:F,,0)</f>
        <v>Biochemistry</v>
      </c>
      <c r="X366" s="2" t="str">
        <f>_xlfn.XLOOKUP(EHR[[#This Row],[LOINC Code]],'02_Lab_Results'!D:D,'02_Lab_Results'!E:E,,0)</f>
        <v>LDL cholesterol</v>
      </c>
      <c r="Y366" s="2" t="str">
        <f>_xlfn.XLOOKUP(EHR[[#This Row],[LOINC Code]],'02_Lab_Results'!D:D,'02_Lab_Results'!J:J,,0)</f>
        <v>High</v>
      </c>
      <c r="Z366" s="2" t="str" cm="1">
        <f t="array" ref="Z366">_xlfn.XLOOKUP(1,(B366=B$2:B$500)*(V$2:V$500="4548-4"),Y$2:Y$500,"Not Tested")</f>
        <v>Not Tested</v>
      </c>
      <c r="AA366" s="4">
        <v>135</v>
      </c>
      <c r="AB366" s="4">
        <v>66</v>
      </c>
      <c r="AC366" s="4" t="str">
        <f>IF(AND(EHR[[#This Row],[BP_Systolic_mmHg]]&lt;140,EHR[[#This Row],[BP_Diastolic_mmHg]]&lt;90),"Controlled",IF(OR(EHR[[#This Row],[BP_Systolic_mmHg]]="Not Recorded",EHR[[#This Row],[BP_Diastolic_mmHg]]="Not Recorded"),"No Reading","Uncontrolled"))</f>
        <v>Controlled</v>
      </c>
      <c r="AD366" s="4" t="str">
        <f>_xlfn.CONCAT(EHR[[#This Row],[BP_Systolic_mmHg]],"/",EHR[[#This Row],[BP_Diastolic_mmHg]])</f>
        <v>135/66</v>
      </c>
      <c r="AE366" s="2">
        <v>54</v>
      </c>
      <c r="AF366" s="2">
        <v>15</v>
      </c>
      <c r="AG366" s="2">
        <v>37.5</v>
      </c>
      <c r="AH366" s="4" t="s">
        <v>1576</v>
      </c>
      <c r="AI366" s="4" t="str">
        <f>IF(EHR[[#This Row],[BMI_kg_m2]]&gt;=30,"Obese","Non-Obese")</f>
        <v>Obese</v>
      </c>
      <c r="AJ366" s="2">
        <v>93</v>
      </c>
      <c r="AK366" s="2" t="s">
        <v>50</v>
      </c>
      <c r="AL366" s="2" t="s">
        <v>51</v>
      </c>
      <c r="AM366" s="2" t="s">
        <v>52</v>
      </c>
      <c r="AN366" s="2" t="s">
        <v>53</v>
      </c>
      <c r="AO366" s="2" t="s">
        <v>54</v>
      </c>
    </row>
    <row r="367" spans="1:41" x14ac:dyDescent="0.2">
      <c r="A367" s="7" t="s">
        <v>1309</v>
      </c>
      <c r="B367" s="3" t="s">
        <v>1310</v>
      </c>
      <c r="C367" s="14">
        <v>45005</v>
      </c>
      <c r="D367" s="3" t="s">
        <v>103</v>
      </c>
      <c r="E367" s="3" t="s">
        <v>37</v>
      </c>
      <c r="F367" s="3" t="s">
        <v>122</v>
      </c>
      <c r="G367" s="3" t="s">
        <v>98</v>
      </c>
      <c r="H367" s="14">
        <v>30765</v>
      </c>
      <c r="I367" s="3">
        <v>41</v>
      </c>
      <c r="J367" s="3" t="str" cm="1">
        <f t="array" ref="J36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67" s="3" t="s">
        <v>1573</v>
      </c>
      <c r="L367" s="3" t="s">
        <v>66</v>
      </c>
      <c r="M367" s="3" t="s">
        <v>43</v>
      </c>
      <c r="N367" s="3" t="s">
        <v>44</v>
      </c>
      <c r="O367" s="3" t="s">
        <v>182</v>
      </c>
      <c r="P367" s="3" t="s">
        <v>283</v>
      </c>
      <c r="Q367" s="3" t="str">
        <f>_xlfn.XLOOKUP(EHR[[#This Row],[Primary_ICD11_Code]],'03_ICD11_Reference'!A:A,'03_ICD11_Reference'!D:D,,0)</f>
        <v>Multi-system</v>
      </c>
      <c r="R367" s="3" t="s">
        <v>284</v>
      </c>
      <c r="S367" s="3" t="s">
        <v>69</v>
      </c>
      <c r="T367" s="3" t="s">
        <v>1312</v>
      </c>
      <c r="U367" s="3">
        <v>3</v>
      </c>
      <c r="V367" s="3" t="str">
        <f>_xlfn.XLOOKUP(EHR[[#This Row],[Encounter_ID]],'02_Lab_Results'!B:B,'02_Lab_Results'!D:D,,0)</f>
        <v>2951-2</v>
      </c>
      <c r="W367" s="3" t="str">
        <f>_xlfn.XLOOKUP(EHR[[#This Row],[LOINC Code]],'04_LOINC_Reference'!A:A,'04_LOINC_Reference'!F:F,,0)</f>
        <v>Biochemistry</v>
      </c>
      <c r="X367" s="3" t="str">
        <f>_xlfn.XLOOKUP(EHR[[#This Row],[LOINC Code]],'02_Lab_Results'!D:D,'02_Lab_Results'!E:E,,0)</f>
        <v>Serum sodium</v>
      </c>
      <c r="Y367" s="3" t="str">
        <f>_xlfn.XLOOKUP(EHR[[#This Row],[LOINC Code]],'02_Lab_Results'!D:D,'02_Lab_Results'!J:J,,0)</f>
        <v>Low</v>
      </c>
      <c r="Z367" s="3" t="str" cm="1">
        <f t="array" ref="Z367">_xlfn.XLOOKUP(1,(B367=B$2:B$500)*(V$2:V$500="4548-4"),Y$2:Y$500,"Not Tested")</f>
        <v>Not Tested</v>
      </c>
      <c r="AA367" s="3">
        <v>117</v>
      </c>
      <c r="AB367" s="3">
        <v>85</v>
      </c>
      <c r="AC367" s="3" t="str">
        <f>IF(AND(EHR[[#This Row],[BP_Systolic_mmHg]]&lt;140,EHR[[#This Row],[BP_Diastolic_mmHg]]&lt;90),"Controlled",IF(OR(EHR[[#This Row],[BP_Systolic_mmHg]]="Not Recorded",EHR[[#This Row],[BP_Diastolic_mmHg]]="Not Recorded"),"No Reading","Uncontrolled"))</f>
        <v>Controlled</v>
      </c>
      <c r="AD367" s="3" t="str">
        <f>_xlfn.CONCAT(EHR[[#This Row],[BP_Systolic_mmHg]],"/",EHR[[#This Row],[BP_Diastolic_mmHg]])</f>
        <v>117/85</v>
      </c>
      <c r="AE367" s="3">
        <v>57</v>
      </c>
      <c r="AF367" s="3">
        <v>17</v>
      </c>
      <c r="AG367" s="3">
        <v>36.9</v>
      </c>
      <c r="AH367" s="3">
        <v>45.5</v>
      </c>
      <c r="AI367" s="3" t="str">
        <f>IF(EHR[[#This Row],[BMI_kg_m2]]&gt;=30,"Obese","Non-Obese")</f>
        <v>Obese</v>
      </c>
      <c r="AJ367" s="3">
        <v>89</v>
      </c>
      <c r="AK367" s="3" t="s">
        <v>50</v>
      </c>
      <c r="AL367" s="3" t="s">
        <v>51</v>
      </c>
      <c r="AM367" s="3" t="s">
        <v>52</v>
      </c>
      <c r="AN367" s="3" t="s">
        <v>53</v>
      </c>
      <c r="AO367" s="3" t="s">
        <v>54</v>
      </c>
    </row>
    <row r="368" spans="1:41" x14ac:dyDescent="0.2">
      <c r="A368" s="6" t="s">
        <v>1309</v>
      </c>
      <c r="B368" s="2" t="s">
        <v>1313</v>
      </c>
      <c r="C368" s="13">
        <v>45651</v>
      </c>
      <c r="D368" s="2" t="s">
        <v>60</v>
      </c>
      <c r="E368" s="2" t="s">
        <v>167</v>
      </c>
      <c r="F368" s="2" t="s">
        <v>109</v>
      </c>
      <c r="G368" s="2" t="s">
        <v>123</v>
      </c>
      <c r="H368" s="13">
        <v>30765</v>
      </c>
      <c r="I368" s="2">
        <v>41</v>
      </c>
      <c r="J368" s="2" t="str" cm="1">
        <f t="array" ref="J36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68" s="2" t="s">
        <v>1573</v>
      </c>
      <c r="L368" s="2" t="s">
        <v>116</v>
      </c>
      <c r="M368" s="2" t="s">
        <v>43</v>
      </c>
      <c r="N368" s="2" t="s">
        <v>44</v>
      </c>
      <c r="O368" s="2" t="s">
        <v>182</v>
      </c>
      <c r="P368" s="2" t="s">
        <v>283</v>
      </c>
      <c r="Q368" s="2" t="str">
        <f>_xlfn.XLOOKUP(EHR[[#This Row],[Primary_ICD11_Code]],'03_ICD11_Reference'!A:A,'03_ICD11_Reference'!D:D,,0)</f>
        <v>Multi-system</v>
      </c>
      <c r="R368" s="2" t="s">
        <v>284</v>
      </c>
      <c r="S368" s="2" t="s">
        <v>69</v>
      </c>
      <c r="T368" s="2" t="s">
        <v>1315</v>
      </c>
      <c r="U368" s="2">
        <v>4</v>
      </c>
      <c r="V368" s="2" t="str">
        <f>_xlfn.XLOOKUP(EHR[[#This Row],[Encounter_ID]],'02_Lab_Results'!B:B,'02_Lab_Results'!D:D,,0)</f>
        <v>17861-6</v>
      </c>
      <c r="W368" s="2" t="str">
        <f>_xlfn.XLOOKUP(EHR[[#This Row],[LOINC Code]],'04_LOINC_Reference'!A:A,'04_LOINC_Reference'!F:F,,0)</f>
        <v>Biochemistry</v>
      </c>
      <c r="X368" s="2" t="str">
        <f>_xlfn.XLOOKUP(EHR[[#This Row],[LOINC Code]],'02_Lab_Results'!D:D,'02_Lab_Results'!E:E,,0)</f>
        <v>Serum calcium</v>
      </c>
      <c r="Y368" s="2" t="str">
        <f>_xlfn.XLOOKUP(EHR[[#This Row],[LOINC Code]],'02_Lab_Results'!D:D,'02_Lab_Results'!J:J,,0)</f>
        <v>High</v>
      </c>
      <c r="Z368" s="2" t="str" cm="1">
        <f t="array" ref="Z368">_xlfn.XLOOKUP(1,(B368=B$2:B$500)*(V$2:V$500="4548-4"),Y$2:Y$500,"Not Tested")</f>
        <v>Not Tested</v>
      </c>
      <c r="AA368" s="2">
        <v>154</v>
      </c>
      <c r="AB368" s="2">
        <v>82</v>
      </c>
      <c r="AC368" s="2" t="str">
        <f>IF(AND(EHR[[#This Row],[BP_Systolic_mmHg]]&lt;140,EHR[[#This Row],[BP_Diastolic_mmHg]]&lt;90),"Controlled",IF(OR(EHR[[#This Row],[BP_Systolic_mmHg]]="Not Recorded",EHR[[#This Row],[BP_Diastolic_mmHg]]="Not Recorded"),"No Reading","Uncontrolled"))</f>
        <v>Uncontrolled</v>
      </c>
      <c r="AD368" s="2" t="str">
        <f>_xlfn.CONCAT(EHR[[#This Row],[BP_Systolic_mmHg]],"/",EHR[[#This Row],[BP_Diastolic_mmHg]])</f>
        <v>154/82</v>
      </c>
      <c r="AE368" s="2">
        <v>122</v>
      </c>
      <c r="AF368" s="2">
        <v>22</v>
      </c>
      <c r="AG368" s="2">
        <v>36</v>
      </c>
      <c r="AH368" s="2">
        <v>45.1</v>
      </c>
      <c r="AI368" s="2" t="str">
        <f>IF(EHR[[#This Row],[BMI_kg_m2]]&gt;=30,"Obese","Non-Obese")</f>
        <v>Obese</v>
      </c>
      <c r="AJ368" s="2">
        <v>96</v>
      </c>
      <c r="AK368" s="2" t="s">
        <v>50</v>
      </c>
      <c r="AL368" s="2" t="s">
        <v>51</v>
      </c>
      <c r="AM368" s="2" t="s">
        <v>52</v>
      </c>
      <c r="AN368" s="2" t="s">
        <v>53</v>
      </c>
      <c r="AO368" s="2" t="s">
        <v>54</v>
      </c>
    </row>
    <row r="369" spans="1:41" x14ac:dyDescent="0.2">
      <c r="A369" s="7" t="s">
        <v>1309</v>
      </c>
      <c r="B369" s="3" t="s">
        <v>1316</v>
      </c>
      <c r="C369" s="14">
        <v>44999</v>
      </c>
      <c r="D369" s="3" t="s">
        <v>103</v>
      </c>
      <c r="E369" s="3" t="s">
        <v>96</v>
      </c>
      <c r="F369" s="3" t="s">
        <v>132</v>
      </c>
      <c r="G369" s="3" t="s">
        <v>104</v>
      </c>
      <c r="H369" s="14">
        <v>30765</v>
      </c>
      <c r="I369" s="3">
        <v>41</v>
      </c>
      <c r="J369" s="3" t="str" cm="1">
        <f t="array" ref="J36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69" s="3" t="s">
        <v>1573</v>
      </c>
      <c r="L369" s="3" t="s">
        <v>116</v>
      </c>
      <c r="M369" s="3" t="s">
        <v>43</v>
      </c>
      <c r="N369" s="3" t="s">
        <v>44</v>
      </c>
      <c r="O369" s="3" t="s">
        <v>182</v>
      </c>
      <c r="P369" s="3" t="s">
        <v>283</v>
      </c>
      <c r="Q369" s="3" t="str">
        <f>_xlfn.XLOOKUP(EHR[[#This Row],[Primary_ICD11_Code]],'03_ICD11_Reference'!A:A,'03_ICD11_Reference'!D:D,,0)</f>
        <v>Multi-system</v>
      </c>
      <c r="R369" s="3" t="s">
        <v>284</v>
      </c>
      <c r="S369" s="3" t="s">
        <v>69</v>
      </c>
      <c r="T369" s="3" t="s">
        <v>518</v>
      </c>
      <c r="U369" s="3">
        <v>1</v>
      </c>
      <c r="V369" s="3" t="str">
        <f>_xlfn.XLOOKUP(EHR[[#This Row],[Encounter_ID]],'02_Lab_Results'!B:B,'02_Lab_Results'!D:D,,0)</f>
        <v>2345-7</v>
      </c>
      <c r="W369" s="3" t="str">
        <f>_xlfn.XLOOKUP(EHR[[#This Row],[LOINC Code]],'04_LOINC_Reference'!A:A,'04_LOINC_Reference'!F:F,,0)</f>
        <v>Biochemistry</v>
      </c>
      <c r="X369" s="3" t="str">
        <f>_xlfn.XLOOKUP(EHR[[#This Row],[LOINC Code]],'02_Lab_Results'!D:D,'02_Lab_Results'!E:E,,0)</f>
        <v>Serum glucose (fasting)</v>
      </c>
      <c r="Y369" s="3" t="str">
        <f>_xlfn.XLOOKUP(EHR[[#This Row],[LOINC Code]],'02_Lab_Results'!D:D,'02_Lab_Results'!J:J,,0)</f>
        <v>Normal</v>
      </c>
      <c r="Z369" s="3" t="str" cm="1">
        <f t="array" ref="Z369">_xlfn.XLOOKUP(1,(B369=B$2:B$500)*(V$2:V$500="4548-4"),Y$2:Y$500,"Not Tested")</f>
        <v>Not Tested</v>
      </c>
      <c r="AA369" s="3">
        <v>144</v>
      </c>
      <c r="AB369" s="3">
        <v>91</v>
      </c>
      <c r="AC369" s="3" t="str">
        <f>IF(AND(EHR[[#This Row],[BP_Systolic_mmHg]]&lt;140,EHR[[#This Row],[BP_Diastolic_mmHg]]&lt;90),"Controlled",IF(OR(EHR[[#This Row],[BP_Systolic_mmHg]]="Not Recorded",EHR[[#This Row],[BP_Diastolic_mmHg]]="Not Recorded"),"No Reading","Uncontrolled"))</f>
        <v>Uncontrolled</v>
      </c>
      <c r="AD369" s="3" t="str">
        <f>_xlfn.CONCAT(EHR[[#This Row],[BP_Systolic_mmHg]],"/",EHR[[#This Row],[BP_Diastolic_mmHg]])</f>
        <v>144/91</v>
      </c>
      <c r="AE369" s="3">
        <v>57</v>
      </c>
      <c r="AF369" s="3">
        <v>16</v>
      </c>
      <c r="AG369" s="3">
        <v>36.799999999999997</v>
      </c>
      <c r="AH369" s="3">
        <v>39.5</v>
      </c>
      <c r="AI369" s="3" t="str">
        <f>IF(EHR[[#This Row],[BMI_kg_m2]]&gt;=30,"Obese","Non-Obese")</f>
        <v>Obese</v>
      </c>
      <c r="AJ369" s="3">
        <v>92</v>
      </c>
      <c r="AK369" s="3" t="s">
        <v>50</v>
      </c>
      <c r="AL369" s="3" t="s">
        <v>51</v>
      </c>
      <c r="AM369" s="3" t="s">
        <v>52</v>
      </c>
      <c r="AN369" s="3" t="s">
        <v>53</v>
      </c>
      <c r="AO369" s="3" t="s">
        <v>54</v>
      </c>
    </row>
    <row r="370" spans="1:41" x14ac:dyDescent="0.2">
      <c r="A370" s="6" t="s">
        <v>1318</v>
      </c>
      <c r="B370" s="2" t="s">
        <v>1319</v>
      </c>
      <c r="C370" s="13">
        <v>45303</v>
      </c>
      <c r="D370" s="2" t="s">
        <v>95</v>
      </c>
      <c r="E370" s="2" t="s">
        <v>37</v>
      </c>
      <c r="F370" s="2" t="s">
        <v>75</v>
      </c>
      <c r="G370" s="2" t="s">
        <v>76</v>
      </c>
      <c r="H370" s="13">
        <v>33740</v>
      </c>
      <c r="I370" s="2">
        <v>33</v>
      </c>
      <c r="J370" s="2" t="str" cm="1">
        <f t="array" ref="J37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70" s="2" t="s">
        <v>1572</v>
      </c>
      <c r="L370" s="2" t="s">
        <v>78</v>
      </c>
      <c r="M370" s="2" t="s">
        <v>79</v>
      </c>
      <c r="N370" s="2" t="s">
        <v>80</v>
      </c>
      <c r="O370" s="2" t="s">
        <v>81</v>
      </c>
      <c r="P370" s="2" t="s">
        <v>126</v>
      </c>
      <c r="Q370" s="2" t="str">
        <f>_xlfn.XLOOKUP(EHR[[#This Row],[Primary_ICD11_Code]],'03_ICD11_Reference'!A:A,'03_ICD11_Reference'!D:D,,0)</f>
        <v>Neurological</v>
      </c>
      <c r="R370" s="2" t="s">
        <v>127</v>
      </c>
      <c r="S370" s="2" t="s">
        <v>69</v>
      </c>
      <c r="T370" s="2" t="s">
        <v>1321</v>
      </c>
      <c r="U370" s="2">
        <v>3</v>
      </c>
      <c r="V370" s="2" t="str">
        <f>_xlfn.XLOOKUP(EHR[[#This Row],[Encounter_ID]],'02_Lab_Results'!B:B,'02_Lab_Results'!D:D,,0)</f>
        <v>2093-3</v>
      </c>
      <c r="W370" s="2" t="str">
        <f>_xlfn.XLOOKUP(EHR[[#This Row],[LOINC Code]],'04_LOINC_Reference'!A:A,'04_LOINC_Reference'!F:F,,0)</f>
        <v>Biochemistry</v>
      </c>
      <c r="X370" s="2" t="str">
        <f>_xlfn.XLOOKUP(EHR[[#This Row],[LOINC Code]],'02_Lab_Results'!D:D,'02_Lab_Results'!E:E,,0)</f>
        <v>Total cholesterol</v>
      </c>
      <c r="Y370" s="2" t="str">
        <f>_xlfn.XLOOKUP(EHR[[#This Row],[LOINC Code]],'02_Lab_Results'!D:D,'02_Lab_Results'!J:J,,0)</f>
        <v>Normal</v>
      </c>
      <c r="Z370" s="2" t="str" cm="1">
        <f t="array" ref="Z370">_xlfn.XLOOKUP(1,(B370=B$2:B$500)*(V$2:V$500="4548-4"),Y$2:Y$500,"Not Tested")</f>
        <v>Not Tested</v>
      </c>
      <c r="AA370" s="2">
        <v>141</v>
      </c>
      <c r="AB370" s="2">
        <v>84</v>
      </c>
      <c r="AC370" s="2" t="str">
        <f>IF(AND(EHR[[#This Row],[BP_Systolic_mmHg]]&lt;140,EHR[[#This Row],[BP_Diastolic_mmHg]]&lt;90),"Controlled",IF(OR(EHR[[#This Row],[BP_Systolic_mmHg]]="Not Recorded",EHR[[#This Row],[BP_Diastolic_mmHg]]="Not Recorded"),"No Reading","Uncontrolled"))</f>
        <v>Uncontrolled</v>
      </c>
      <c r="AD370" s="2" t="str">
        <f>_xlfn.CONCAT(EHR[[#This Row],[BP_Systolic_mmHg]],"/",EHR[[#This Row],[BP_Diastolic_mmHg]])</f>
        <v>141/84</v>
      </c>
      <c r="AE370" s="2">
        <v>116</v>
      </c>
      <c r="AF370" s="2">
        <v>20</v>
      </c>
      <c r="AG370" s="2">
        <v>37.799999999999997</v>
      </c>
      <c r="AH370" s="2">
        <v>29.6</v>
      </c>
      <c r="AI370" s="2" t="str">
        <f>IF(EHR[[#This Row],[BMI_kg_m2]]&gt;=30,"Obese","Non-Obese")</f>
        <v>Non-Obese</v>
      </c>
      <c r="AJ370" s="2">
        <v>97</v>
      </c>
      <c r="AK370" s="2" t="s">
        <v>50</v>
      </c>
      <c r="AL370" s="2" t="s">
        <v>51</v>
      </c>
      <c r="AM370" s="2" t="s">
        <v>52</v>
      </c>
      <c r="AN370" s="2" t="s">
        <v>53</v>
      </c>
      <c r="AO370" s="2" t="s">
        <v>54</v>
      </c>
    </row>
    <row r="371" spans="1:41" x14ac:dyDescent="0.2">
      <c r="A371" s="7" t="s">
        <v>1318</v>
      </c>
      <c r="B371" s="3" t="s">
        <v>1322</v>
      </c>
      <c r="C371" s="14">
        <v>45619</v>
      </c>
      <c r="D371" s="3" t="s">
        <v>103</v>
      </c>
      <c r="E371" s="3" t="s">
        <v>167</v>
      </c>
      <c r="F371" s="3" t="s">
        <v>189</v>
      </c>
      <c r="G371" s="3" t="s">
        <v>39</v>
      </c>
      <c r="H371" s="14">
        <v>33740</v>
      </c>
      <c r="I371" s="3">
        <v>33</v>
      </c>
      <c r="J371" s="3" t="str" cm="1">
        <f t="array" ref="J37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71" s="3" t="s">
        <v>1572</v>
      </c>
      <c r="L371" s="3" t="s">
        <v>42</v>
      </c>
      <c r="M371" s="3" t="s">
        <v>79</v>
      </c>
      <c r="N371" s="3" t="s">
        <v>80</v>
      </c>
      <c r="O371" s="3" t="s">
        <v>81</v>
      </c>
      <c r="P371" s="3" t="s">
        <v>126</v>
      </c>
      <c r="Q371" s="3" t="str">
        <f>_xlfn.XLOOKUP(EHR[[#This Row],[Primary_ICD11_Code]],'03_ICD11_Reference'!A:A,'03_ICD11_Reference'!D:D,,0)</f>
        <v>Neurological</v>
      </c>
      <c r="R371" s="3" t="s">
        <v>127</v>
      </c>
      <c r="S371" s="3" t="s">
        <v>69</v>
      </c>
      <c r="T371" s="3" t="s">
        <v>1324</v>
      </c>
      <c r="U371" s="3">
        <v>4</v>
      </c>
      <c r="V371" s="3" t="str">
        <f>_xlfn.XLOOKUP(EHR[[#This Row],[Encounter_ID]],'02_Lab_Results'!B:B,'02_Lab_Results'!D:D,,0)</f>
        <v>13457-7</v>
      </c>
      <c r="W371" s="3" t="str">
        <f>_xlfn.XLOOKUP(EHR[[#This Row],[LOINC Code]],'04_LOINC_Reference'!A:A,'04_LOINC_Reference'!F:F,,0)</f>
        <v>Biochemistry</v>
      </c>
      <c r="X371" s="3" t="str">
        <f>_xlfn.XLOOKUP(EHR[[#This Row],[LOINC Code]],'02_Lab_Results'!D:D,'02_Lab_Results'!E:E,,0)</f>
        <v>LDL cholesterol</v>
      </c>
      <c r="Y371" s="3" t="str">
        <f>_xlfn.XLOOKUP(EHR[[#This Row],[LOINC Code]],'02_Lab_Results'!D:D,'02_Lab_Results'!J:J,,0)</f>
        <v>High</v>
      </c>
      <c r="Z371" s="3" t="str" cm="1">
        <f t="array" ref="Z371">_xlfn.XLOOKUP(1,(B371=B$2:B$500)*(V$2:V$500="4548-4"),Y$2:Y$500,"Not Tested")</f>
        <v>Not Tested</v>
      </c>
      <c r="AA371" s="3">
        <v>115</v>
      </c>
      <c r="AB371" s="3">
        <v>96</v>
      </c>
      <c r="AC371" s="3" t="str">
        <f>IF(AND(EHR[[#This Row],[BP_Systolic_mmHg]]&lt;140,EHR[[#This Row],[BP_Diastolic_mmHg]]&lt;90),"Controlled",IF(OR(EHR[[#This Row],[BP_Systolic_mmHg]]="Not Recorded",EHR[[#This Row],[BP_Diastolic_mmHg]]="Not Recorded"),"No Reading","Uncontrolled"))</f>
        <v>Uncontrolled</v>
      </c>
      <c r="AD371" s="3" t="str">
        <f>_xlfn.CONCAT(EHR[[#This Row],[BP_Systolic_mmHg]],"/",EHR[[#This Row],[BP_Diastolic_mmHg]])</f>
        <v>115/96</v>
      </c>
      <c r="AE371" s="3">
        <v>62</v>
      </c>
      <c r="AF371" s="3">
        <v>20</v>
      </c>
      <c r="AG371" s="3">
        <v>38</v>
      </c>
      <c r="AH371" s="3">
        <v>32.5</v>
      </c>
      <c r="AI371" s="3" t="str">
        <f>IF(EHR[[#This Row],[BMI_kg_m2]]&gt;=30,"Obese","Non-Obese")</f>
        <v>Obese</v>
      </c>
      <c r="AJ371" s="3">
        <v>91</v>
      </c>
      <c r="AK371" s="3" t="s">
        <v>50</v>
      </c>
      <c r="AL371" s="3" t="s">
        <v>51</v>
      </c>
      <c r="AM371" s="3" t="s">
        <v>52</v>
      </c>
      <c r="AN371" s="3" t="s">
        <v>53</v>
      </c>
      <c r="AO371" s="3" t="s">
        <v>54</v>
      </c>
    </row>
    <row r="372" spans="1:41" x14ac:dyDescent="0.2">
      <c r="A372" s="6" t="s">
        <v>1318</v>
      </c>
      <c r="B372" s="2" t="s">
        <v>1325</v>
      </c>
      <c r="C372" s="13">
        <v>45509</v>
      </c>
      <c r="D372" s="2" t="s">
        <v>88</v>
      </c>
      <c r="E372" s="2" t="s">
        <v>37</v>
      </c>
      <c r="F372" s="2" t="s">
        <v>122</v>
      </c>
      <c r="G372" s="2" t="s">
        <v>98</v>
      </c>
      <c r="H372" s="13">
        <v>33740</v>
      </c>
      <c r="I372" s="2">
        <v>33</v>
      </c>
      <c r="J372" s="2" t="str" cm="1">
        <f t="array" ref="J37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72" s="2" t="s">
        <v>1572</v>
      </c>
      <c r="L372" s="2" t="s">
        <v>140</v>
      </c>
      <c r="M372" s="2" t="s">
        <v>79</v>
      </c>
      <c r="N372" s="2" t="s">
        <v>80</v>
      </c>
      <c r="O372" s="2" t="s">
        <v>81</v>
      </c>
      <c r="P372" s="2" t="s">
        <v>126</v>
      </c>
      <c r="Q372" s="2" t="str">
        <f>_xlfn.XLOOKUP(EHR[[#This Row],[Primary_ICD11_Code]],'03_ICD11_Reference'!A:A,'03_ICD11_Reference'!D:D,,0)</f>
        <v>Neurological</v>
      </c>
      <c r="R372" s="2" t="s">
        <v>127</v>
      </c>
      <c r="S372" s="2" t="s">
        <v>69</v>
      </c>
      <c r="T372" s="2" t="s">
        <v>1326</v>
      </c>
      <c r="U372" s="2">
        <v>3</v>
      </c>
      <c r="V372" s="2" t="str">
        <f>_xlfn.XLOOKUP(EHR[[#This Row],[Encounter_ID]],'02_Lab_Results'!B:B,'02_Lab_Results'!D:D,,0)</f>
        <v>2160-0</v>
      </c>
      <c r="W372" s="2" t="str">
        <f>_xlfn.XLOOKUP(EHR[[#This Row],[LOINC Code]],'04_LOINC_Reference'!A:A,'04_LOINC_Reference'!F:F,,0)</f>
        <v>Biochemistry</v>
      </c>
      <c r="X372" s="2" t="str">
        <f>_xlfn.XLOOKUP(EHR[[#This Row],[LOINC Code]],'02_Lab_Results'!D:D,'02_Lab_Results'!E:E,,0)</f>
        <v>Serum creatinine</v>
      </c>
      <c r="Y372" s="2" t="str">
        <f>_xlfn.XLOOKUP(EHR[[#This Row],[LOINC Code]],'02_Lab_Results'!D:D,'02_Lab_Results'!J:J,,0)</f>
        <v>Normal</v>
      </c>
      <c r="Z372" s="2" t="str" cm="1">
        <f t="array" ref="Z372">_xlfn.XLOOKUP(1,(B372=B$2:B$500)*(V$2:V$500="4548-4"),Y$2:Y$500,"Not Tested")</f>
        <v>Not Tested</v>
      </c>
      <c r="AA372" s="2">
        <v>99</v>
      </c>
      <c r="AB372" s="2">
        <v>60</v>
      </c>
      <c r="AC372" s="2" t="str">
        <f>IF(AND(EHR[[#This Row],[BP_Systolic_mmHg]]&lt;140,EHR[[#This Row],[BP_Diastolic_mmHg]]&lt;90),"Controlled",IF(OR(EHR[[#This Row],[BP_Systolic_mmHg]]="Not Recorded",EHR[[#This Row],[BP_Diastolic_mmHg]]="Not Recorded"),"No Reading","Uncontrolled"))</f>
        <v>Controlled</v>
      </c>
      <c r="AD372" s="2" t="str">
        <f>_xlfn.CONCAT(EHR[[#This Row],[BP_Systolic_mmHg]],"/",EHR[[#This Row],[BP_Diastolic_mmHg]])</f>
        <v>99/60</v>
      </c>
      <c r="AE372" s="2">
        <v>53</v>
      </c>
      <c r="AF372" s="2">
        <v>14</v>
      </c>
      <c r="AG372" s="2">
        <v>37.4</v>
      </c>
      <c r="AH372" s="2">
        <v>20.2</v>
      </c>
      <c r="AI372" s="2" t="str">
        <f>IF(EHR[[#This Row],[BMI_kg_m2]]&gt;=30,"Obese","Non-Obese")</f>
        <v>Non-Obese</v>
      </c>
      <c r="AJ372" s="2">
        <v>96</v>
      </c>
      <c r="AK372" s="2" t="s">
        <v>50</v>
      </c>
      <c r="AL372" s="2" t="s">
        <v>51</v>
      </c>
      <c r="AM372" s="2" t="s">
        <v>52</v>
      </c>
      <c r="AN372" s="2" t="s">
        <v>53</v>
      </c>
      <c r="AO372" s="2" t="s">
        <v>54</v>
      </c>
    </row>
    <row r="373" spans="1:41" x14ac:dyDescent="0.2">
      <c r="A373" s="7" t="s">
        <v>1318</v>
      </c>
      <c r="B373" s="3" t="s">
        <v>1327</v>
      </c>
      <c r="C373" s="14">
        <v>45732</v>
      </c>
      <c r="D373" s="3" t="s">
        <v>103</v>
      </c>
      <c r="E373" s="3" t="s">
        <v>61</v>
      </c>
      <c r="F373" s="3" t="s">
        <v>122</v>
      </c>
      <c r="G373" s="3" t="s">
        <v>104</v>
      </c>
      <c r="H373" s="14">
        <v>33740</v>
      </c>
      <c r="I373" s="3">
        <v>33</v>
      </c>
      <c r="J373" s="3" t="str" cm="1">
        <f t="array" ref="J37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73" s="3" t="s">
        <v>1572</v>
      </c>
      <c r="L373" s="3" t="s">
        <v>66</v>
      </c>
      <c r="M373" s="3" t="s">
        <v>79</v>
      </c>
      <c r="N373" s="3" t="s">
        <v>80</v>
      </c>
      <c r="O373" s="3" t="s">
        <v>81</v>
      </c>
      <c r="P373" s="3" t="s">
        <v>126</v>
      </c>
      <c r="Q373" s="3" t="str">
        <f>_xlfn.XLOOKUP(EHR[[#This Row],[Primary_ICD11_Code]],'03_ICD11_Reference'!A:A,'03_ICD11_Reference'!D:D,,0)</f>
        <v>Neurological</v>
      </c>
      <c r="R373" s="3" t="s">
        <v>127</v>
      </c>
      <c r="S373" s="3" t="s">
        <v>69</v>
      </c>
      <c r="T373" s="3" t="s">
        <v>1329</v>
      </c>
      <c r="U373" s="3">
        <v>4</v>
      </c>
      <c r="V373" s="3" t="str">
        <f>_xlfn.XLOOKUP(EHR[[#This Row],[Encounter_ID]],'02_Lab_Results'!B:B,'02_Lab_Results'!D:D,,0)</f>
        <v>2823-3</v>
      </c>
      <c r="W373" s="3" t="str">
        <f>_xlfn.XLOOKUP(EHR[[#This Row],[LOINC Code]],'04_LOINC_Reference'!A:A,'04_LOINC_Reference'!F:F,,0)</f>
        <v>Biochemistry</v>
      </c>
      <c r="X373" s="3" t="str">
        <f>_xlfn.XLOOKUP(EHR[[#This Row],[LOINC Code]],'02_Lab_Results'!D:D,'02_Lab_Results'!E:E,,0)</f>
        <v>Serum potassium</v>
      </c>
      <c r="Y373" s="3" t="str">
        <f>_xlfn.XLOOKUP(EHR[[#This Row],[LOINC Code]],'02_Lab_Results'!D:D,'02_Lab_Results'!J:J,,0)</f>
        <v>Normal</v>
      </c>
      <c r="Z373" s="3" t="str" cm="1">
        <f t="array" ref="Z373">_xlfn.XLOOKUP(1,(B373=B$2:B$500)*(V$2:V$500="4548-4"),Y$2:Y$500,"Not Tested")</f>
        <v>Not Tested</v>
      </c>
      <c r="AA373" s="3">
        <v>111</v>
      </c>
      <c r="AB373" s="3">
        <v>79</v>
      </c>
      <c r="AC373" s="3" t="str">
        <f>IF(AND(EHR[[#This Row],[BP_Systolic_mmHg]]&lt;140,EHR[[#This Row],[BP_Diastolic_mmHg]]&lt;90),"Controlled",IF(OR(EHR[[#This Row],[BP_Systolic_mmHg]]="Not Recorded",EHR[[#This Row],[BP_Diastolic_mmHg]]="Not Recorded"),"No Reading","Uncontrolled"))</f>
        <v>Controlled</v>
      </c>
      <c r="AD373" s="3" t="str">
        <f>_xlfn.CONCAT(EHR[[#This Row],[BP_Systolic_mmHg]],"/",EHR[[#This Row],[BP_Diastolic_mmHg]])</f>
        <v>111/79</v>
      </c>
      <c r="AE373" s="3">
        <v>56</v>
      </c>
      <c r="AF373" s="3">
        <v>26</v>
      </c>
      <c r="AG373" s="3">
        <v>37</v>
      </c>
      <c r="AH373" s="3">
        <v>34.200000000000003</v>
      </c>
      <c r="AI373" s="3" t="str">
        <f>IF(EHR[[#This Row],[BMI_kg_m2]]&gt;=30,"Obese","Non-Obese")</f>
        <v>Obese</v>
      </c>
      <c r="AJ373" s="3">
        <v>93</v>
      </c>
      <c r="AK373" s="3" t="s">
        <v>50</v>
      </c>
      <c r="AL373" s="3" t="s">
        <v>51</v>
      </c>
      <c r="AM373" s="3" t="s">
        <v>52</v>
      </c>
      <c r="AN373" s="3" t="s">
        <v>53</v>
      </c>
      <c r="AO373" s="3" t="s">
        <v>54</v>
      </c>
    </row>
    <row r="374" spans="1:41" x14ac:dyDescent="0.2">
      <c r="A374" s="6" t="s">
        <v>1318</v>
      </c>
      <c r="B374" s="2" t="s">
        <v>1330</v>
      </c>
      <c r="C374" s="13">
        <v>45616</v>
      </c>
      <c r="D374" s="2" t="s">
        <v>60</v>
      </c>
      <c r="E374" s="2" t="s">
        <v>61</v>
      </c>
      <c r="F374" s="2" t="s">
        <v>38</v>
      </c>
      <c r="G374" s="2" t="s">
        <v>123</v>
      </c>
      <c r="H374" s="13">
        <v>33740</v>
      </c>
      <c r="I374" s="2">
        <v>33</v>
      </c>
      <c r="J374" s="2" t="str" cm="1">
        <f t="array" ref="J37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74" s="2" t="s">
        <v>1572</v>
      </c>
      <c r="L374" s="2" t="s">
        <v>140</v>
      </c>
      <c r="M374" s="2" t="s">
        <v>79</v>
      </c>
      <c r="N374" s="2" t="s">
        <v>80</v>
      </c>
      <c r="O374" s="2" t="s">
        <v>81</v>
      </c>
      <c r="P374" s="2" t="s">
        <v>126</v>
      </c>
      <c r="Q374" s="2" t="str">
        <f>_xlfn.XLOOKUP(EHR[[#This Row],[Primary_ICD11_Code]],'03_ICD11_Reference'!A:A,'03_ICD11_Reference'!D:D,,0)</f>
        <v>Neurological</v>
      </c>
      <c r="R374" s="2" t="s">
        <v>127</v>
      </c>
      <c r="S374" s="2" t="s">
        <v>69</v>
      </c>
      <c r="T374" s="2" t="s">
        <v>1331</v>
      </c>
      <c r="U374" s="2">
        <v>4</v>
      </c>
      <c r="V374" s="2" t="str">
        <f>_xlfn.XLOOKUP(EHR[[#This Row],[Encounter_ID]],'02_Lab_Results'!B:B,'02_Lab_Results'!D:D,,0)</f>
        <v>14627-4</v>
      </c>
      <c r="W374" s="2" t="str">
        <f>_xlfn.XLOOKUP(EHR[[#This Row],[LOINC Code]],'04_LOINC_Reference'!A:A,'04_LOINC_Reference'!F:F,,0)</f>
        <v>Biochemistry</v>
      </c>
      <c r="X374" s="2" t="str">
        <f>_xlfn.XLOOKUP(EHR[[#This Row],[LOINC Code]],'02_Lab_Results'!D:D,'02_Lab_Results'!E:E,,0)</f>
        <v>eGFR (CKD-EPI)</v>
      </c>
      <c r="Y374" s="2" t="str">
        <f>_xlfn.XLOOKUP(EHR[[#This Row],[LOINC Code]],'02_Lab_Results'!D:D,'02_Lab_Results'!J:J,,0)</f>
        <v>High</v>
      </c>
      <c r="Z374" s="2" t="str" cm="1">
        <f t="array" ref="Z374">_xlfn.XLOOKUP(1,(B374=B$2:B$500)*(V$2:V$500="4548-4"),Y$2:Y$500,"Not Tested")</f>
        <v>Not Tested</v>
      </c>
      <c r="AA374" s="2">
        <v>105</v>
      </c>
      <c r="AB374" s="2">
        <v>87</v>
      </c>
      <c r="AC374" s="2" t="str">
        <f>IF(AND(EHR[[#This Row],[BP_Systolic_mmHg]]&lt;140,EHR[[#This Row],[BP_Diastolic_mmHg]]&lt;90),"Controlled",IF(OR(EHR[[#This Row],[BP_Systolic_mmHg]]="Not Recorded",EHR[[#This Row],[BP_Diastolic_mmHg]]="Not Recorded"),"No Reading","Uncontrolled"))</f>
        <v>Controlled</v>
      </c>
      <c r="AD374" s="2" t="str">
        <f>_xlfn.CONCAT(EHR[[#This Row],[BP_Systolic_mmHg]],"/",EHR[[#This Row],[BP_Diastolic_mmHg]])</f>
        <v>105/87</v>
      </c>
      <c r="AE374" s="2">
        <v>50</v>
      </c>
      <c r="AF374" s="2">
        <v>14</v>
      </c>
      <c r="AG374" s="2">
        <v>36.5</v>
      </c>
      <c r="AH374" s="2">
        <v>31.1</v>
      </c>
      <c r="AI374" s="2" t="str">
        <f>IF(EHR[[#This Row],[BMI_kg_m2]]&gt;=30,"Obese","Non-Obese")</f>
        <v>Obese</v>
      </c>
      <c r="AJ374" s="2">
        <v>96</v>
      </c>
      <c r="AK374" s="2" t="s">
        <v>50</v>
      </c>
      <c r="AL374" s="2" t="s">
        <v>51</v>
      </c>
      <c r="AM374" s="2" t="s">
        <v>52</v>
      </c>
      <c r="AN374" s="2" t="s">
        <v>53</v>
      </c>
      <c r="AO374" s="2" t="s">
        <v>54</v>
      </c>
    </row>
    <row r="375" spans="1:41" x14ac:dyDescent="0.2">
      <c r="A375" s="7" t="s">
        <v>1318</v>
      </c>
      <c r="B375" s="3" t="s">
        <v>1332</v>
      </c>
      <c r="C375" s="14">
        <v>45041</v>
      </c>
      <c r="D375" s="3" t="s">
        <v>95</v>
      </c>
      <c r="E375" s="3" t="s">
        <v>61</v>
      </c>
      <c r="F375" s="3" t="s">
        <v>219</v>
      </c>
      <c r="G375" s="3" t="s">
        <v>39</v>
      </c>
      <c r="H375" s="14">
        <v>33740</v>
      </c>
      <c r="I375" s="3">
        <v>33</v>
      </c>
      <c r="J375" s="3" t="str" cm="1">
        <f t="array" ref="J37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75" s="3" t="s">
        <v>1572</v>
      </c>
      <c r="L375" s="3" t="s">
        <v>110</v>
      </c>
      <c r="M375" s="3" t="s">
        <v>79</v>
      </c>
      <c r="N375" s="3" t="s">
        <v>80</v>
      </c>
      <c r="O375" s="3" t="s">
        <v>81</v>
      </c>
      <c r="P375" s="3" t="s">
        <v>126</v>
      </c>
      <c r="Q375" s="3" t="str">
        <f>_xlfn.XLOOKUP(EHR[[#This Row],[Primary_ICD11_Code]],'03_ICD11_Reference'!A:A,'03_ICD11_Reference'!D:D,,0)</f>
        <v>Neurological</v>
      </c>
      <c r="R375" s="3" t="s">
        <v>127</v>
      </c>
      <c r="S375" s="3" t="s">
        <v>69</v>
      </c>
      <c r="T375" s="3" t="s">
        <v>1333</v>
      </c>
      <c r="U375" s="3">
        <v>2</v>
      </c>
      <c r="V375" s="3" t="str">
        <f>_xlfn.XLOOKUP(EHR[[#This Row],[Encounter_ID]],'02_Lab_Results'!B:B,'02_Lab_Results'!D:D,,0)</f>
        <v>13457-7</v>
      </c>
      <c r="W375" s="3" t="str">
        <f>_xlfn.XLOOKUP(EHR[[#This Row],[LOINC Code]],'04_LOINC_Reference'!A:A,'04_LOINC_Reference'!F:F,,0)</f>
        <v>Biochemistry</v>
      </c>
      <c r="X375" s="3" t="str">
        <f>_xlfn.XLOOKUP(EHR[[#This Row],[LOINC Code]],'02_Lab_Results'!D:D,'02_Lab_Results'!E:E,,0)</f>
        <v>LDL cholesterol</v>
      </c>
      <c r="Y375" s="3" t="str">
        <f>_xlfn.XLOOKUP(EHR[[#This Row],[LOINC Code]],'02_Lab_Results'!D:D,'02_Lab_Results'!J:J,,0)</f>
        <v>High</v>
      </c>
      <c r="Z375" s="3" t="str" cm="1">
        <f t="array" ref="Z375">_xlfn.XLOOKUP(1,(B375=B$2:B$500)*(V$2:V$500="4548-4"),Y$2:Y$500,"Not Tested")</f>
        <v>Not Tested</v>
      </c>
      <c r="AA375" s="3">
        <v>168</v>
      </c>
      <c r="AB375" s="3">
        <v>97</v>
      </c>
      <c r="AC375" s="3" t="str">
        <f>IF(AND(EHR[[#This Row],[BP_Systolic_mmHg]]&lt;140,EHR[[#This Row],[BP_Diastolic_mmHg]]&lt;90),"Controlled",IF(OR(EHR[[#This Row],[BP_Systolic_mmHg]]="Not Recorded",EHR[[#This Row],[BP_Diastolic_mmHg]]="Not Recorded"),"No Reading","Uncontrolled"))</f>
        <v>Uncontrolled</v>
      </c>
      <c r="AD375" s="3" t="str">
        <f>_xlfn.CONCAT(EHR[[#This Row],[BP_Systolic_mmHg]],"/",EHR[[#This Row],[BP_Diastolic_mmHg]])</f>
        <v>168/97</v>
      </c>
      <c r="AE375" s="3">
        <v>64</v>
      </c>
      <c r="AF375" s="3">
        <v>12</v>
      </c>
      <c r="AG375" s="3">
        <v>37.5</v>
      </c>
      <c r="AH375" s="3">
        <v>21.6</v>
      </c>
      <c r="AI375" s="3" t="str">
        <f>IF(EHR[[#This Row],[BMI_kg_m2]]&gt;=30,"Obese","Non-Obese")</f>
        <v>Non-Obese</v>
      </c>
      <c r="AJ375" s="3">
        <v>90</v>
      </c>
      <c r="AK375" s="3" t="s">
        <v>50</v>
      </c>
      <c r="AL375" s="3" t="s">
        <v>51</v>
      </c>
      <c r="AM375" s="3" t="s">
        <v>52</v>
      </c>
      <c r="AN375" s="3" t="s">
        <v>53</v>
      </c>
      <c r="AO375" s="3" t="s">
        <v>54</v>
      </c>
    </row>
    <row r="376" spans="1:41" x14ac:dyDescent="0.2">
      <c r="A376" s="6" t="s">
        <v>1334</v>
      </c>
      <c r="B376" s="2" t="s">
        <v>1335</v>
      </c>
      <c r="C376" s="13">
        <v>45133</v>
      </c>
      <c r="D376" s="2" t="s">
        <v>60</v>
      </c>
      <c r="E376" s="2" t="s">
        <v>96</v>
      </c>
      <c r="F376" s="2" t="s">
        <v>132</v>
      </c>
      <c r="G376" s="2" t="s">
        <v>98</v>
      </c>
      <c r="H376" s="13">
        <v>31495</v>
      </c>
      <c r="I376" s="2">
        <v>39</v>
      </c>
      <c r="J376" s="2" t="str" cm="1">
        <f t="array" ref="J37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76" s="2" t="s">
        <v>1572</v>
      </c>
      <c r="L376" s="2" t="s">
        <v>90</v>
      </c>
      <c r="M376" s="2" t="s">
        <v>141</v>
      </c>
      <c r="N376" s="2" t="s">
        <v>44</v>
      </c>
      <c r="O376" s="2" t="s">
        <v>1574</v>
      </c>
      <c r="P376" s="2" t="s">
        <v>82</v>
      </c>
      <c r="Q376" s="2" t="str">
        <f>_xlfn.XLOOKUP(EHR[[#This Row],[Primary_ICD11_Code]],'03_ICD11_Reference'!A:A,'03_ICD11_Reference'!D:D,,0)</f>
        <v>Renal</v>
      </c>
      <c r="R376" s="2" t="s">
        <v>83</v>
      </c>
      <c r="S376" s="2" t="s">
        <v>69</v>
      </c>
      <c r="T376" s="2" t="s">
        <v>1338</v>
      </c>
      <c r="U376" s="2">
        <v>4</v>
      </c>
      <c r="V376" s="2" t="str">
        <f>_xlfn.XLOOKUP(EHR[[#This Row],[Encounter_ID]],'02_Lab_Results'!B:B,'02_Lab_Results'!D:D,,0)</f>
        <v>4548-4</v>
      </c>
      <c r="W376" s="2" t="str">
        <f>_xlfn.XLOOKUP(EHR[[#This Row],[LOINC Code]],'04_LOINC_Reference'!A:A,'04_LOINC_Reference'!F:F,,0)</f>
        <v>Biochemistry</v>
      </c>
      <c r="X376" s="2" t="str">
        <f>_xlfn.XLOOKUP(EHR[[#This Row],[LOINC Code]],'02_Lab_Results'!D:D,'02_Lab_Results'!E:E,,0)</f>
        <v>HbA1c</v>
      </c>
      <c r="Y376" s="2" t="str">
        <f>_xlfn.XLOOKUP(EHR[[#This Row],[LOINC Code]],'02_Lab_Results'!D:D,'02_Lab_Results'!J:J,,0)</f>
        <v>High</v>
      </c>
      <c r="Z376" s="2" t="str" cm="1">
        <f t="array" ref="Z376">_xlfn.XLOOKUP(1,(B376=B$2:B$500)*(V$2:V$500="4548-4"),Y$2:Y$500,"Not Tested")</f>
        <v>High</v>
      </c>
      <c r="AA376" s="2">
        <v>122</v>
      </c>
      <c r="AB376" s="2">
        <v>105</v>
      </c>
      <c r="AC376" s="2" t="str">
        <f>IF(AND(EHR[[#This Row],[BP_Systolic_mmHg]]&lt;140,EHR[[#This Row],[BP_Diastolic_mmHg]]&lt;90),"Controlled",IF(OR(EHR[[#This Row],[BP_Systolic_mmHg]]="Not Recorded",EHR[[#This Row],[BP_Diastolic_mmHg]]="Not Recorded"),"No Reading","Uncontrolled"))</f>
        <v>Uncontrolled</v>
      </c>
      <c r="AD376" s="2" t="str">
        <f>_xlfn.CONCAT(EHR[[#This Row],[BP_Systolic_mmHg]],"/",EHR[[#This Row],[BP_Diastolic_mmHg]])</f>
        <v>122/105</v>
      </c>
      <c r="AE376" s="2">
        <v>79</v>
      </c>
      <c r="AF376" s="2">
        <v>17</v>
      </c>
      <c r="AG376" s="2">
        <v>36.299999999999997</v>
      </c>
      <c r="AH376" s="2">
        <v>41.7</v>
      </c>
      <c r="AI376" s="2" t="str">
        <f>IF(EHR[[#This Row],[BMI_kg_m2]]&gt;=30,"Obese","Non-Obese")</f>
        <v>Obese</v>
      </c>
      <c r="AJ376" s="2">
        <v>93</v>
      </c>
      <c r="AK376" s="2" t="s">
        <v>50</v>
      </c>
      <c r="AL376" s="2" t="s">
        <v>51</v>
      </c>
      <c r="AM376" s="2" t="s">
        <v>52</v>
      </c>
      <c r="AN376" s="2" t="s">
        <v>53</v>
      </c>
      <c r="AO376" s="2" t="s">
        <v>54</v>
      </c>
    </row>
    <row r="377" spans="1:41" x14ac:dyDescent="0.2">
      <c r="A377" s="7" t="s">
        <v>1334</v>
      </c>
      <c r="B377" s="3" t="s">
        <v>1339</v>
      </c>
      <c r="C377" s="14">
        <v>45532</v>
      </c>
      <c r="D377" s="3" t="s">
        <v>95</v>
      </c>
      <c r="E377" s="3" t="s">
        <v>96</v>
      </c>
      <c r="F377" s="3" t="s">
        <v>122</v>
      </c>
      <c r="G377" s="3" t="s">
        <v>98</v>
      </c>
      <c r="H377" s="14">
        <v>31495</v>
      </c>
      <c r="I377" s="3">
        <v>39</v>
      </c>
      <c r="J377" s="3" t="str" cm="1">
        <f t="array" ref="J37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77" s="3" t="s">
        <v>1572</v>
      </c>
      <c r="L377" s="3" t="s">
        <v>90</v>
      </c>
      <c r="M377" s="3" t="s">
        <v>141</v>
      </c>
      <c r="N377" s="3" t="s">
        <v>44</v>
      </c>
      <c r="O377" s="3" t="s">
        <v>1574</v>
      </c>
      <c r="P377" s="3" t="s">
        <v>82</v>
      </c>
      <c r="Q377" s="3" t="str">
        <f>_xlfn.XLOOKUP(EHR[[#This Row],[Primary_ICD11_Code]],'03_ICD11_Reference'!A:A,'03_ICD11_Reference'!D:D,,0)</f>
        <v>Renal</v>
      </c>
      <c r="R377" s="3" t="s">
        <v>83</v>
      </c>
      <c r="S377" s="3" t="s">
        <v>69</v>
      </c>
      <c r="T377" s="3" t="s">
        <v>1341</v>
      </c>
      <c r="U377" s="3">
        <v>3</v>
      </c>
      <c r="V377" s="3" t="str">
        <f>_xlfn.XLOOKUP(EHR[[#This Row],[Encounter_ID]],'02_Lab_Results'!B:B,'02_Lab_Results'!D:D,,0)</f>
        <v>2085-9</v>
      </c>
      <c r="W377" s="3" t="str">
        <f>_xlfn.XLOOKUP(EHR[[#This Row],[LOINC Code]],'04_LOINC_Reference'!A:A,'04_LOINC_Reference'!F:F,,0)</f>
        <v>Biochemistry</v>
      </c>
      <c r="X377" s="3" t="str">
        <f>_xlfn.XLOOKUP(EHR[[#This Row],[LOINC Code]],'02_Lab_Results'!D:D,'02_Lab_Results'!E:E,,0)</f>
        <v>HDL cholesterol</v>
      </c>
      <c r="Y377" s="3" t="str">
        <f>_xlfn.XLOOKUP(EHR[[#This Row],[LOINC Code]],'02_Lab_Results'!D:D,'02_Lab_Results'!J:J,,0)</f>
        <v>Normal</v>
      </c>
      <c r="Z377" s="3" t="str" cm="1">
        <f t="array" ref="Z377">_xlfn.XLOOKUP(1,(B377=B$2:B$500)*(V$2:V$500="4548-4"),Y$2:Y$500,"Not Tested")</f>
        <v>Not Tested</v>
      </c>
      <c r="AA377" s="3">
        <v>160</v>
      </c>
      <c r="AB377" s="3">
        <v>111</v>
      </c>
      <c r="AC377" s="3" t="str">
        <f>IF(AND(EHR[[#This Row],[BP_Systolic_mmHg]]&lt;140,EHR[[#This Row],[BP_Diastolic_mmHg]]&lt;90),"Controlled",IF(OR(EHR[[#This Row],[BP_Systolic_mmHg]]="Not Recorded",EHR[[#This Row],[BP_Diastolic_mmHg]]="Not Recorded"),"No Reading","Uncontrolled"))</f>
        <v>Uncontrolled</v>
      </c>
      <c r="AD377" s="3" t="str">
        <f>_xlfn.CONCAT(EHR[[#This Row],[BP_Systolic_mmHg]],"/",EHR[[#This Row],[BP_Diastolic_mmHg]])</f>
        <v>160/111</v>
      </c>
      <c r="AE377" s="3">
        <v>118</v>
      </c>
      <c r="AF377" s="3">
        <v>26</v>
      </c>
      <c r="AG377" s="3">
        <v>36.700000000000003</v>
      </c>
      <c r="AH377" s="3">
        <v>19.2</v>
      </c>
      <c r="AI377" s="3" t="str">
        <f>IF(EHR[[#This Row],[BMI_kg_m2]]&gt;=30,"Obese","Non-Obese")</f>
        <v>Non-Obese</v>
      </c>
      <c r="AJ377" s="3">
        <v>87</v>
      </c>
      <c r="AK377" s="3" t="s">
        <v>50</v>
      </c>
      <c r="AL377" s="3" t="s">
        <v>51</v>
      </c>
      <c r="AM377" s="3" t="s">
        <v>52</v>
      </c>
      <c r="AN377" s="3" t="s">
        <v>53</v>
      </c>
      <c r="AO377" s="3" t="s">
        <v>54</v>
      </c>
    </row>
    <row r="378" spans="1:41" x14ac:dyDescent="0.2">
      <c r="A378" s="6" t="s">
        <v>1334</v>
      </c>
      <c r="B378" s="2" t="s">
        <v>1342</v>
      </c>
      <c r="C378" s="13">
        <v>45588</v>
      </c>
      <c r="D378" s="2" t="s">
        <v>88</v>
      </c>
      <c r="E378" s="2" t="s">
        <v>96</v>
      </c>
      <c r="F378" s="2" t="s">
        <v>38</v>
      </c>
      <c r="G378" s="2" t="s">
        <v>104</v>
      </c>
      <c r="H378" s="13">
        <v>31495</v>
      </c>
      <c r="I378" s="2">
        <v>39</v>
      </c>
      <c r="J378" s="2" t="str" cm="1">
        <f t="array" ref="J37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78" s="2" t="s">
        <v>1572</v>
      </c>
      <c r="L378" s="2" t="s">
        <v>116</v>
      </c>
      <c r="M378" s="2" t="s">
        <v>141</v>
      </c>
      <c r="N378" s="2" t="s">
        <v>44</v>
      </c>
      <c r="O378" s="2" t="s">
        <v>1574</v>
      </c>
      <c r="P378" s="2" t="s">
        <v>82</v>
      </c>
      <c r="Q378" s="2" t="str">
        <f>_xlfn.XLOOKUP(EHR[[#This Row],[Primary_ICD11_Code]],'03_ICD11_Reference'!A:A,'03_ICD11_Reference'!D:D,,0)</f>
        <v>Renal</v>
      </c>
      <c r="R378" s="2" t="s">
        <v>83</v>
      </c>
      <c r="S378" s="2" t="s">
        <v>69</v>
      </c>
      <c r="T378" s="2" t="s">
        <v>1344</v>
      </c>
      <c r="U378" s="2">
        <v>2</v>
      </c>
      <c r="V378" s="2" t="str">
        <f>_xlfn.XLOOKUP(EHR[[#This Row],[Encounter_ID]],'02_Lab_Results'!B:B,'02_Lab_Results'!D:D,,0)</f>
        <v>2345-7</v>
      </c>
      <c r="W378" s="2" t="str">
        <f>_xlfn.XLOOKUP(EHR[[#This Row],[LOINC Code]],'04_LOINC_Reference'!A:A,'04_LOINC_Reference'!F:F,,0)</f>
        <v>Biochemistry</v>
      </c>
      <c r="X378" s="2" t="str">
        <f>_xlfn.XLOOKUP(EHR[[#This Row],[LOINC Code]],'02_Lab_Results'!D:D,'02_Lab_Results'!E:E,,0)</f>
        <v>Serum glucose (fasting)</v>
      </c>
      <c r="Y378" s="2" t="str">
        <f>_xlfn.XLOOKUP(EHR[[#This Row],[LOINC Code]],'02_Lab_Results'!D:D,'02_Lab_Results'!J:J,,0)</f>
        <v>Normal</v>
      </c>
      <c r="Z378" s="2" t="str" cm="1">
        <f t="array" ref="Z378">_xlfn.XLOOKUP(1,(B378=B$2:B$500)*(V$2:V$500="4548-4"),Y$2:Y$500,"Not Tested")</f>
        <v>Not Tested</v>
      </c>
      <c r="AA378" s="2">
        <v>126</v>
      </c>
      <c r="AB378" s="2">
        <v>97</v>
      </c>
      <c r="AC378" s="2" t="str">
        <f>IF(AND(EHR[[#This Row],[BP_Systolic_mmHg]]&lt;140,EHR[[#This Row],[BP_Diastolic_mmHg]]&lt;90),"Controlled",IF(OR(EHR[[#This Row],[BP_Systolic_mmHg]]="Not Recorded",EHR[[#This Row],[BP_Diastolic_mmHg]]="Not Recorded"),"No Reading","Uncontrolled"))</f>
        <v>Uncontrolled</v>
      </c>
      <c r="AD378" s="2" t="str">
        <f>_xlfn.CONCAT(EHR[[#This Row],[BP_Systolic_mmHg]],"/",EHR[[#This Row],[BP_Diastolic_mmHg]])</f>
        <v>126/97</v>
      </c>
      <c r="AE378" s="2">
        <v>52</v>
      </c>
      <c r="AF378" s="2">
        <v>17</v>
      </c>
      <c r="AG378" s="2">
        <v>36.6</v>
      </c>
      <c r="AH378" s="2">
        <v>27.3</v>
      </c>
      <c r="AI378" s="2" t="str">
        <f>IF(EHR[[#This Row],[BMI_kg_m2]]&gt;=30,"Obese","Non-Obese")</f>
        <v>Non-Obese</v>
      </c>
      <c r="AJ378" s="2">
        <v>90</v>
      </c>
      <c r="AK378" s="2" t="s">
        <v>50</v>
      </c>
      <c r="AL378" s="2" t="s">
        <v>51</v>
      </c>
      <c r="AM378" s="2" t="s">
        <v>52</v>
      </c>
      <c r="AN378" s="2" t="s">
        <v>53</v>
      </c>
      <c r="AO378" s="2" t="s">
        <v>54</v>
      </c>
    </row>
    <row r="379" spans="1:41" x14ac:dyDescent="0.2">
      <c r="A379" s="7" t="s">
        <v>1334</v>
      </c>
      <c r="B379" s="3" t="s">
        <v>1345</v>
      </c>
      <c r="C379" s="14">
        <v>45655</v>
      </c>
      <c r="D379" s="3" t="s">
        <v>36</v>
      </c>
      <c r="E379" s="3" t="s">
        <v>37</v>
      </c>
      <c r="F379" s="3" t="s">
        <v>219</v>
      </c>
      <c r="G379" s="3" t="s">
        <v>115</v>
      </c>
      <c r="H379" s="14">
        <v>31495</v>
      </c>
      <c r="I379" s="3">
        <v>39</v>
      </c>
      <c r="J379" s="3" t="str" cm="1">
        <f t="array" ref="J37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79" s="3" t="s">
        <v>1572</v>
      </c>
      <c r="L379" s="3" t="s">
        <v>140</v>
      </c>
      <c r="M379" s="3" t="s">
        <v>141</v>
      </c>
      <c r="N379" s="3" t="s">
        <v>44</v>
      </c>
      <c r="O379" s="3" t="s">
        <v>1574</v>
      </c>
      <c r="P379" s="3" t="s">
        <v>82</v>
      </c>
      <c r="Q379" s="3" t="str">
        <f>_xlfn.XLOOKUP(EHR[[#This Row],[Primary_ICD11_Code]],'03_ICD11_Reference'!A:A,'03_ICD11_Reference'!D:D,,0)</f>
        <v>Renal</v>
      </c>
      <c r="R379" s="3" t="s">
        <v>83</v>
      </c>
      <c r="S379" s="3" t="s">
        <v>69</v>
      </c>
      <c r="T379" s="3" t="s">
        <v>1346</v>
      </c>
      <c r="U379" s="3">
        <v>2</v>
      </c>
      <c r="V379" s="3" t="str">
        <f>_xlfn.XLOOKUP(EHR[[#This Row],[Encounter_ID]],'02_Lab_Results'!B:B,'02_Lab_Results'!D:D,,0)</f>
        <v>13457-7</v>
      </c>
      <c r="W379" s="3" t="str">
        <f>_xlfn.XLOOKUP(EHR[[#This Row],[LOINC Code]],'04_LOINC_Reference'!A:A,'04_LOINC_Reference'!F:F,,0)</f>
        <v>Biochemistry</v>
      </c>
      <c r="X379" s="3" t="str">
        <f>_xlfn.XLOOKUP(EHR[[#This Row],[LOINC Code]],'02_Lab_Results'!D:D,'02_Lab_Results'!E:E,,0)</f>
        <v>LDL cholesterol</v>
      </c>
      <c r="Y379" s="3" t="str">
        <f>_xlfn.XLOOKUP(EHR[[#This Row],[LOINC Code]],'02_Lab_Results'!D:D,'02_Lab_Results'!J:J,,0)</f>
        <v>High</v>
      </c>
      <c r="Z379" s="3" t="str" cm="1">
        <f t="array" ref="Z379">_xlfn.XLOOKUP(1,(B379=B$2:B$500)*(V$2:V$500="4548-4"),Y$2:Y$500,"Not Tested")</f>
        <v>Not Tested</v>
      </c>
      <c r="AA379" s="3">
        <v>130</v>
      </c>
      <c r="AB379" s="3">
        <v>80</v>
      </c>
      <c r="AC379" s="3" t="str">
        <f>IF(AND(EHR[[#This Row],[BP_Systolic_mmHg]]&lt;140,EHR[[#This Row],[BP_Diastolic_mmHg]]&lt;90),"Controlled",IF(OR(EHR[[#This Row],[BP_Systolic_mmHg]]="Not Recorded",EHR[[#This Row],[BP_Diastolic_mmHg]]="Not Recorded"),"No Reading","Uncontrolled"))</f>
        <v>Controlled</v>
      </c>
      <c r="AD379" s="3" t="str">
        <f>_xlfn.CONCAT(EHR[[#This Row],[BP_Systolic_mmHg]],"/",EHR[[#This Row],[BP_Diastolic_mmHg]])</f>
        <v>130/80</v>
      </c>
      <c r="AE379" s="3">
        <v>121</v>
      </c>
      <c r="AF379" s="3">
        <v>22</v>
      </c>
      <c r="AG379" s="3">
        <v>37.200000000000003</v>
      </c>
      <c r="AH379" s="3">
        <v>31</v>
      </c>
      <c r="AI379" s="3" t="str">
        <f>IF(EHR[[#This Row],[BMI_kg_m2]]&gt;=30,"Obese","Non-Obese")</f>
        <v>Obese</v>
      </c>
      <c r="AJ379" s="3">
        <v>100</v>
      </c>
      <c r="AK379" s="3" t="s">
        <v>50</v>
      </c>
      <c r="AL379" s="3" t="s">
        <v>51</v>
      </c>
      <c r="AM379" s="3" t="s">
        <v>52</v>
      </c>
      <c r="AN379" s="3" t="s">
        <v>53</v>
      </c>
      <c r="AO379" s="3" t="s">
        <v>54</v>
      </c>
    </row>
    <row r="380" spans="1:41" x14ac:dyDescent="0.2">
      <c r="A380" s="6" t="s">
        <v>1347</v>
      </c>
      <c r="B380" s="2" t="s">
        <v>1348</v>
      </c>
      <c r="C380" s="13">
        <v>44975</v>
      </c>
      <c r="D380" s="2" t="s">
        <v>95</v>
      </c>
      <c r="E380" s="2" t="s">
        <v>37</v>
      </c>
      <c r="F380" s="2" t="s">
        <v>97</v>
      </c>
      <c r="G380" s="2" t="s">
        <v>138</v>
      </c>
      <c r="H380" s="13">
        <v>32066</v>
      </c>
      <c r="I380" s="2">
        <v>38</v>
      </c>
      <c r="J380" s="2" t="str" cm="1">
        <f t="array" ref="J38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80" s="2" t="s">
        <v>1572</v>
      </c>
      <c r="L380" s="2" t="s">
        <v>110</v>
      </c>
      <c r="M380" s="2" t="s">
        <v>141</v>
      </c>
      <c r="N380" s="2" t="s">
        <v>125</v>
      </c>
      <c r="O380" s="2" t="s">
        <v>182</v>
      </c>
      <c r="P380" s="2" t="s">
        <v>142</v>
      </c>
      <c r="Q380" s="2" t="str">
        <f>_xlfn.XLOOKUP(EHR[[#This Row],[Primary_ICD11_Code]],'03_ICD11_Reference'!A:A,'03_ICD11_Reference'!D:D,,0)</f>
        <v>Cardiovascular</v>
      </c>
      <c r="R380" s="2" t="s">
        <v>143</v>
      </c>
      <c r="S380" s="2" t="s">
        <v>48</v>
      </c>
      <c r="T380" s="2" t="s">
        <v>460</v>
      </c>
      <c r="U380" s="2">
        <v>1</v>
      </c>
      <c r="V380" s="2" t="str">
        <f>_xlfn.XLOOKUP(EHR[[#This Row],[Encounter_ID]],'02_Lab_Results'!B:B,'02_Lab_Results'!D:D,,0)</f>
        <v>14627-4</v>
      </c>
      <c r="W380" s="2" t="str">
        <f>_xlfn.XLOOKUP(EHR[[#This Row],[LOINC Code]],'04_LOINC_Reference'!A:A,'04_LOINC_Reference'!F:F,,0)</f>
        <v>Biochemistry</v>
      </c>
      <c r="X380" s="2" t="str">
        <f>_xlfn.XLOOKUP(EHR[[#This Row],[LOINC Code]],'02_Lab_Results'!D:D,'02_Lab_Results'!E:E,,0)</f>
        <v>eGFR (CKD-EPI)</v>
      </c>
      <c r="Y380" s="2" t="str">
        <f>_xlfn.XLOOKUP(EHR[[#This Row],[LOINC Code]],'02_Lab_Results'!D:D,'02_Lab_Results'!J:J,,0)</f>
        <v>High</v>
      </c>
      <c r="Z380" s="2" t="str" cm="1">
        <f t="array" ref="Z380">_xlfn.XLOOKUP(1,(B380=B$2:B$500)*(V$2:V$500="4548-4"),Y$2:Y$500,"Not Tested")</f>
        <v>Not Tested</v>
      </c>
      <c r="AA380" s="2">
        <v>185</v>
      </c>
      <c r="AB380" s="2">
        <v>77</v>
      </c>
      <c r="AC380" s="2" t="str">
        <f>IF(AND(EHR[[#This Row],[BP_Systolic_mmHg]]&lt;140,EHR[[#This Row],[BP_Diastolic_mmHg]]&lt;90),"Controlled",IF(OR(EHR[[#This Row],[BP_Systolic_mmHg]]="Not Recorded",EHR[[#This Row],[BP_Diastolic_mmHg]]="Not Recorded"),"No Reading","Uncontrolled"))</f>
        <v>Uncontrolled</v>
      </c>
      <c r="AD380" s="2" t="str">
        <f>_xlfn.CONCAT(EHR[[#This Row],[BP_Systolic_mmHg]],"/",EHR[[#This Row],[BP_Diastolic_mmHg]])</f>
        <v>185/77</v>
      </c>
      <c r="AE380" s="2">
        <v>70</v>
      </c>
      <c r="AF380" s="2">
        <v>23</v>
      </c>
      <c r="AG380" s="2">
        <v>36.6</v>
      </c>
      <c r="AH380" s="2">
        <v>42</v>
      </c>
      <c r="AI380" s="2" t="str">
        <f>IF(EHR[[#This Row],[BMI_kg_m2]]&gt;=30,"Obese","Non-Obese")</f>
        <v>Obese</v>
      </c>
      <c r="AJ380" s="2">
        <v>94</v>
      </c>
      <c r="AK380" s="2" t="s">
        <v>50</v>
      </c>
      <c r="AL380" s="2" t="s">
        <v>51</v>
      </c>
      <c r="AM380" s="2" t="s">
        <v>52</v>
      </c>
      <c r="AN380" s="2" t="s">
        <v>53</v>
      </c>
      <c r="AO380" s="2" t="s">
        <v>54</v>
      </c>
    </row>
    <row r="381" spans="1:41" x14ac:dyDescent="0.2">
      <c r="A381" s="7" t="s">
        <v>1347</v>
      </c>
      <c r="B381" s="3" t="s">
        <v>1351</v>
      </c>
      <c r="C381" s="14">
        <v>45502</v>
      </c>
      <c r="D381" s="3" t="s">
        <v>60</v>
      </c>
      <c r="E381" s="3" t="s">
        <v>96</v>
      </c>
      <c r="F381" s="3" t="s">
        <v>219</v>
      </c>
      <c r="G381" s="3" t="s">
        <v>63</v>
      </c>
      <c r="H381" s="14">
        <v>32066</v>
      </c>
      <c r="I381" s="3">
        <v>38</v>
      </c>
      <c r="J381" s="3" t="str" cm="1">
        <f t="array" ref="J38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Middle Age</v>
      </c>
      <c r="K381" s="3" t="s">
        <v>1572</v>
      </c>
      <c r="L381" s="3" t="s">
        <v>110</v>
      </c>
      <c r="M381" s="3" t="s">
        <v>141</v>
      </c>
      <c r="N381" s="3" t="s">
        <v>125</v>
      </c>
      <c r="O381" s="3" t="s">
        <v>182</v>
      </c>
      <c r="P381" s="3" t="s">
        <v>142</v>
      </c>
      <c r="Q381" s="3" t="str">
        <f>_xlfn.XLOOKUP(EHR[[#This Row],[Primary_ICD11_Code]],'03_ICD11_Reference'!A:A,'03_ICD11_Reference'!D:D,,0)</f>
        <v>Cardiovascular</v>
      </c>
      <c r="R381" s="3" t="s">
        <v>143</v>
      </c>
      <c r="S381" s="3" t="s">
        <v>48</v>
      </c>
      <c r="T381" s="3" t="s">
        <v>1353</v>
      </c>
      <c r="U381" s="3">
        <v>2</v>
      </c>
      <c r="V381" s="3" t="str">
        <f>_xlfn.XLOOKUP(EHR[[#This Row],[Encounter_ID]],'02_Lab_Results'!B:B,'02_Lab_Results'!D:D,,0)</f>
        <v>6690-2</v>
      </c>
      <c r="W381" s="3" t="str">
        <f>_xlfn.XLOOKUP(EHR[[#This Row],[LOINC Code]],'04_LOINC_Reference'!A:A,'04_LOINC_Reference'!F:F,,0)</f>
        <v>Biochemistry</v>
      </c>
      <c r="X381" s="3" t="str">
        <f>_xlfn.XLOOKUP(EHR[[#This Row],[LOINC Code]],'02_Lab_Results'!D:D,'02_Lab_Results'!E:E,,0)</f>
        <v>WBC count</v>
      </c>
      <c r="Y381" s="3" t="str">
        <f>_xlfn.XLOOKUP(EHR[[#This Row],[LOINC Code]],'02_Lab_Results'!D:D,'02_Lab_Results'!J:J,,0)</f>
        <v>Low</v>
      </c>
      <c r="Z381" s="3" t="str" cm="1">
        <f t="array" ref="Z381">_xlfn.XLOOKUP(1,(B381=B$2:B$500)*(V$2:V$500="4548-4"),Y$2:Y$500,"Not Tested")</f>
        <v>Not Tested</v>
      </c>
      <c r="AA381" s="3">
        <v>115</v>
      </c>
      <c r="AB381" s="3">
        <v>70</v>
      </c>
      <c r="AC381" s="3" t="str">
        <f>IF(AND(EHR[[#This Row],[BP_Systolic_mmHg]]&lt;140,EHR[[#This Row],[BP_Diastolic_mmHg]]&lt;90),"Controlled",IF(OR(EHR[[#This Row],[BP_Systolic_mmHg]]="Not Recorded",EHR[[#This Row],[BP_Diastolic_mmHg]]="Not Recorded"),"No Reading","Uncontrolled"))</f>
        <v>Controlled</v>
      </c>
      <c r="AD381" s="3" t="str">
        <f>_xlfn.CONCAT(EHR[[#This Row],[BP_Systolic_mmHg]],"/",EHR[[#This Row],[BP_Diastolic_mmHg]])</f>
        <v>115/70</v>
      </c>
      <c r="AE381" s="3">
        <v>76</v>
      </c>
      <c r="AF381" s="3">
        <v>18</v>
      </c>
      <c r="AG381" s="3">
        <v>36.1</v>
      </c>
      <c r="AH381" s="3">
        <v>42.5</v>
      </c>
      <c r="AI381" s="3" t="str">
        <f>IF(EHR[[#This Row],[BMI_kg_m2]]&gt;=30,"Obese","Non-Obese")</f>
        <v>Obese</v>
      </c>
      <c r="AJ381" s="3">
        <v>90</v>
      </c>
      <c r="AK381" s="3" t="s">
        <v>50</v>
      </c>
      <c r="AL381" s="3" t="s">
        <v>51</v>
      </c>
      <c r="AM381" s="3" t="s">
        <v>52</v>
      </c>
      <c r="AN381" s="3" t="s">
        <v>53</v>
      </c>
      <c r="AO381" s="3" t="s">
        <v>54</v>
      </c>
    </row>
    <row r="382" spans="1:41" x14ac:dyDescent="0.2">
      <c r="A382" s="6" t="s">
        <v>1354</v>
      </c>
      <c r="B382" s="2" t="s">
        <v>1355</v>
      </c>
      <c r="C382" s="13">
        <v>45226</v>
      </c>
      <c r="D382" s="2" t="s">
        <v>95</v>
      </c>
      <c r="E382" s="2" t="s">
        <v>96</v>
      </c>
      <c r="F382" s="2" t="s">
        <v>75</v>
      </c>
      <c r="G382" s="2" t="s">
        <v>138</v>
      </c>
      <c r="H382" s="13">
        <v>37503</v>
      </c>
      <c r="I382" s="2">
        <v>23</v>
      </c>
      <c r="J382" s="2" t="str" cm="1">
        <f t="array" ref="J38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82" s="2" t="s">
        <v>1572</v>
      </c>
      <c r="L382" s="2" t="s">
        <v>66</v>
      </c>
      <c r="M382" s="2" t="s">
        <v>45</v>
      </c>
      <c r="N382" s="2" t="s">
        <v>80</v>
      </c>
      <c r="O382" s="2" t="s">
        <v>81</v>
      </c>
      <c r="P382" s="2" t="s">
        <v>497</v>
      </c>
      <c r="Q382" s="2" t="str">
        <f>_xlfn.XLOOKUP(EHR[[#This Row],[Primary_ICD11_Code]],'03_ICD11_Reference'!A:A,'03_ICD11_Reference'!D:D,,0)</f>
        <v>Endocrine</v>
      </c>
      <c r="R382" s="2" t="s">
        <v>498</v>
      </c>
      <c r="S382" s="2" t="s">
        <v>69</v>
      </c>
      <c r="T382" s="2" t="s">
        <v>518</v>
      </c>
      <c r="U382" s="2">
        <v>1</v>
      </c>
      <c r="V382" s="2" t="str">
        <f>_xlfn.XLOOKUP(EHR[[#This Row],[Encounter_ID]],'02_Lab_Results'!B:B,'02_Lab_Results'!D:D,,0)</f>
        <v>2160-0</v>
      </c>
      <c r="W382" s="2" t="str">
        <f>_xlfn.XLOOKUP(EHR[[#This Row],[LOINC Code]],'04_LOINC_Reference'!A:A,'04_LOINC_Reference'!F:F,,0)</f>
        <v>Biochemistry</v>
      </c>
      <c r="X382" s="2" t="str">
        <f>_xlfn.XLOOKUP(EHR[[#This Row],[LOINC Code]],'02_Lab_Results'!D:D,'02_Lab_Results'!E:E,,0)</f>
        <v>Serum creatinine</v>
      </c>
      <c r="Y382" s="2" t="str">
        <f>_xlfn.XLOOKUP(EHR[[#This Row],[LOINC Code]],'02_Lab_Results'!D:D,'02_Lab_Results'!J:J,,0)</f>
        <v>Normal</v>
      </c>
      <c r="Z382" s="2" t="str" cm="1">
        <f t="array" ref="Z382">_xlfn.XLOOKUP(1,(B382=B$2:B$500)*(V$2:V$500="4548-4"),Y$2:Y$500,"Not Tested")</f>
        <v>Not Tested</v>
      </c>
      <c r="AA382" s="2">
        <v>159</v>
      </c>
      <c r="AB382" s="2">
        <v>101</v>
      </c>
      <c r="AC382" s="2" t="str">
        <f>IF(AND(EHR[[#This Row],[BP_Systolic_mmHg]]&lt;140,EHR[[#This Row],[BP_Diastolic_mmHg]]&lt;90),"Controlled",IF(OR(EHR[[#This Row],[BP_Systolic_mmHg]]="Not Recorded",EHR[[#This Row],[BP_Diastolic_mmHg]]="Not Recorded"),"No Reading","Uncontrolled"))</f>
        <v>Uncontrolled</v>
      </c>
      <c r="AD382" s="2" t="str">
        <f>_xlfn.CONCAT(EHR[[#This Row],[BP_Systolic_mmHg]],"/",EHR[[#This Row],[BP_Diastolic_mmHg]])</f>
        <v>159/101</v>
      </c>
      <c r="AE382" s="2">
        <v>87</v>
      </c>
      <c r="AF382" s="2">
        <v>26</v>
      </c>
      <c r="AG382" s="2">
        <v>36.5</v>
      </c>
      <c r="AH382" s="2">
        <v>27.9</v>
      </c>
      <c r="AI382" s="2" t="str">
        <f>IF(EHR[[#This Row],[BMI_kg_m2]]&gt;=30,"Obese","Non-Obese")</f>
        <v>Non-Obese</v>
      </c>
      <c r="AJ382" s="2">
        <v>98</v>
      </c>
      <c r="AK382" s="2" t="s">
        <v>50</v>
      </c>
      <c r="AL382" s="2" t="s">
        <v>51</v>
      </c>
      <c r="AM382" s="2" t="s">
        <v>52</v>
      </c>
      <c r="AN382" s="2" t="s">
        <v>53</v>
      </c>
      <c r="AO382" s="2" t="s">
        <v>54</v>
      </c>
    </row>
    <row r="383" spans="1:41" x14ac:dyDescent="0.2">
      <c r="A383" s="7" t="s">
        <v>1354</v>
      </c>
      <c r="B383" s="3" t="s">
        <v>1357</v>
      </c>
      <c r="C383" s="14">
        <v>45412</v>
      </c>
      <c r="D383" s="3" t="s">
        <v>103</v>
      </c>
      <c r="E383" s="3" t="s">
        <v>61</v>
      </c>
      <c r="F383" s="3" t="s">
        <v>132</v>
      </c>
      <c r="G383" s="3" t="s">
        <v>39</v>
      </c>
      <c r="H383" s="14">
        <v>37503</v>
      </c>
      <c r="I383" s="3">
        <v>23</v>
      </c>
      <c r="J383" s="3" t="str" cm="1">
        <f t="array" ref="J38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83" s="3" t="s">
        <v>1572</v>
      </c>
      <c r="L383" s="3" t="s">
        <v>78</v>
      </c>
      <c r="M383" s="3" t="s">
        <v>45</v>
      </c>
      <c r="N383" s="3" t="s">
        <v>80</v>
      </c>
      <c r="O383" s="3" t="s">
        <v>81</v>
      </c>
      <c r="P383" s="3" t="s">
        <v>497</v>
      </c>
      <c r="Q383" s="3" t="str">
        <f>_xlfn.XLOOKUP(EHR[[#This Row],[Primary_ICD11_Code]],'03_ICD11_Reference'!A:A,'03_ICD11_Reference'!D:D,,0)</f>
        <v>Endocrine</v>
      </c>
      <c r="R383" s="3" t="s">
        <v>498</v>
      </c>
      <c r="S383" s="3" t="s">
        <v>69</v>
      </c>
      <c r="T383" s="3" t="s">
        <v>668</v>
      </c>
      <c r="U383" s="3">
        <v>2</v>
      </c>
      <c r="V383" s="3" t="str">
        <f>_xlfn.XLOOKUP(EHR[[#This Row],[Encounter_ID]],'02_Lab_Results'!B:B,'02_Lab_Results'!D:D,,0)</f>
        <v>2093-3</v>
      </c>
      <c r="W383" s="3" t="str">
        <f>_xlfn.XLOOKUP(EHR[[#This Row],[LOINC Code]],'04_LOINC_Reference'!A:A,'04_LOINC_Reference'!F:F,,0)</f>
        <v>Biochemistry</v>
      </c>
      <c r="X383" s="3" t="str">
        <f>_xlfn.XLOOKUP(EHR[[#This Row],[LOINC Code]],'02_Lab_Results'!D:D,'02_Lab_Results'!E:E,,0)</f>
        <v>Total cholesterol</v>
      </c>
      <c r="Y383" s="3" t="str">
        <f>_xlfn.XLOOKUP(EHR[[#This Row],[LOINC Code]],'02_Lab_Results'!D:D,'02_Lab_Results'!J:J,,0)</f>
        <v>Normal</v>
      </c>
      <c r="Z383" s="3" t="str" cm="1">
        <f t="array" ref="Z383">_xlfn.XLOOKUP(1,(B383=B$2:B$500)*(V$2:V$500="4548-4"),Y$2:Y$500,"Not Tested")</f>
        <v>Not Tested</v>
      </c>
      <c r="AA383" s="3">
        <v>126</v>
      </c>
      <c r="AB383" s="3">
        <v>85</v>
      </c>
      <c r="AC383" s="3" t="str">
        <f>IF(AND(EHR[[#This Row],[BP_Systolic_mmHg]]&lt;140,EHR[[#This Row],[BP_Diastolic_mmHg]]&lt;90),"Controlled",IF(OR(EHR[[#This Row],[BP_Systolic_mmHg]]="Not Recorded",EHR[[#This Row],[BP_Diastolic_mmHg]]="Not Recorded"),"No Reading","Uncontrolled"))</f>
        <v>Controlled</v>
      </c>
      <c r="AD383" s="3" t="str">
        <f>_xlfn.CONCAT(EHR[[#This Row],[BP_Systolic_mmHg]],"/",EHR[[#This Row],[BP_Diastolic_mmHg]])</f>
        <v>126/85</v>
      </c>
      <c r="AE383" s="3">
        <v>56</v>
      </c>
      <c r="AF383" s="3">
        <v>18</v>
      </c>
      <c r="AG383" s="3">
        <v>38.4</v>
      </c>
      <c r="AH383" s="3">
        <v>27.8</v>
      </c>
      <c r="AI383" s="3" t="str">
        <f>IF(EHR[[#This Row],[BMI_kg_m2]]&gt;=30,"Obese","Non-Obese")</f>
        <v>Non-Obese</v>
      </c>
      <c r="AJ383" s="3">
        <v>96</v>
      </c>
      <c r="AK383" s="3" t="s">
        <v>50</v>
      </c>
      <c r="AL383" s="3" t="s">
        <v>51</v>
      </c>
      <c r="AM383" s="3" t="s">
        <v>52</v>
      </c>
      <c r="AN383" s="3" t="s">
        <v>53</v>
      </c>
      <c r="AO383" s="3" t="s">
        <v>54</v>
      </c>
    </row>
    <row r="384" spans="1:41" x14ac:dyDescent="0.2">
      <c r="A384" s="6" t="s">
        <v>1354</v>
      </c>
      <c r="B384" s="2" t="s">
        <v>1359</v>
      </c>
      <c r="C384" s="13">
        <v>45396</v>
      </c>
      <c r="D384" s="2" t="s">
        <v>36</v>
      </c>
      <c r="E384" s="2" t="s">
        <v>167</v>
      </c>
      <c r="F384" s="2" t="s">
        <v>132</v>
      </c>
      <c r="G384" s="2" t="s">
        <v>115</v>
      </c>
      <c r="H384" s="13">
        <v>37503</v>
      </c>
      <c r="I384" s="2">
        <v>23</v>
      </c>
      <c r="J384" s="2" t="str" cm="1">
        <f t="array" ref="J38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84" s="2" t="s">
        <v>1572</v>
      </c>
      <c r="L384" s="2" t="s">
        <v>78</v>
      </c>
      <c r="M384" s="2" t="s">
        <v>45</v>
      </c>
      <c r="N384" s="2" t="s">
        <v>80</v>
      </c>
      <c r="O384" s="2" t="s">
        <v>81</v>
      </c>
      <c r="P384" s="2" t="s">
        <v>497</v>
      </c>
      <c r="Q384" s="2" t="str">
        <f>_xlfn.XLOOKUP(EHR[[#This Row],[Primary_ICD11_Code]],'03_ICD11_Reference'!A:A,'03_ICD11_Reference'!D:D,,0)</f>
        <v>Endocrine</v>
      </c>
      <c r="R384" s="2" t="s">
        <v>498</v>
      </c>
      <c r="S384" s="2" t="s">
        <v>69</v>
      </c>
      <c r="T384" s="2" t="s">
        <v>176</v>
      </c>
      <c r="U384" s="2">
        <v>1</v>
      </c>
      <c r="V384" s="2" t="str">
        <f>_xlfn.XLOOKUP(EHR[[#This Row],[Encounter_ID]],'02_Lab_Results'!B:B,'02_Lab_Results'!D:D,,0)</f>
        <v>2160-0</v>
      </c>
      <c r="W384" s="2" t="str">
        <f>_xlfn.XLOOKUP(EHR[[#This Row],[LOINC Code]],'04_LOINC_Reference'!A:A,'04_LOINC_Reference'!F:F,,0)</f>
        <v>Biochemistry</v>
      </c>
      <c r="X384" s="2" t="str">
        <f>_xlfn.XLOOKUP(EHR[[#This Row],[LOINC Code]],'02_Lab_Results'!D:D,'02_Lab_Results'!E:E,,0)</f>
        <v>Serum creatinine</v>
      </c>
      <c r="Y384" s="2" t="str">
        <f>_xlfn.XLOOKUP(EHR[[#This Row],[LOINC Code]],'02_Lab_Results'!D:D,'02_Lab_Results'!J:J,,0)</f>
        <v>Normal</v>
      </c>
      <c r="Z384" s="2" t="str" cm="1">
        <f t="array" ref="Z384">_xlfn.XLOOKUP(1,(B384=B$2:B$500)*(V$2:V$500="4548-4"),Y$2:Y$500,"Not Tested")</f>
        <v>Not Tested</v>
      </c>
      <c r="AA384" s="2">
        <v>181</v>
      </c>
      <c r="AB384" s="2">
        <v>86</v>
      </c>
      <c r="AC384" s="2" t="str">
        <f>IF(AND(EHR[[#This Row],[BP_Systolic_mmHg]]&lt;140,EHR[[#This Row],[BP_Diastolic_mmHg]]&lt;90),"Controlled",IF(OR(EHR[[#This Row],[BP_Systolic_mmHg]]="Not Recorded",EHR[[#This Row],[BP_Diastolic_mmHg]]="Not Recorded"),"No Reading","Uncontrolled"))</f>
        <v>Uncontrolled</v>
      </c>
      <c r="AD384" s="2" t="str">
        <f>_xlfn.CONCAT(EHR[[#This Row],[BP_Systolic_mmHg]],"/",EHR[[#This Row],[BP_Diastolic_mmHg]])</f>
        <v>181/86</v>
      </c>
      <c r="AE384" s="2">
        <v>101</v>
      </c>
      <c r="AF384" s="2">
        <v>27</v>
      </c>
      <c r="AG384" s="2">
        <v>37.4</v>
      </c>
      <c r="AH384" s="2">
        <v>39.4</v>
      </c>
      <c r="AI384" s="2" t="str">
        <f>IF(EHR[[#This Row],[BMI_kg_m2]]&gt;=30,"Obese","Non-Obese")</f>
        <v>Obese</v>
      </c>
      <c r="AJ384" s="2">
        <v>96</v>
      </c>
      <c r="AK384" s="2" t="s">
        <v>50</v>
      </c>
      <c r="AL384" s="2" t="s">
        <v>51</v>
      </c>
      <c r="AM384" s="2" t="s">
        <v>52</v>
      </c>
      <c r="AN384" s="2" t="s">
        <v>53</v>
      </c>
      <c r="AO384" s="2" t="s">
        <v>54</v>
      </c>
    </row>
    <row r="385" spans="1:41" x14ac:dyDescent="0.2">
      <c r="A385" s="7" t="s">
        <v>1354</v>
      </c>
      <c r="B385" s="3" t="s">
        <v>1361</v>
      </c>
      <c r="C385" s="14">
        <v>44989</v>
      </c>
      <c r="D385" s="3" t="s">
        <v>36</v>
      </c>
      <c r="E385" s="3" t="s">
        <v>167</v>
      </c>
      <c r="F385" s="3" t="s">
        <v>109</v>
      </c>
      <c r="G385" s="3" t="s">
        <v>123</v>
      </c>
      <c r="H385" s="14">
        <v>37503</v>
      </c>
      <c r="I385" s="3">
        <v>23</v>
      </c>
      <c r="J385" s="3" t="str" cm="1">
        <f t="array" ref="J38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85" s="3" t="s">
        <v>1572</v>
      </c>
      <c r="L385" s="3" t="s">
        <v>66</v>
      </c>
      <c r="M385" s="3" t="s">
        <v>45</v>
      </c>
      <c r="N385" s="3" t="s">
        <v>80</v>
      </c>
      <c r="O385" s="3" t="s">
        <v>81</v>
      </c>
      <c r="P385" s="3" t="s">
        <v>497</v>
      </c>
      <c r="Q385" s="3" t="str">
        <f>_xlfn.XLOOKUP(EHR[[#This Row],[Primary_ICD11_Code]],'03_ICD11_Reference'!A:A,'03_ICD11_Reference'!D:D,,0)</f>
        <v>Endocrine</v>
      </c>
      <c r="R385" s="3" t="s">
        <v>498</v>
      </c>
      <c r="S385" s="3" t="s">
        <v>69</v>
      </c>
      <c r="T385" s="3" t="s">
        <v>1363</v>
      </c>
      <c r="U385" s="3">
        <v>3</v>
      </c>
      <c r="V385" s="3" t="str">
        <f>_xlfn.XLOOKUP(EHR[[#This Row],[Encounter_ID]],'02_Lab_Results'!B:B,'02_Lab_Results'!D:D,,0)</f>
        <v>718-7</v>
      </c>
      <c r="W385" s="3" t="str">
        <f>_xlfn.XLOOKUP(EHR[[#This Row],[LOINC Code]],'04_LOINC_Reference'!A:A,'04_LOINC_Reference'!F:F,,0)</f>
        <v>Biochemistry</v>
      </c>
      <c r="X385" s="3" t="str">
        <f>_xlfn.XLOOKUP(EHR[[#This Row],[LOINC Code]],'02_Lab_Results'!D:D,'02_Lab_Results'!E:E,,0)</f>
        <v>Haemoglobin</v>
      </c>
      <c r="Y385" s="3" t="str">
        <f>_xlfn.XLOOKUP(EHR[[#This Row],[LOINC Code]],'02_Lab_Results'!D:D,'02_Lab_Results'!J:J,,0)</f>
        <v>Normal</v>
      </c>
      <c r="Z385" s="3" t="str" cm="1">
        <f t="array" ref="Z385">_xlfn.XLOOKUP(1,(B385=B$2:B$500)*(V$2:V$500="4548-4"),Y$2:Y$500,"Not Tested")</f>
        <v>Not Tested</v>
      </c>
      <c r="AA385" s="3">
        <v>130</v>
      </c>
      <c r="AB385" s="3">
        <v>57</v>
      </c>
      <c r="AC385" s="3" t="str">
        <f>IF(AND(EHR[[#This Row],[BP_Systolic_mmHg]]&lt;140,EHR[[#This Row],[BP_Diastolic_mmHg]]&lt;90),"Controlled",IF(OR(EHR[[#This Row],[BP_Systolic_mmHg]]="Not Recorded",EHR[[#This Row],[BP_Diastolic_mmHg]]="Not Recorded"),"No Reading","Uncontrolled"))</f>
        <v>Controlled</v>
      </c>
      <c r="AD385" s="3" t="str">
        <f>_xlfn.CONCAT(EHR[[#This Row],[BP_Systolic_mmHg]],"/",EHR[[#This Row],[BP_Diastolic_mmHg]])</f>
        <v>130/57</v>
      </c>
      <c r="AE385" s="3">
        <v>119</v>
      </c>
      <c r="AF385" s="3">
        <v>14</v>
      </c>
      <c r="AG385" s="3">
        <v>37.799999999999997</v>
      </c>
      <c r="AH385" s="3">
        <v>45.4</v>
      </c>
      <c r="AI385" s="3" t="str">
        <f>IF(EHR[[#This Row],[BMI_kg_m2]]&gt;=30,"Obese","Non-Obese")</f>
        <v>Obese</v>
      </c>
      <c r="AJ385" s="3">
        <v>100</v>
      </c>
      <c r="AK385" s="3" t="s">
        <v>50</v>
      </c>
      <c r="AL385" s="3" t="s">
        <v>51</v>
      </c>
      <c r="AM385" s="3" t="s">
        <v>52</v>
      </c>
      <c r="AN385" s="3" t="s">
        <v>53</v>
      </c>
      <c r="AO385" s="3" t="s">
        <v>54</v>
      </c>
    </row>
    <row r="386" spans="1:41" x14ac:dyDescent="0.2">
      <c r="A386" s="6" t="s">
        <v>1354</v>
      </c>
      <c r="B386" s="2" t="s">
        <v>1364</v>
      </c>
      <c r="C386" s="13">
        <v>45213</v>
      </c>
      <c r="D386" s="2" t="s">
        <v>60</v>
      </c>
      <c r="E386" s="2" t="s">
        <v>37</v>
      </c>
      <c r="F386" s="2" t="s">
        <v>148</v>
      </c>
      <c r="G386" s="2" t="s">
        <v>76</v>
      </c>
      <c r="H386" s="13">
        <v>37503</v>
      </c>
      <c r="I386" s="2">
        <v>23</v>
      </c>
      <c r="J386" s="2" t="str" cm="1">
        <f t="array" ref="J38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86" s="2" t="s">
        <v>1572</v>
      </c>
      <c r="L386" s="2" t="s">
        <v>78</v>
      </c>
      <c r="M386" s="2" t="s">
        <v>45</v>
      </c>
      <c r="N386" s="2" t="s">
        <v>80</v>
      </c>
      <c r="O386" s="2" t="s">
        <v>81</v>
      </c>
      <c r="P386" s="2" t="s">
        <v>497</v>
      </c>
      <c r="Q386" s="2" t="str">
        <f>_xlfn.XLOOKUP(EHR[[#This Row],[Primary_ICD11_Code]],'03_ICD11_Reference'!A:A,'03_ICD11_Reference'!D:D,,0)</f>
        <v>Endocrine</v>
      </c>
      <c r="R386" s="2" t="s">
        <v>498</v>
      </c>
      <c r="S386" s="2" t="s">
        <v>69</v>
      </c>
      <c r="T386" s="2" t="s">
        <v>1366</v>
      </c>
      <c r="U386" s="2">
        <v>4</v>
      </c>
      <c r="V386" s="2" t="str">
        <f>_xlfn.XLOOKUP(EHR[[#This Row],[Encounter_ID]],'02_Lab_Results'!B:B,'02_Lab_Results'!D:D,,0)</f>
        <v>6768-6</v>
      </c>
      <c r="W386" s="2" t="str">
        <f>_xlfn.XLOOKUP(EHR[[#This Row],[LOINC Code]],'04_LOINC_Reference'!A:A,'04_LOINC_Reference'!F:F,,0)</f>
        <v>Biochemistry</v>
      </c>
      <c r="X386" s="2" t="str">
        <f>_xlfn.XLOOKUP(EHR[[#This Row],[LOINC Code]],'02_Lab_Results'!D:D,'02_Lab_Results'!E:E,,0)</f>
        <v>ALP</v>
      </c>
      <c r="Y386" s="2" t="str">
        <f>_xlfn.XLOOKUP(EHR[[#This Row],[LOINC Code]],'02_Lab_Results'!D:D,'02_Lab_Results'!J:J,,0)</f>
        <v>High</v>
      </c>
      <c r="Z386" s="2" t="str" cm="1">
        <f t="array" ref="Z386">_xlfn.XLOOKUP(1,(B386=B$2:B$500)*(V$2:V$500="4548-4"),Y$2:Y$500,"Not Tested")</f>
        <v>Not Tested</v>
      </c>
      <c r="AA386" s="2">
        <v>176</v>
      </c>
      <c r="AB386" s="2">
        <v>92</v>
      </c>
      <c r="AC386" s="2" t="str">
        <f>IF(AND(EHR[[#This Row],[BP_Systolic_mmHg]]&lt;140,EHR[[#This Row],[BP_Diastolic_mmHg]]&lt;90),"Controlled",IF(OR(EHR[[#This Row],[BP_Systolic_mmHg]]="Not Recorded",EHR[[#This Row],[BP_Diastolic_mmHg]]="Not Recorded"),"No Reading","Uncontrolled"))</f>
        <v>Uncontrolled</v>
      </c>
      <c r="AD386" s="2" t="str">
        <f>_xlfn.CONCAT(EHR[[#This Row],[BP_Systolic_mmHg]],"/",EHR[[#This Row],[BP_Diastolic_mmHg]])</f>
        <v>176/92</v>
      </c>
      <c r="AE386" s="2">
        <v>61</v>
      </c>
      <c r="AF386" s="2">
        <v>18</v>
      </c>
      <c r="AG386" s="2">
        <v>38.1</v>
      </c>
      <c r="AH386" s="2">
        <v>42.8</v>
      </c>
      <c r="AI386" s="2" t="str">
        <f>IF(EHR[[#This Row],[BMI_kg_m2]]&gt;=30,"Obese","Non-Obese")</f>
        <v>Obese</v>
      </c>
      <c r="AJ386" s="2">
        <v>95</v>
      </c>
      <c r="AK386" s="2" t="s">
        <v>50</v>
      </c>
      <c r="AL386" s="2" t="s">
        <v>51</v>
      </c>
      <c r="AM386" s="2" t="s">
        <v>52</v>
      </c>
      <c r="AN386" s="2" t="s">
        <v>53</v>
      </c>
      <c r="AO386" s="2" t="s">
        <v>54</v>
      </c>
    </row>
    <row r="387" spans="1:41" x14ac:dyDescent="0.2">
      <c r="A387" s="7" t="s">
        <v>1354</v>
      </c>
      <c r="B387" s="3" t="s">
        <v>1367</v>
      </c>
      <c r="C387" s="14">
        <v>45669</v>
      </c>
      <c r="D387" s="3" t="s">
        <v>88</v>
      </c>
      <c r="E387" s="3" t="s">
        <v>89</v>
      </c>
      <c r="F387" s="3" t="s">
        <v>62</v>
      </c>
      <c r="G387" s="3" t="s">
        <v>138</v>
      </c>
      <c r="H387" s="14">
        <v>37503</v>
      </c>
      <c r="I387" s="3">
        <v>23</v>
      </c>
      <c r="J387" s="3" t="str" cm="1">
        <f t="array" ref="J38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87" s="3" t="s">
        <v>1572</v>
      </c>
      <c r="L387" s="3" t="s">
        <v>66</v>
      </c>
      <c r="M387" s="3" t="s">
        <v>45</v>
      </c>
      <c r="N387" s="3" t="s">
        <v>80</v>
      </c>
      <c r="O387" s="3" t="s">
        <v>81</v>
      </c>
      <c r="P387" s="3" t="s">
        <v>497</v>
      </c>
      <c r="Q387" s="3" t="str">
        <f>_xlfn.XLOOKUP(EHR[[#This Row],[Primary_ICD11_Code]],'03_ICD11_Reference'!A:A,'03_ICD11_Reference'!D:D,,0)</f>
        <v>Endocrine</v>
      </c>
      <c r="R387" s="3" t="s">
        <v>498</v>
      </c>
      <c r="S387" s="3" t="s">
        <v>69</v>
      </c>
      <c r="T387" s="3" t="s">
        <v>1369</v>
      </c>
      <c r="U387" s="3">
        <v>3</v>
      </c>
      <c r="V387" s="3" t="str">
        <f>_xlfn.XLOOKUP(EHR[[#This Row],[Encounter_ID]],'02_Lab_Results'!B:B,'02_Lab_Results'!D:D,,0)</f>
        <v>17861-6</v>
      </c>
      <c r="W387" s="3" t="str">
        <f>_xlfn.XLOOKUP(EHR[[#This Row],[LOINC Code]],'04_LOINC_Reference'!A:A,'04_LOINC_Reference'!F:F,,0)</f>
        <v>Biochemistry</v>
      </c>
      <c r="X387" s="3" t="str">
        <f>_xlfn.XLOOKUP(EHR[[#This Row],[LOINC Code]],'02_Lab_Results'!D:D,'02_Lab_Results'!E:E,,0)</f>
        <v>Serum calcium</v>
      </c>
      <c r="Y387" s="3" t="str">
        <f>_xlfn.XLOOKUP(EHR[[#This Row],[LOINC Code]],'02_Lab_Results'!D:D,'02_Lab_Results'!J:J,,0)</f>
        <v>High</v>
      </c>
      <c r="Z387" s="3" t="str" cm="1">
        <f t="array" ref="Z387">_xlfn.XLOOKUP(1,(B387=B$2:B$500)*(V$2:V$500="4548-4"),Y$2:Y$500,"Not Tested")</f>
        <v>Not Tested</v>
      </c>
      <c r="AA387" s="3">
        <v>160</v>
      </c>
      <c r="AB387" s="3">
        <v>108</v>
      </c>
      <c r="AC387" s="3" t="str">
        <f>IF(AND(EHR[[#This Row],[BP_Systolic_mmHg]]&lt;140,EHR[[#This Row],[BP_Diastolic_mmHg]]&lt;90),"Controlled",IF(OR(EHR[[#This Row],[BP_Systolic_mmHg]]="Not Recorded",EHR[[#This Row],[BP_Diastolic_mmHg]]="Not Recorded"),"No Reading","Uncontrolled"))</f>
        <v>Uncontrolled</v>
      </c>
      <c r="AD387" s="3" t="str">
        <f>_xlfn.CONCAT(EHR[[#This Row],[BP_Systolic_mmHg]],"/",EHR[[#This Row],[BP_Diastolic_mmHg]])</f>
        <v>160/108</v>
      </c>
      <c r="AE387" s="3">
        <v>89</v>
      </c>
      <c r="AF387" s="3">
        <v>21</v>
      </c>
      <c r="AG387" s="3">
        <v>36.700000000000003</v>
      </c>
      <c r="AH387" s="3">
        <v>32.1</v>
      </c>
      <c r="AI387" s="3" t="str">
        <f>IF(EHR[[#This Row],[BMI_kg_m2]]&gt;=30,"Obese","Non-Obese")</f>
        <v>Obese</v>
      </c>
      <c r="AJ387" s="3">
        <v>91</v>
      </c>
      <c r="AK387" s="3" t="s">
        <v>50</v>
      </c>
      <c r="AL387" s="3" t="s">
        <v>51</v>
      </c>
      <c r="AM387" s="3" t="s">
        <v>52</v>
      </c>
      <c r="AN387" s="3" t="s">
        <v>53</v>
      </c>
      <c r="AO387" s="3" t="s">
        <v>54</v>
      </c>
    </row>
    <row r="388" spans="1:41" x14ac:dyDescent="0.2">
      <c r="A388" s="6" t="s">
        <v>1370</v>
      </c>
      <c r="B388" s="2" t="s">
        <v>1371</v>
      </c>
      <c r="C388" s="15">
        <f>EHR[[#This Row],[Patient_DOB]]+(EHR[[#This Row],[Age_at_Encounter]]*365)</f>
        <v>45886</v>
      </c>
      <c r="D388" s="2" t="s">
        <v>36</v>
      </c>
      <c r="E388" s="2" t="s">
        <v>89</v>
      </c>
      <c r="F388" s="2" t="s">
        <v>38</v>
      </c>
      <c r="G388" s="2" t="s">
        <v>39</v>
      </c>
      <c r="H388" s="13">
        <v>19606</v>
      </c>
      <c r="I388" s="4">
        <v>72</v>
      </c>
      <c r="J388" s="4" t="str" cm="1">
        <f t="array" ref="J38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88" s="2" t="s">
        <v>1573</v>
      </c>
      <c r="L388" s="2" t="s">
        <v>90</v>
      </c>
      <c r="M388" s="2" t="s">
        <v>79</v>
      </c>
      <c r="N388" s="2" t="s">
        <v>125</v>
      </c>
      <c r="O388" s="2" t="s">
        <v>45</v>
      </c>
      <c r="P388" s="2" t="s">
        <v>315</v>
      </c>
      <c r="Q388" s="2" t="str">
        <f>_xlfn.XLOOKUP(EHR[[#This Row],[Primary_ICD11_Code]],'03_ICD11_Reference'!A:A,'03_ICD11_Reference'!D:D,,0)</f>
        <v>Endocrine</v>
      </c>
      <c r="R388" s="2" t="s">
        <v>316</v>
      </c>
      <c r="S388" s="2" t="s">
        <v>69</v>
      </c>
      <c r="T388" s="2" t="s">
        <v>1373</v>
      </c>
      <c r="U388" s="2">
        <v>2</v>
      </c>
      <c r="V388" s="2" t="str">
        <f>_xlfn.XLOOKUP(EHR[[#This Row],[Encounter_ID]],'02_Lab_Results'!B:B,'02_Lab_Results'!D:D,,0)</f>
        <v>6768-6</v>
      </c>
      <c r="W388" s="2" t="str">
        <f>_xlfn.XLOOKUP(EHR[[#This Row],[LOINC Code]],'04_LOINC_Reference'!A:A,'04_LOINC_Reference'!F:F,,0)</f>
        <v>Biochemistry</v>
      </c>
      <c r="X388" s="2" t="str">
        <f>_xlfn.XLOOKUP(EHR[[#This Row],[LOINC Code]],'02_Lab_Results'!D:D,'02_Lab_Results'!E:E,,0)</f>
        <v>ALP</v>
      </c>
      <c r="Y388" s="2" t="str">
        <f>_xlfn.XLOOKUP(EHR[[#This Row],[LOINC Code]],'02_Lab_Results'!D:D,'02_Lab_Results'!J:J,,0)</f>
        <v>High</v>
      </c>
      <c r="Z388" s="2" t="str" cm="1">
        <f t="array" ref="Z388">_xlfn.XLOOKUP(1,(B388=B$2:B$500)*(V$2:V$500="4548-4"),Y$2:Y$500,"Not Tested")</f>
        <v>Not Tested</v>
      </c>
      <c r="AA388" s="4">
        <v>180</v>
      </c>
      <c r="AB388" s="4" t="s">
        <v>1570</v>
      </c>
      <c r="AC388" s="4" t="str">
        <f>IF(AND(EHR[[#This Row],[BP_Systolic_mmHg]]&lt;140,EHR[[#This Row],[BP_Diastolic_mmHg]]&lt;90),"Controlled",IF(OR(EHR[[#This Row],[BP_Systolic_mmHg]]="Not Recorded",EHR[[#This Row],[BP_Diastolic_mmHg]]="Not Recorded"),"No Reading","Uncontrolled"))</f>
        <v>No Reading</v>
      </c>
      <c r="AD388" s="4" t="str">
        <f>_xlfn.CONCAT(EHR[[#This Row],[BP_Systolic_mmHg]],"/",EHR[[#This Row],[BP_Diastolic_mmHg]])</f>
        <v>180/Not Recorded</v>
      </c>
      <c r="AE388" s="2">
        <v>93</v>
      </c>
      <c r="AF388" s="2">
        <v>12</v>
      </c>
      <c r="AG388" s="2">
        <v>37.1</v>
      </c>
      <c r="AH388" s="4">
        <v>24.2</v>
      </c>
      <c r="AI388" s="4" t="str">
        <f>IF(EHR[[#This Row],[BMI_kg_m2]]&gt;=30,"Obese","Non-Obese")</f>
        <v>Non-Obese</v>
      </c>
      <c r="AJ388" s="2">
        <v>97</v>
      </c>
      <c r="AK388" s="2" t="s">
        <v>50</v>
      </c>
      <c r="AL388" s="2" t="s">
        <v>51</v>
      </c>
      <c r="AM388" s="2" t="s">
        <v>52</v>
      </c>
      <c r="AN388" s="2" t="s">
        <v>53</v>
      </c>
      <c r="AO388" s="2" t="s">
        <v>54</v>
      </c>
    </row>
    <row r="389" spans="1:41" x14ac:dyDescent="0.2">
      <c r="A389" s="7" t="s">
        <v>1370</v>
      </c>
      <c r="B389" s="3" t="s">
        <v>1374</v>
      </c>
      <c r="C389" s="14">
        <v>45392</v>
      </c>
      <c r="D389" s="3" t="s">
        <v>88</v>
      </c>
      <c r="E389" s="3" t="s">
        <v>89</v>
      </c>
      <c r="F389" s="3" t="s">
        <v>148</v>
      </c>
      <c r="G389" s="3" t="s">
        <v>39</v>
      </c>
      <c r="H389" s="14">
        <v>19606</v>
      </c>
      <c r="I389" s="3">
        <v>72</v>
      </c>
      <c r="J389" s="3" t="str" cm="1">
        <f t="array" ref="J38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89" s="3" t="s">
        <v>1573</v>
      </c>
      <c r="L389" s="3" t="s">
        <v>66</v>
      </c>
      <c r="M389" s="3" t="s">
        <v>79</v>
      </c>
      <c r="N389" s="3" t="s">
        <v>125</v>
      </c>
      <c r="O389" s="3" t="s">
        <v>45</v>
      </c>
      <c r="P389" s="3" t="s">
        <v>315</v>
      </c>
      <c r="Q389" s="3" t="str">
        <f>_xlfn.XLOOKUP(EHR[[#This Row],[Primary_ICD11_Code]],'03_ICD11_Reference'!A:A,'03_ICD11_Reference'!D:D,,0)</f>
        <v>Endocrine</v>
      </c>
      <c r="R389" s="3" t="s">
        <v>316</v>
      </c>
      <c r="S389" s="3" t="s">
        <v>69</v>
      </c>
      <c r="T389" s="3" t="s">
        <v>1376</v>
      </c>
      <c r="U389" s="3">
        <v>4</v>
      </c>
      <c r="V389" s="3" t="str">
        <f>_xlfn.XLOOKUP(EHR[[#This Row],[Encounter_ID]],'02_Lab_Results'!B:B,'02_Lab_Results'!D:D,,0)</f>
        <v>4548-4</v>
      </c>
      <c r="W389" s="3" t="str">
        <f>_xlfn.XLOOKUP(EHR[[#This Row],[LOINC Code]],'04_LOINC_Reference'!A:A,'04_LOINC_Reference'!F:F,,0)</f>
        <v>Biochemistry</v>
      </c>
      <c r="X389" s="3" t="str">
        <f>_xlfn.XLOOKUP(EHR[[#This Row],[LOINC Code]],'02_Lab_Results'!D:D,'02_Lab_Results'!E:E,,0)</f>
        <v>HbA1c</v>
      </c>
      <c r="Y389" s="3" t="str">
        <f>_xlfn.XLOOKUP(EHR[[#This Row],[LOINC Code]],'02_Lab_Results'!D:D,'02_Lab_Results'!J:J,,0)</f>
        <v>High</v>
      </c>
      <c r="Z389" s="3" t="str" cm="1">
        <f t="array" ref="Z389">_xlfn.XLOOKUP(1,(B389=B$2:B$500)*(V$2:V$500="4548-4"),Y$2:Y$500,"Not Tested")</f>
        <v>High</v>
      </c>
      <c r="AA389" s="3" t="s">
        <v>1570</v>
      </c>
      <c r="AB389" s="3">
        <v>98</v>
      </c>
      <c r="AC389" s="3" t="str">
        <f>IF(AND(EHR[[#This Row],[BP_Systolic_mmHg]]&lt;140,EHR[[#This Row],[BP_Diastolic_mmHg]]&lt;90),"Controlled",IF(OR(EHR[[#This Row],[BP_Systolic_mmHg]]="Not Recorded",EHR[[#This Row],[BP_Diastolic_mmHg]]="Not Recorded"),"No Reading","Uncontrolled"))</f>
        <v>No Reading</v>
      </c>
      <c r="AD389" s="3" t="str">
        <f>_xlfn.CONCAT(EHR[[#This Row],[BP_Systolic_mmHg]],"/",EHR[[#This Row],[BP_Diastolic_mmHg]])</f>
        <v>Not Recorded/98</v>
      </c>
      <c r="AE389" s="3">
        <v>112</v>
      </c>
      <c r="AF389" s="3">
        <v>13</v>
      </c>
      <c r="AG389" s="3">
        <v>36.200000000000003</v>
      </c>
      <c r="AH389" s="3">
        <v>42.8</v>
      </c>
      <c r="AI389" s="3" t="str">
        <f>IF(EHR[[#This Row],[BMI_kg_m2]]&gt;=30,"Obese","Non-Obese")</f>
        <v>Obese</v>
      </c>
      <c r="AJ389" s="3">
        <v>93</v>
      </c>
      <c r="AK389" s="3" t="s">
        <v>50</v>
      </c>
      <c r="AL389" s="3" t="s">
        <v>51</v>
      </c>
      <c r="AM389" s="3" t="s">
        <v>52</v>
      </c>
      <c r="AN389" s="3" t="s">
        <v>53</v>
      </c>
      <c r="AO389" s="3" t="s">
        <v>54</v>
      </c>
    </row>
    <row r="390" spans="1:41" x14ac:dyDescent="0.2">
      <c r="A390" s="6" t="s">
        <v>1370</v>
      </c>
      <c r="B390" s="2" t="s">
        <v>1377</v>
      </c>
      <c r="C390" s="15">
        <v>45428</v>
      </c>
      <c r="D390" s="2" t="s">
        <v>95</v>
      </c>
      <c r="E390" s="2" t="s">
        <v>96</v>
      </c>
      <c r="F390" s="2" t="s">
        <v>75</v>
      </c>
      <c r="G390" s="2" t="s">
        <v>115</v>
      </c>
      <c r="H390" s="13">
        <v>19606</v>
      </c>
      <c r="I390" s="4">
        <v>72</v>
      </c>
      <c r="J390" s="4" t="str" cm="1">
        <f t="array" ref="J390">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90" s="2" t="s">
        <v>1573</v>
      </c>
      <c r="L390" s="2" t="s">
        <v>90</v>
      </c>
      <c r="M390" s="2" t="s">
        <v>79</v>
      </c>
      <c r="N390" s="2" t="s">
        <v>125</v>
      </c>
      <c r="O390" s="2" t="s">
        <v>45</v>
      </c>
      <c r="P390" s="2" t="s">
        <v>315</v>
      </c>
      <c r="Q390" s="2" t="str">
        <f>_xlfn.XLOOKUP(EHR[[#This Row],[Primary_ICD11_Code]],'03_ICD11_Reference'!A:A,'03_ICD11_Reference'!D:D,,0)</f>
        <v>Endocrine</v>
      </c>
      <c r="R390" s="2" t="s">
        <v>316</v>
      </c>
      <c r="S390" s="2" t="s">
        <v>69</v>
      </c>
      <c r="T390" s="2" t="s">
        <v>518</v>
      </c>
      <c r="U390" s="2">
        <v>1</v>
      </c>
      <c r="V390" s="2" t="str">
        <f>_xlfn.XLOOKUP(EHR[[#This Row],[Encounter_ID]],'02_Lab_Results'!B:B,'02_Lab_Results'!D:D,,0)</f>
        <v>2823-3</v>
      </c>
      <c r="W390" s="2" t="str">
        <f>_xlfn.XLOOKUP(EHR[[#This Row],[LOINC Code]],'04_LOINC_Reference'!A:A,'04_LOINC_Reference'!F:F,,0)</f>
        <v>Biochemistry</v>
      </c>
      <c r="X390" s="2" t="str">
        <f>_xlfn.XLOOKUP(EHR[[#This Row],[LOINC Code]],'02_Lab_Results'!D:D,'02_Lab_Results'!E:E,,0)</f>
        <v>Serum potassium</v>
      </c>
      <c r="Y390" s="2" t="str">
        <f>_xlfn.XLOOKUP(EHR[[#This Row],[LOINC Code]],'02_Lab_Results'!D:D,'02_Lab_Results'!J:J,,0)</f>
        <v>Normal</v>
      </c>
      <c r="Z390" s="2" t="str" cm="1">
        <f t="array" ref="Z390">_xlfn.XLOOKUP(1,(B390=B$2:B$500)*(V$2:V$500="4548-4"),Y$2:Y$500,"Not Tested")</f>
        <v>Not Tested</v>
      </c>
      <c r="AA390" s="4" t="s">
        <v>1570</v>
      </c>
      <c r="AB390" s="4">
        <v>80</v>
      </c>
      <c r="AC390" s="4" t="str">
        <f>IF(AND(EHR[[#This Row],[BP_Systolic_mmHg]]&lt;140,EHR[[#This Row],[BP_Diastolic_mmHg]]&lt;90),"Controlled",IF(OR(EHR[[#This Row],[BP_Systolic_mmHg]]="Not Recorded",EHR[[#This Row],[BP_Diastolic_mmHg]]="Not Recorded"),"No Reading","Uncontrolled"))</f>
        <v>No Reading</v>
      </c>
      <c r="AD390" s="4" t="str">
        <f>_xlfn.CONCAT(EHR[[#This Row],[BP_Systolic_mmHg]],"/",EHR[[#This Row],[BP_Diastolic_mmHg]])</f>
        <v>Not Recorded/80</v>
      </c>
      <c r="AE390" s="2">
        <v>62</v>
      </c>
      <c r="AF390" s="2">
        <v>20</v>
      </c>
      <c r="AG390" s="2">
        <v>37.6</v>
      </c>
      <c r="AH390" s="4" t="s">
        <v>1576</v>
      </c>
      <c r="AI390" s="4" t="str">
        <f>IF(EHR[[#This Row],[BMI_kg_m2]]&gt;=30,"Obese","Non-Obese")</f>
        <v>Obese</v>
      </c>
      <c r="AJ390" s="2">
        <v>100</v>
      </c>
      <c r="AK390" s="2" t="s">
        <v>50</v>
      </c>
      <c r="AL390" s="2" t="s">
        <v>51</v>
      </c>
      <c r="AM390" s="2" t="s">
        <v>52</v>
      </c>
      <c r="AN390" s="2" t="s">
        <v>53</v>
      </c>
      <c r="AO390" s="2" t="s">
        <v>54</v>
      </c>
    </row>
    <row r="391" spans="1:41" x14ac:dyDescent="0.2">
      <c r="A391" s="7" t="s">
        <v>1378</v>
      </c>
      <c r="B391" s="3" t="s">
        <v>1379</v>
      </c>
      <c r="C391" s="14">
        <v>44955</v>
      </c>
      <c r="D391" s="3" t="s">
        <v>60</v>
      </c>
      <c r="E391" s="3" t="s">
        <v>37</v>
      </c>
      <c r="F391" s="3" t="s">
        <v>132</v>
      </c>
      <c r="G391" s="3" t="s">
        <v>98</v>
      </c>
      <c r="H391" s="14">
        <v>37504</v>
      </c>
      <c r="I391" s="3">
        <v>23</v>
      </c>
      <c r="J391" s="3" t="str" cm="1">
        <f t="array" ref="J391">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91" s="3" t="s">
        <v>1573</v>
      </c>
      <c r="L391" s="3" t="s">
        <v>90</v>
      </c>
      <c r="M391" s="3" t="s">
        <v>79</v>
      </c>
      <c r="N391" s="3" t="s">
        <v>125</v>
      </c>
      <c r="O391" s="3" t="s">
        <v>81</v>
      </c>
      <c r="P391" s="3" t="s">
        <v>142</v>
      </c>
      <c r="Q391" s="3" t="str">
        <f>_xlfn.XLOOKUP(EHR[[#This Row],[Primary_ICD11_Code]],'03_ICD11_Reference'!A:A,'03_ICD11_Reference'!D:D,,0)</f>
        <v>Cardiovascular</v>
      </c>
      <c r="R391" s="3" t="s">
        <v>143</v>
      </c>
      <c r="S391" s="3" t="s">
        <v>48</v>
      </c>
      <c r="T391" s="3" t="s">
        <v>1382</v>
      </c>
      <c r="U391" s="3">
        <v>4</v>
      </c>
      <c r="V391" s="3" t="str">
        <f>_xlfn.XLOOKUP(EHR[[#This Row],[Encounter_ID]],'02_Lab_Results'!B:B,'02_Lab_Results'!D:D,,0)</f>
        <v>718-7</v>
      </c>
      <c r="W391" s="3" t="str">
        <f>_xlfn.XLOOKUP(EHR[[#This Row],[LOINC Code]],'04_LOINC_Reference'!A:A,'04_LOINC_Reference'!F:F,,0)</f>
        <v>Biochemistry</v>
      </c>
      <c r="X391" s="3" t="str">
        <f>_xlfn.XLOOKUP(EHR[[#This Row],[LOINC Code]],'02_Lab_Results'!D:D,'02_Lab_Results'!E:E,,0)</f>
        <v>Haemoglobin</v>
      </c>
      <c r="Y391" s="3" t="str">
        <f>_xlfn.XLOOKUP(EHR[[#This Row],[LOINC Code]],'02_Lab_Results'!D:D,'02_Lab_Results'!J:J,,0)</f>
        <v>Normal</v>
      </c>
      <c r="Z391" s="3" t="str" cm="1">
        <f t="array" ref="Z391">_xlfn.XLOOKUP(1,(B391=B$2:B$500)*(V$2:V$500="4548-4"),Y$2:Y$500,"Not Tested")</f>
        <v>Not Tested</v>
      </c>
      <c r="AA391" s="3">
        <v>166</v>
      </c>
      <c r="AB391" s="3">
        <v>64</v>
      </c>
      <c r="AC391" s="3" t="str">
        <f>IF(AND(EHR[[#This Row],[BP_Systolic_mmHg]]&lt;140,EHR[[#This Row],[BP_Diastolic_mmHg]]&lt;90),"Controlled",IF(OR(EHR[[#This Row],[BP_Systolic_mmHg]]="Not Recorded",EHR[[#This Row],[BP_Diastolic_mmHg]]="Not Recorded"),"No Reading","Uncontrolled"))</f>
        <v>Uncontrolled</v>
      </c>
      <c r="AD391" s="3" t="str">
        <f>_xlfn.CONCAT(EHR[[#This Row],[BP_Systolic_mmHg]],"/",EHR[[#This Row],[BP_Diastolic_mmHg]])</f>
        <v>166/64</v>
      </c>
      <c r="AE391" s="3">
        <v>94</v>
      </c>
      <c r="AF391" s="3">
        <v>13</v>
      </c>
      <c r="AG391" s="3">
        <v>38.9</v>
      </c>
      <c r="AH391" s="3">
        <v>42.8</v>
      </c>
      <c r="AI391" s="3" t="str">
        <f>IF(EHR[[#This Row],[BMI_kg_m2]]&gt;=30,"Obese","Non-Obese")</f>
        <v>Obese</v>
      </c>
      <c r="AJ391" s="3">
        <v>90</v>
      </c>
      <c r="AK391" s="3" t="s">
        <v>50</v>
      </c>
      <c r="AL391" s="3" t="s">
        <v>51</v>
      </c>
      <c r="AM391" s="3" t="s">
        <v>52</v>
      </c>
      <c r="AN391" s="3" t="s">
        <v>53</v>
      </c>
      <c r="AO391" s="3" t="s">
        <v>54</v>
      </c>
    </row>
    <row r="392" spans="1:41" x14ac:dyDescent="0.2">
      <c r="A392" s="6" t="s">
        <v>1378</v>
      </c>
      <c r="B392" s="2" t="s">
        <v>1383</v>
      </c>
      <c r="C392" s="13">
        <v>45244</v>
      </c>
      <c r="D392" s="2" t="s">
        <v>60</v>
      </c>
      <c r="E392" s="2" t="s">
        <v>89</v>
      </c>
      <c r="F392" s="2" t="s">
        <v>97</v>
      </c>
      <c r="G392" s="2" t="s">
        <v>39</v>
      </c>
      <c r="H392" s="13">
        <v>37504</v>
      </c>
      <c r="I392" s="2">
        <v>23</v>
      </c>
      <c r="J392" s="2" t="str" cm="1">
        <f t="array" ref="J392">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Young Adults</v>
      </c>
      <c r="K392" s="2" t="s">
        <v>1573</v>
      </c>
      <c r="L392" s="2" t="s">
        <v>78</v>
      </c>
      <c r="M392" s="2" t="s">
        <v>79</v>
      </c>
      <c r="N392" s="2" t="s">
        <v>125</v>
      </c>
      <c r="O392" s="2" t="s">
        <v>81</v>
      </c>
      <c r="P392" s="2" t="s">
        <v>142</v>
      </c>
      <c r="Q392" s="2" t="str">
        <f>_xlfn.XLOOKUP(EHR[[#This Row],[Primary_ICD11_Code]],'03_ICD11_Reference'!A:A,'03_ICD11_Reference'!D:D,,0)</f>
        <v>Cardiovascular</v>
      </c>
      <c r="R392" s="2" t="s">
        <v>143</v>
      </c>
      <c r="S392" s="2" t="s">
        <v>48</v>
      </c>
      <c r="T392" s="2" t="s">
        <v>1384</v>
      </c>
      <c r="U392" s="2">
        <v>4</v>
      </c>
      <c r="V392" s="2" t="str">
        <f>_xlfn.XLOOKUP(EHR[[#This Row],[Encounter_ID]],'02_Lab_Results'!B:B,'02_Lab_Results'!D:D,,0)</f>
        <v>13457-7</v>
      </c>
      <c r="W392" s="2" t="str">
        <f>_xlfn.XLOOKUP(EHR[[#This Row],[LOINC Code]],'04_LOINC_Reference'!A:A,'04_LOINC_Reference'!F:F,,0)</f>
        <v>Biochemistry</v>
      </c>
      <c r="X392" s="2" t="str">
        <f>_xlfn.XLOOKUP(EHR[[#This Row],[LOINC Code]],'02_Lab_Results'!D:D,'02_Lab_Results'!E:E,,0)</f>
        <v>LDL cholesterol</v>
      </c>
      <c r="Y392" s="2" t="str">
        <f>_xlfn.XLOOKUP(EHR[[#This Row],[LOINC Code]],'02_Lab_Results'!D:D,'02_Lab_Results'!J:J,,0)</f>
        <v>High</v>
      </c>
      <c r="Z392" s="2" t="str" cm="1">
        <f t="array" ref="Z392">_xlfn.XLOOKUP(1,(B392=B$2:B$500)*(V$2:V$500="4548-4"),Y$2:Y$500,"Not Tested")</f>
        <v>Not Tested</v>
      </c>
      <c r="AA392" s="2">
        <v>146</v>
      </c>
      <c r="AB392" s="2">
        <v>109</v>
      </c>
      <c r="AC392" s="2" t="str">
        <f>IF(AND(EHR[[#This Row],[BP_Systolic_mmHg]]&lt;140,EHR[[#This Row],[BP_Diastolic_mmHg]]&lt;90),"Controlled",IF(OR(EHR[[#This Row],[BP_Systolic_mmHg]]="Not Recorded",EHR[[#This Row],[BP_Diastolic_mmHg]]="Not Recorded"),"No Reading","Uncontrolled"))</f>
        <v>Uncontrolled</v>
      </c>
      <c r="AD392" s="2" t="str">
        <f>_xlfn.CONCAT(EHR[[#This Row],[BP_Systolic_mmHg]],"/",EHR[[#This Row],[BP_Diastolic_mmHg]])</f>
        <v>146/109</v>
      </c>
      <c r="AE392" s="2">
        <v>109</v>
      </c>
      <c r="AF392" s="2">
        <v>20</v>
      </c>
      <c r="AG392" s="2">
        <v>38.299999999999997</v>
      </c>
      <c r="AH392" s="2">
        <v>34.799999999999997</v>
      </c>
      <c r="AI392" s="2" t="str">
        <f>IF(EHR[[#This Row],[BMI_kg_m2]]&gt;=30,"Obese","Non-Obese")</f>
        <v>Obese</v>
      </c>
      <c r="AJ392" s="2">
        <v>97</v>
      </c>
      <c r="AK392" s="2" t="s">
        <v>50</v>
      </c>
      <c r="AL392" s="2" t="s">
        <v>51</v>
      </c>
      <c r="AM392" s="2" t="s">
        <v>52</v>
      </c>
      <c r="AN392" s="2" t="s">
        <v>53</v>
      </c>
      <c r="AO392" s="2" t="s">
        <v>54</v>
      </c>
    </row>
    <row r="393" spans="1:41" x14ac:dyDescent="0.2">
      <c r="A393" s="7" t="s">
        <v>1385</v>
      </c>
      <c r="B393" s="3" t="s">
        <v>1386</v>
      </c>
      <c r="C393" s="14">
        <v>45651</v>
      </c>
      <c r="D393" s="3" t="s">
        <v>88</v>
      </c>
      <c r="E393" s="3" t="s">
        <v>61</v>
      </c>
      <c r="F393" s="3" t="s">
        <v>219</v>
      </c>
      <c r="G393" s="3" t="s">
        <v>123</v>
      </c>
      <c r="H393" s="14">
        <v>20989</v>
      </c>
      <c r="I393" s="3">
        <v>68</v>
      </c>
      <c r="J393" s="3" t="str" cm="1">
        <f t="array" ref="J393">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93" s="3" t="s">
        <v>1572</v>
      </c>
      <c r="L393" s="3" t="s">
        <v>110</v>
      </c>
      <c r="M393" s="3" t="s">
        <v>141</v>
      </c>
      <c r="N393" s="3" t="s">
        <v>125</v>
      </c>
      <c r="O393" s="3" t="s">
        <v>45</v>
      </c>
      <c r="P393" s="3" t="s">
        <v>315</v>
      </c>
      <c r="Q393" s="3" t="str">
        <f>_xlfn.XLOOKUP(EHR[[#This Row],[Primary_ICD11_Code]],'03_ICD11_Reference'!A:A,'03_ICD11_Reference'!D:D,,0)</f>
        <v>Endocrine</v>
      </c>
      <c r="R393" s="3" t="s">
        <v>316</v>
      </c>
      <c r="S393" s="3" t="s">
        <v>69</v>
      </c>
      <c r="T393" s="3" t="s">
        <v>393</v>
      </c>
      <c r="U393" s="3">
        <v>1</v>
      </c>
      <c r="V393" s="3" t="str">
        <f>_xlfn.XLOOKUP(EHR[[#This Row],[Encounter_ID]],'02_Lab_Results'!B:B,'02_Lab_Results'!D:D,,0)</f>
        <v>2951-2</v>
      </c>
      <c r="W393" s="3" t="str">
        <f>_xlfn.XLOOKUP(EHR[[#This Row],[LOINC Code]],'04_LOINC_Reference'!A:A,'04_LOINC_Reference'!F:F,,0)</f>
        <v>Biochemistry</v>
      </c>
      <c r="X393" s="3" t="str">
        <f>_xlfn.XLOOKUP(EHR[[#This Row],[LOINC Code]],'02_Lab_Results'!D:D,'02_Lab_Results'!E:E,,0)</f>
        <v>Serum sodium</v>
      </c>
      <c r="Y393" s="3" t="str">
        <f>_xlfn.XLOOKUP(EHR[[#This Row],[LOINC Code]],'02_Lab_Results'!D:D,'02_Lab_Results'!J:J,,0)</f>
        <v>Low</v>
      </c>
      <c r="Z393" s="3" t="str" cm="1">
        <f t="array" ref="Z393">_xlfn.XLOOKUP(1,(B393=B$2:B$500)*(V$2:V$500="4548-4"),Y$2:Y$500,"Not Tested")</f>
        <v>Not Tested</v>
      </c>
      <c r="AA393" s="3">
        <v>97</v>
      </c>
      <c r="AB393" s="3">
        <v>93</v>
      </c>
      <c r="AC393" s="3" t="str">
        <f>IF(AND(EHR[[#This Row],[BP_Systolic_mmHg]]&lt;140,EHR[[#This Row],[BP_Diastolic_mmHg]]&lt;90),"Controlled",IF(OR(EHR[[#This Row],[BP_Systolic_mmHg]]="Not Recorded",EHR[[#This Row],[BP_Diastolic_mmHg]]="Not Recorded"),"No Reading","Uncontrolled"))</f>
        <v>Uncontrolled</v>
      </c>
      <c r="AD393" s="3" t="str">
        <f>_xlfn.CONCAT(EHR[[#This Row],[BP_Systolic_mmHg]],"/",EHR[[#This Row],[BP_Diastolic_mmHg]])</f>
        <v>97/93</v>
      </c>
      <c r="AE393" s="3">
        <v>108</v>
      </c>
      <c r="AF393" s="3">
        <v>17</v>
      </c>
      <c r="AG393" s="3">
        <v>38.1</v>
      </c>
      <c r="AH393" s="3">
        <v>35.9</v>
      </c>
      <c r="AI393" s="3" t="str">
        <f>IF(EHR[[#This Row],[BMI_kg_m2]]&gt;=30,"Obese","Non-Obese")</f>
        <v>Obese</v>
      </c>
      <c r="AJ393" s="3">
        <v>88</v>
      </c>
      <c r="AK393" s="3" t="s">
        <v>50</v>
      </c>
      <c r="AL393" s="3" t="s">
        <v>51</v>
      </c>
      <c r="AM393" s="3" t="s">
        <v>52</v>
      </c>
      <c r="AN393" s="3" t="s">
        <v>53</v>
      </c>
      <c r="AO393" s="3" t="s">
        <v>54</v>
      </c>
    </row>
    <row r="394" spans="1:41" x14ac:dyDescent="0.2">
      <c r="A394" s="6" t="s">
        <v>1385</v>
      </c>
      <c r="B394" s="2" t="s">
        <v>1388</v>
      </c>
      <c r="C394" s="13">
        <v>45601</v>
      </c>
      <c r="D394" s="2" t="s">
        <v>88</v>
      </c>
      <c r="E394" s="2" t="s">
        <v>37</v>
      </c>
      <c r="F394" s="2" t="s">
        <v>219</v>
      </c>
      <c r="G394" s="2" t="s">
        <v>123</v>
      </c>
      <c r="H394" s="13">
        <v>20989</v>
      </c>
      <c r="I394" s="2">
        <v>68</v>
      </c>
      <c r="J394" s="2" t="str" cm="1">
        <f t="array" ref="J394">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94" s="2" t="s">
        <v>1572</v>
      </c>
      <c r="L394" s="2" t="s">
        <v>42</v>
      </c>
      <c r="M394" s="2" t="s">
        <v>141</v>
      </c>
      <c r="N394" s="2" t="s">
        <v>125</v>
      </c>
      <c r="O394" s="2" t="s">
        <v>45</v>
      </c>
      <c r="P394" s="2" t="s">
        <v>315</v>
      </c>
      <c r="Q394" s="2" t="str">
        <f>_xlfn.XLOOKUP(EHR[[#This Row],[Primary_ICD11_Code]],'03_ICD11_Reference'!A:A,'03_ICD11_Reference'!D:D,,0)</f>
        <v>Endocrine</v>
      </c>
      <c r="R394" s="2" t="s">
        <v>316</v>
      </c>
      <c r="S394" s="2" t="s">
        <v>69</v>
      </c>
      <c r="T394" s="2" t="s">
        <v>1390</v>
      </c>
      <c r="U394" s="2">
        <v>4</v>
      </c>
      <c r="V394" s="2" t="str">
        <f>_xlfn.XLOOKUP(EHR[[#This Row],[Encounter_ID]],'02_Lab_Results'!B:B,'02_Lab_Results'!D:D,,0)</f>
        <v>718-7</v>
      </c>
      <c r="W394" s="2" t="str">
        <f>_xlfn.XLOOKUP(EHR[[#This Row],[LOINC Code]],'04_LOINC_Reference'!A:A,'04_LOINC_Reference'!F:F,,0)</f>
        <v>Biochemistry</v>
      </c>
      <c r="X394" s="2" t="str">
        <f>_xlfn.XLOOKUP(EHR[[#This Row],[LOINC Code]],'02_Lab_Results'!D:D,'02_Lab_Results'!E:E,,0)</f>
        <v>Haemoglobin</v>
      </c>
      <c r="Y394" s="2" t="str">
        <f>_xlfn.XLOOKUP(EHR[[#This Row],[LOINC Code]],'02_Lab_Results'!D:D,'02_Lab_Results'!J:J,,0)</f>
        <v>Normal</v>
      </c>
      <c r="Z394" s="2" t="str" cm="1">
        <f t="array" ref="Z394">_xlfn.XLOOKUP(1,(B394=B$2:B$500)*(V$2:V$500="4548-4"),Y$2:Y$500,"Not Tested")</f>
        <v>Not Tested</v>
      </c>
      <c r="AA394" s="2">
        <v>179</v>
      </c>
      <c r="AB394" s="2">
        <v>66</v>
      </c>
      <c r="AC394" s="2" t="str">
        <f>IF(AND(EHR[[#This Row],[BP_Systolic_mmHg]]&lt;140,EHR[[#This Row],[BP_Diastolic_mmHg]]&lt;90),"Controlled",IF(OR(EHR[[#This Row],[BP_Systolic_mmHg]]="Not Recorded",EHR[[#This Row],[BP_Diastolic_mmHg]]="Not Recorded"),"No Reading","Uncontrolled"))</f>
        <v>Uncontrolled</v>
      </c>
      <c r="AD394" s="2" t="str">
        <f>_xlfn.CONCAT(EHR[[#This Row],[BP_Systolic_mmHg]],"/",EHR[[#This Row],[BP_Diastolic_mmHg]])</f>
        <v>179/66</v>
      </c>
      <c r="AE394" s="2">
        <v>51</v>
      </c>
      <c r="AF394" s="2">
        <v>25</v>
      </c>
      <c r="AG394" s="2">
        <v>36.799999999999997</v>
      </c>
      <c r="AH394" s="2">
        <v>37.6</v>
      </c>
      <c r="AI394" s="2" t="str">
        <f>IF(EHR[[#This Row],[BMI_kg_m2]]&gt;=30,"Obese","Non-Obese")</f>
        <v>Obese</v>
      </c>
      <c r="AJ394" s="2">
        <v>99</v>
      </c>
      <c r="AK394" s="2" t="s">
        <v>50</v>
      </c>
      <c r="AL394" s="2" t="s">
        <v>51</v>
      </c>
      <c r="AM394" s="2" t="s">
        <v>52</v>
      </c>
      <c r="AN394" s="2" t="s">
        <v>53</v>
      </c>
      <c r="AO394" s="2" t="s">
        <v>54</v>
      </c>
    </row>
    <row r="395" spans="1:41" x14ac:dyDescent="0.2">
      <c r="A395" s="7" t="s">
        <v>1385</v>
      </c>
      <c r="B395" s="3" t="s">
        <v>1391</v>
      </c>
      <c r="C395" s="14">
        <v>45374</v>
      </c>
      <c r="D395" s="3" t="s">
        <v>60</v>
      </c>
      <c r="E395" s="3" t="s">
        <v>61</v>
      </c>
      <c r="F395" s="3" t="s">
        <v>62</v>
      </c>
      <c r="G395" s="3" t="s">
        <v>39</v>
      </c>
      <c r="H395" s="14">
        <v>20989</v>
      </c>
      <c r="I395" s="3">
        <v>68</v>
      </c>
      <c r="J395" s="3" t="str" cm="1">
        <f t="array" ref="J395">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95" s="3" t="s">
        <v>1572</v>
      </c>
      <c r="L395" s="3" t="s">
        <v>116</v>
      </c>
      <c r="M395" s="3" t="s">
        <v>141</v>
      </c>
      <c r="N395" s="3" t="s">
        <v>125</v>
      </c>
      <c r="O395" s="3" t="s">
        <v>45</v>
      </c>
      <c r="P395" s="3" t="s">
        <v>315</v>
      </c>
      <c r="Q395" s="3" t="str">
        <f>_xlfn.XLOOKUP(EHR[[#This Row],[Primary_ICD11_Code]],'03_ICD11_Reference'!A:A,'03_ICD11_Reference'!D:D,,0)</f>
        <v>Endocrine</v>
      </c>
      <c r="R395" s="3" t="s">
        <v>316</v>
      </c>
      <c r="S395" s="3" t="s">
        <v>69</v>
      </c>
      <c r="T395" s="3" t="s">
        <v>1393</v>
      </c>
      <c r="U395" s="3">
        <v>3</v>
      </c>
      <c r="V395" s="3" t="str">
        <f>_xlfn.XLOOKUP(EHR[[#This Row],[Encounter_ID]],'02_Lab_Results'!B:B,'02_Lab_Results'!D:D,,0)</f>
        <v>2823-3</v>
      </c>
      <c r="W395" s="3" t="str">
        <f>_xlfn.XLOOKUP(EHR[[#This Row],[LOINC Code]],'04_LOINC_Reference'!A:A,'04_LOINC_Reference'!F:F,,0)</f>
        <v>Biochemistry</v>
      </c>
      <c r="X395" s="3" t="str">
        <f>_xlfn.XLOOKUP(EHR[[#This Row],[LOINC Code]],'02_Lab_Results'!D:D,'02_Lab_Results'!E:E,,0)</f>
        <v>Serum potassium</v>
      </c>
      <c r="Y395" s="3" t="str">
        <f>_xlfn.XLOOKUP(EHR[[#This Row],[LOINC Code]],'02_Lab_Results'!D:D,'02_Lab_Results'!J:J,,0)</f>
        <v>Normal</v>
      </c>
      <c r="Z395" s="3" t="str" cm="1">
        <f t="array" ref="Z395">_xlfn.XLOOKUP(1,(B395=B$2:B$500)*(V$2:V$500="4548-4"),Y$2:Y$500,"Not Tested")</f>
        <v>Not Tested</v>
      </c>
      <c r="AA395" s="3">
        <v>111</v>
      </c>
      <c r="AB395" s="3">
        <v>56</v>
      </c>
      <c r="AC395" s="3" t="str">
        <f>IF(AND(EHR[[#This Row],[BP_Systolic_mmHg]]&lt;140,EHR[[#This Row],[BP_Diastolic_mmHg]]&lt;90),"Controlled",IF(OR(EHR[[#This Row],[BP_Systolic_mmHg]]="Not Recorded",EHR[[#This Row],[BP_Diastolic_mmHg]]="Not Recorded"),"No Reading","Uncontrolled"))</f>
        <v>Controlled</v>
      </c>
      <c r="AD395" s="3" t="str">
        <f>_xlfn.CONCAT(EHR[[#This Row],[BP_Systolic_mmHg]],"/",EHR[[#This Row],[BP_Diastolic_mmHg]])</f>
        <v>111/56</v>
      </c>
      <c r="AE395" s="3">
        <v>90</v>
      </c>
      <c r="AF395" s="3">
        <v>18</v>
      </c>
      <c r="AG395" s="3">
        <v>36.299999999999997</v>
      </c>
      <c r="AH395" s="3">
        <v>45.4</v>
      </c>
      <c r="AI395" s="3" t="str">
        <f>IF(EHR[[#This Row],[BMI_kg_m2]]&gt;=30,"Obese","Non-Obese")</f>
        <v>Obese</v>
      </c>
      <c r="AJ395" s="3">
        <v>94</v>
      </c>
      <c r="AK395" s="3" t="s">
        <v>50</v>
      </c>
      <c r="AL395" s="3" t="s">
        <v>51</v>
      </c>
      <c r="AM395" s="3" t="s">
        <v>52</v>
      </c>
      <c r="AN395" s="3" t="s">
        <v>53</v>
      </c>
      <c r="AO395" s="3" t="s">
        <v>54</v>
      </c>
    </row>
    <row r="396" spans="1:41" x14ac:dyDescent="0.2">
      <c r="A396" s="6" t="s">
        <v>1385</v>
      </c>
      <c r="B396" s="2" t="s">
        <v>1394</v>
      </c>
      <c r="C396" s="13">
        <v>45100</v>
      </c>
      <c r="D396" s="2" t="s">
        <v>60</v>
      </c>
      <c r="E396" s="2" t="s">
        <v>61</v>
      </c>
      <c r="F396" s="2" t="s">
        <v>189</v>
      </c>
      <c r="G396" s="2" t="s">
        <v>138</v>
      </c>
      <c r="H396" s="13">
        <v>20989</v>
      </c>
      <c r="I396" s="2">
        <v>68</v>
      </c>
      <c r="J396" s="2" t="str" cm="1">
        <f t="array" ref="J396">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96" s="2" t="s">
        <v>1572</v>
      </c>
      <c r="L396" s="2" t="s">
        <v>78</v>
      </c>
      <c r="M396" s="2" t="s">
        <v>141</v>
      </c>
      <c r="N396" s="2" t="s">
        <v>125</v>
      </c>
      <c r="O396" s="2" t="s">
        <v>45</v>
      </c>
      <c r="P396" s="2" t="s">
        <v>315</v>
      </c>
      <c r="Q396" s="2" t="str">
        <f>_xlfn.XLOOKUP(EHR[[#This Row],[Primary_ICD11_Code]],'03_ICD11_Reference'!A:A,'03_ICD11_Reference'!D:D,,0)</f>
        <v>Endocrine</v>
      </c>
      <c r="R396" s="2" t="s">
        <v>316</v>
      </c>
      <c r="S396" s="2" t="s">
        <v>69</v>
      </c>
      <c r="T396" s="2" t="s">
        <v>1396</v>
      </c>
      <c r="U396" s="2">
        <v>3</v>
      </c>
      <c r="V396" s="2" t="str">
        <f>_xlfn.XLOOKUP(EHR[[#This Row],[Encounter_ID]],'02_Lab_Results'!B:B,'02_Lab_Results'!D:D,,0)</f>
        <v>2823-3</v>
      </c>
      <c r="W396" s="2" t="str">
        <f>_xlfn.XLOOKUP(EHR[[#This Row],[LOINC Code]],'04_LOINC_Reference'!A:A,'04_LOINC_Reference'!F:F,,0)</f>
        <v>Biochemistry</v>
      </c>
      <c r="X396" s="2" t="str">
        <f>_xlfn.XLOOKUP(EHR[[#This Row],[LOINC Code]],'02_Lab_Results'!D:D,'02_Lab_Results'!E:E,,0)</f>
        <v>Serum potassium</v>
      </c>
      <c r="Y396" s="2" t="str">
        <f>_xlfn.XLOOKUP(EHR[[#This Row],[LOINC Code]],'02_Lab_Results'!D:D,'02_Lab_Results'!J:J,,0)</f>
        <v>Normal</v>
      </c>
      <c r="Z396" s="2" t="str" cm="1">
        <f t="array" ref="Z396">_xlfn.XLOOKUP(1,(B396=B$2:B$500)*(V$2:V$500="4548-4"),Y$2:Y$500,"Not Tested")</f>
        <v>Not Tested</v>
      </c>
      <c r="AA396" s="2">
        <v>100</v>
      </c>
      <c r="AB396" s="2">
        <v>113</v>
      </c>
      <c r="AC396" s="2" t="str">
        <f>IF(AND(EHR[[#This Row],[BP_Systolic_mmHg]]&lt;140,EHR[[#This Row],[BP_Diastolic_mmHg]]&lt;90),"Controlled",IF(OR(EHR[[#This Row],[BP_Systolic_mmHg]]="Not Recorded",EHR[[#This Row],[BP_Diastolic_mmHg]]="Not Recorded"),"No Reading","Uncontrolled"))</f>
        <v>Uncontrolled</v>
      </c>
      <c r="AD396" s="2" t="str">
        <f>_xlfn.CONCAT(EHR[[#This Row],[BP_Systolic_mmHg]],"/",EHR[[#This Row],[BP_Diastolic_mmHg]])</f>
        <v>100/113</v>
      </c>
      <c r="AE396" s="2">
        <v>64</v>
      </c>
      <c r="AF396" s="2">
        <v>23</v>
      </c>
      <c r="AG396" s="2">
        <v>37</v>
      </c>
      <c r="AH396" s="2">
        <v>20.3</v>
      </c>
      <c r="AI396" s="2" t="str">
        <f>IF(EHR[[#This Row],[BMI_kg_m2]]&gt;=30,"Obese","Non-Obese")</f>
        <v>Non-Obese</v>
      </c>
      <c r="AJ396" s="2">
        <v>89</v>
      </c>
      <c r="AK396" s="2" t="s">
        <v>50</v>
      </c>
      <c r="AL396" s="2" t="s">
        <v>51</v>
      </c>
      <c r="AM396" s="2" t="s">
        <v>52</v>
      </c>
      <c r="AN396" s="2" t="s">
        <v>53</v>
      </c>
      <c r="AO396" s="2" t="s">
        <v>54</v>
      </c>
    </row>
    <row r="397" spans="1:41" x14ac:dyDescent="0.2">
      <c r="A397" s="7" t="s">
        <v>1385</v>
      </c>
      <c r="B397" s="3" t="s">
        <v>1397</v>
      </c>
      <c r="C397" s="14">
        <v>45447</v>
      </c>
      <c r="D397" s="3" t="s">
        <v>103</v>
      </c>
      <c r="E397" s="3" t="s">
        <v>89</v>
      </c>
      <c r="F397" s="3" t="s">
        <v>38</v>
      </c>
      <c r="G397" s="3" t="s">
        <v>104</v>
      </c>
      <c r="H397" s="14">
        <v>20989</v>
      </c>
      <c r="I397" s="3">
        <v>68</v>
      </c>
      <c r="J397" s="3" t="str" cm="1">
        <f t="array" ref="J397">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97" s="3" t="s">
        <v>1572</v>
      </c>
      <c r="L397" s="3" t="s">
        <v>90</v>
      </c>
      <c r="M397" s="3" t="s">
        <v>141</v>
      </c>
      <c r="N397" s="3" t="s">
        <v>125</v>
      </c>
      <c r="O397" s="3" t="s">
        <v>45</v>
      </c>
      <c r="P397" s="3" t="s">
        <v>315</v>
      </c>
      <c r="Q397" s="3" t="str">
        <f>_xlfn.XLOOKUP(EHR[[#This Row],[Primary_ICD11_Code]],'03_ICD11_Reference'!A:A,'03_ICD11_Reference'!D:D,,0)</f>
        <v>Endocrine</v>
      </c>
      <c r="R397" s="3" t="s">
        <v>316</v>
      </c>
      <c r="S397" s="3" t="s">
        <v>69</v>
      </c>
      <c r="T397" s="3" t="s">
        <v>1399</v>
      </c>
      <c r="U397" s="3">
        <v>4</v>
      </c>
      <c r="V397" s="3" t="str">
        <f>_xlfn.XLOOKUP(EHR[[#This Row],[Encounter_ID]],'02_Lab_Results'!B:B,'02_Lab_Results'!D:D,,0)</f>
        <v>2345-7</v>
      </c>
      <c r="W397" s="3" t="str">
        <f>_xlfn.XLOOKUP(EHR[[#This Row],[LOINC Code]],'04_LOINC_Reference'!A:A,'04_LOINC_Reference'!F:F,,0)</f>
        <v>Biochemistry</v>
      </c>
      <c r="X397" s="3" t="str">
        <f>_xlfn.XLOOKUP(EHR[[#This Row],[LOINC Code]],'02_Lab_Results'!D:D,'02_Lab_Results'!E:E,,0)</f>
        <v>Serum glucose (fasting)</v>
      </c>
      <c r="Y397" s="3" t="str">
        <f>_xlfn.XLOOKUP(EHR[[#This Row],[LOINC Code]],'02_Lab_Results'!D:D,'02_Lab_Results'!J:J,,0)</f>
        <v>Normal</v>
      </c>
      <c r="Z397" s="3" t="str" cm="1">
        <f t="array" ref="Z397">_xlfn.XLOOKUP(1,(B397=B$2:B$500)*(V$2:V$500="4548-4"),Y$2:Y$500,"Not Tested")</f>
        <v>Not Tested</v>
      </c>
      <c r="AA397" s="3">
        <v>163</v>
      </c>
      <c r="AB397" s="3">
        <v>78</v>
      </c>
      <c r="AC397" s="3" t="str">
        <f>IF(AND(EHR[[#This Row],[BP_Systolic_mmHg]]&lt;140,EHR[[#This Row],[BP_Diastolic_mmHg]]&lt;90),"Controlled",IF(OR(EHR[[#This Row],[BP_Systolic_mmHg]]="Not Recorded",EHR[[#This Row],[BP_Diastolic_mmHg]]="Not Recorded"),"No Reading","Uncontrolled"))</f>
        <v>Uncontrolled</v>
      </c>
      <c r="AD397" s="3" t="str">
        <f>_xlfn.CONCAT(EHR[[#This Row],[BP_Systolic_mmHg]],"/",EHR[[#This Row],[BP_Diastolic_mmHg]])</f>
        <v>163/78</v>
      </c>
      <c r="AE397" s="3">
        <v>59</v>
      </c>
      <c r="AF397" s="3">
        <v>13</v>
      </c>
      <c r="AG397" s="3">
        <v>37.5</v>
      </c>
      <c r="AH397" s="3">
        <v>29.1</v>
      </c>
      <c r="AI397" s="3" t="str">
        <f>IF(EHR[[#This Row],[BMI_kg_m2]]&gt;=30,"Obese","Non-Obese")</f>
        <v>Non-Obese</v>
      </c>
      <c r="AJ397" s="3">
        <v>93</v>
      </c>
      <c r="AK397" s="3" t="s">
        <v>50</v>
      </c>
      <c r="AL397" s="3" t="s">
        <v>51</v>
      </c>
      <c r="AM397" s="3" t="s">
        <v>52</v>
      </c>
      <c r="AN397" s="3" t="s">
        <v>53</v>
      </c>
      <c r="AO397" s="3" t="s">
        <v>54</v>
      </c>
    </row>
    <row r="398" spans="1:41" x14ac:dyDescent="0.2">
      <c r="A398" s="6" t="s">
        <v>1385</v>
      </c>
      <c r="B398" s="2" t="s">
        <v>1400</v>
      </c>
      <c r="C398" s="13">
        <v>45343</v>
      </c>
      <c r="D398" s="2" t="s">
        <v>88</v>
      </c>
      <c r="E398" s="2" t="s">
        <v>96</v>
      </c>
      <c r="F398" s="2" t="s">
        <v>75</v>
      </c>
      <c r="G398" s="2" t="s">
        <v>123</v>
      </c>
      <c r="H398" s="13">
        <v>20989</v>
      </c>
      <c r="I398" s="2">
        <v>68</v>
      </c>
      <c r="J398" s="2" t="str" cm="1">
        <f t="array" ref="J398">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Senior Adults</v>
      </c>
      <c r="K398" s="2" t="s">
        <v>1572</v>
      </c>
      <c r="L398" s="2" t="s">
        <v>66</v>
      </c>
      <c r="M398" s="2" t="s">
        <v>141</v>
      </c>
      <c r="N398" s="2" t="s">
        <v>125</v>
      </c>
      <c r="O398" s="2" t="s">
        <v>45</v>
      </c>
      <c r="P398" s="2" t="s">
        <v>315</v>
      </c>
      <c r="Q398" s="2" t="str">
        <f>_xlfn.XLOOKUP(EHR[[#This Row],[Primary_ICD11_Code]],'03_ICD11_Reference'!A:A,'03_ICD11_Reference'!D:D,,0)</f>
        <v>Endocrine</v>
      </c>
      <c r="R398" s="2" t="s">
        <v>316</v>
      </c>
      <c r="S398" s="2" t="s">
        <v>69</v>
      </c>
      <c r="T398" s="2" t="s">
        <v>1401</v>
      </c>
      <c r="U398" s="2">
        <v>2</v>
      </c>
      <c r="V398" s="2" t="str">
        <f>_xlfn.XLOOKUP(EHR[[#This Row],[Encounter_ID]],'02_Lab_Results'!B:B,'02_Lab_Results'!D:D,,0)</f>
        <v>2085-9</v>
      </c>
      <c r="W398" s="2" t="str">
        <f>_xlfn.XLOOKUP(EHR[[#This Row],[LOINC Code]],'04_LOINC_Reference'!A:A,'04_LOINC_Reference'!F:F,,0)</f>
        <v>Biochemistry</v>
      </c>
      <c r="X398" s="2" t="str">
        <f>_xlfn.XLOOKUP(EHR[[#This Row],[LOINC Code]],'02_Lab_Results'!D:D,'02_Lab_Results'!E:E,,0)</f>
        <v>HDL cholesterol</v>
      </c>
      <c r="Y398" s="2" t="str">
        <f>_xlfn.XLOOKUP(EHR[[#This Row],[LOINC Code]],'02_Lab_Results'!D:D,'02_Lab_Results'!J:J,,0)</f>
        <v>Normal</v>
      </c>
      <c r="Z398" s="2" t="str" cm="1">
        <f t="array" ref="Z398">_xlfn.XLOOKUP(1,(B398=B$2:B$500)*(V$2:V$500="4548-4"),Y$2:Y$500,"Not Tested")</f>
        <v>Not Tested</v>
      </c>
      <c r="AA398" s="2">
        <v>135</v>
      </c>
      <c r="AB398" s="2">
        <v>106</v>
      </c>
      <c r="AC398" s="2" t="str">
        <f>IF(AND(EHR[[#This Row],[BP_Systolic_mmHg]]&lt;140,EHR[[#This Row],[BP_Diastolic_mmHg]]&lt;90),"Controlled",IF(OR(EHR[[#This Row],[BP_Systolic_mmHg]]="Not Recorded",EHR[[#This Row],[BP_Diastolic_mmHg]]="Not Recorded"),"No Reading","Uncontrolled"))</f>
        <v>Uncontrolled</v>
      </c>
      <c r="AD398" s="2" t="str">
        <f>_xlfn.CONCAT(EHR[[#This Row],[BP_Systolic_mmHg]],"/",EHR[[#This Row],[BP_Diastolic_mmHg]])</f>
        <v>135/106</v>
      </c>
      <c r="AE398" s="2">
        <v>88</v>
      </c>
      <c r="AF398" s="2">
        <v>25</v>
      </c>
      <c r="AG398" s="2">
        <v>36.5</v>
      </c>
      <c r="AH398" s="2">
        <v>32.9</v>
      </c>
      <c r="AI398" s="2" t="str">
        <f>IF(EHR[[#This Row],[BMI_kg_m2]]&gt;=30,"Obese","Non-Obese")</f>
        <v>Obese</v>
      </c>
      <c r="AJ398" s="2">
        <v>89</v>
      </c>
      <c r="AK398" s="2" t="s">
        <v>50</v>
      </c>
      <c r="AL398" s="2" t="s">
        <v>51</v>
      </c>
      <c r="AM398" s="2" t="s">
        <v>52</v>
      </c>
      <c r="AN398" s="2" t="s">
        <v>53</v>
      </c>
      <c r="AO398" s="2" t="s">
        <v>54</v>
      </c>
    </row>
    <row r="399" spans="1:41" x14ac:dyDescent="0.2">
      <c r="A399" s="10" t="s">
        <v>1402</v>
      </c>
      <c r="B399" s="11" t="s">
        <v>1403</v>
      </c>
      <c r="C399" s="16">
        <v>45316</v>
      </c>
      <c r="D399" s="11" t="s">
        <v>60</v>
      </c>
      <c r="E399" s="11" t="s">
        <v>96</v>
      </c>
      <c r="F399" s="11" t="s">
        <v>122</v>
      </c>
      <c r="G399" s="11" t="s">
        <v>115</v>
      </c>
      <c r="H399" s="16">
        <v>25878</v>
      </c>
      <c r="I399" s="11">
        <v>55</v>
      </c>
      <c r="J399" s="11" t="str" cm="1">
        <f t="array" ref="J399">_xlfn.IFS(EHR[[#This Row],[Age_at_Encounter]]&lt;18,"Adolescent",AND(EHR[[#This Row],[Age_at_Encounter]]&gt;=18,EHR[[#This Row],[Age_at_Encounter]]&lt;=34),"Young Adults",AND(EHR[[#This Row],[Age_at_Encounter]]&gt;=35,EHR[[#This Row],[Age_at_Encounter]]&lt;=49),"Middle Age",AND(EHR[[#This Row],[Age_at_Encounter]]&gt;=50,EHR[[#This Row],[Age_at_Encounter]]&lt;=64),"Late middle Age",EHR[[#This Row],[Age_at_Encounter]]&gt;=65,"Senior Adults")</f>
        <v>Late middle Age</v>
      </c>
      <c r="K399" s="11" t="s">
        <v>1573</v>
      </c>
      <c r="L399" s="11" t="s">
        <v>116</v>
      </c>
      <c r="M399" s="11" t="s">
        <v>141</v>
      </c>
      <c r="N399" s="11" t="s">
        <v>125</v>
      </c>
      <c r="O399" s="11" t="s">
        <v>81</v>
      </c>
      <c r="P399" s="11" t="s">
        <v>504</v>
      </c>
      <c r="Q399" s="11" t="str">
        <f>_xlfn.XLOOKUP(EHR[[#This Row],[Primary_ICD11_Code]],'03_ICD11_Reference'!A:A,'03_ICD11_Reference'!D:D,,0)</f>
        <v>Cardiovascular</v>
      </c>
      <c r="R399" s="11" t="s">
        <v>505</v>
      </c>
      <c r="S399" s="11" t="s">
        <v>69</v>
      </c>
      <c r="T399" s="11" t="s">
        <v>243</v>
      </c>
      <c r="U399" s="11">
        <v>1</v>
      </c>
      <c r="V399" s="11" t="str">
        <f>_xlfn.XLOOKUP(EHR[[#This Row],[Encounter_ID]],'02_Lab_Results'!B:B,'02_Lab_Results'!D:D,,0)</f>
        <v>14627-4</v>
      </c>
      <c r="W399" s="11" t="str">
        <f>_xlfn.XLOOKUP(EHR[[#This Row],[LOINC Code]],'04_LOINC_Reference'!A:A,'04_LOINC_Reference'!F:F,,0)</f>
        <v>Biochemistry</v>
      </c>
      <c r="X399" s="11" t="str">
        <f>_xlfn.XLOOKUP(EHR[[#This Row],[LOINC Code]],'02_Lab_Results'!D:D,'02_Lab_Results'!E:E,,0)</f>
        <v>eGFR (CKD-EPI)</v>
      </c>
      <c r="Y399" s="11" t="str">
        <f>_xlfn.XLOOKUP(EHR[[#This Row],[LOINC Code]],'02_Lab_Results'!D:D,'02_Lab_Results'!J:J,,0)</f>
        <v>High</v>
      </c>
      <c r="Z399" s="11" t="str" cm="1">
        <f t="array" ref="Z399">_xlfn.XLOOKUP(1,(B399=B$2:B$500)*(V$2:V$500="4548-4"),Y$2:Y$500,"Not Tested")</f>
        <v>Not Tested</v>
      </c>
      <c r="AA399" s="11">
        <v>185</v>
      </c>
      <c r="AB399" s="11">
        <v>106</v>
      </c>
      <c r="AC399" s="11" t="str">
        <f>IF(AND(EHR[[#This Row],[BP_Systolic_mmHg]]&lt;140,EHR[[#This Row],[BP_Diastolic_mmHg]]&lt;90),"Controlled",IF(OR(EHR[[#This Row],[BP_Systolic_mmHg]]="Not Recorded",EHR[[#This Row],[BP_Diastolic_mmHg]]="Not Recorded"),"No Reading","Uncontrolled"))</f>
        <v>Uncontrolled</v>
      </c>
      <c r="AD399" s="11" t="str">
        <f>_xlfn.CONCAT(EHR[[#This Row],[BP_Systolic_mmHg]],"/",EHR[[#This Row],[BP_Diastolic_mmHg]])</f>
        <v>185/106</v>
      </c>
      <c r="AE399" s="11">
        <v>66</v>
      </c>
      <c r="AF399" s="11">
        <v>25</v>
      </c>
      <c r="AG399" s="11">
        <v>36.9</v>
      </c>
      <c r="AH399" s="11">
        <v>22.1</v>
      </c>
      <c r="AI399" s="11" t="str">
        <f>IF(EHR[[#This Row],[BMI_kg_m2]]&gt;=30,"Obese","Non-Obese")</f>
        <v>Non-Obese</v>
      </c>
      <c r="AJ399" s="11">
        <v>94</v>
      </c>
      <c r="AK399" s="11" t="s">
        <v>50</v>
      </c>
      <c r="AL399" s="11" t="s">
        <v>51</v>
      </c>
      <c r="AM399" s="11" t="s">
        <v>52</v>
      </c>
      <c r="AN399" s="11" t="s">
        <v>53</v>
      </c>
      <c r="AO399" s="11" t="s">
        <v>54</v>
      </c>
    </row>
  </sheetData>
  <phoneticPr fontId="5"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4751-E3E3-A84D-9866-2385CA5EA9C6}">
  <dimension ref="A2:Q39"/>
  <sheetViews>
    <sheetView showGridLines="0" workbookViewId="0">
      <selection activeCell="D23" sqref="D23"/>
    </sheetView>
  </sheetViews>
  <sheetFormatPr baseColWidth="10" defaultRowHeight="15" x14ac:dyDescent="0.2"/>
  <cols>
    <col min="1" max="1" width="26.83203125" bestFit="1" customWidth="1"/>
    <col min="2" max="2" width="18.6640625" bestFit="1" customWidth="1"/>
    <col min="3" max="3" width="9.83203125" bestFit="1" customWidth="1"/>
    <col min="4" max="4" width="11.5" bestFit="1" customWidth="1"/>
    <col min="5" max="5" width="10" bestFit="1" customWidth="1"/>
    <col min="8" max="8" width="18.6640625" bestFit="1" customWidth="1"/>
    <col min="9" max="9" width="14.83203125" bestFit="1" customWidth="1"/>
    <col min="10" max="10" width="8.83203125" bestFit="1" customWidth="1"/>
    <col min="11" max="11" width="8.33203125" bestFit="1" customWidth="1"/>
    <col min="12" max="12" width="9.6640625" bestFit="1" customWidth="1"/>
    <col min="13" max="13" width="9.5" bestFit="1" customWidth="1"/>
    <col min="14" max="14" width="10" bestFit="1" customWidth="1"/>
    <col min="16" max="16" width="21" bestFit="1" customWidth="1"/>
    <col min="17" max="17" width="18.6640625" bestFit="1" customWidth="1"/>
  </cols>
  <sheetData>
    <row r="2" spans="1:17" x14ac:dyDescent="0.2">
      <c r="A2" s="23" t="s">
        <v>1596</v>
      </c>
      <c r="B2" s="23"/>
      <c r="C2" s="23"/>
      <c r="D2" s="23"/>
      <c r="E2" s="23"/>
      <c r="H2" s="23" t="s">
        <v>1597</v>
      </c>
      <c r="I2" s="23"/>
      <c r="J2" s="23"/>
      <c r="K2" s="23"/>
      <c r="L2" s="23"/>
      <c r="M2" s="23"/>
      <c r="N2" s="23"/>
      <c r="P2" s="23" t="s">
        <v>1600</v>
      </c>
      <c r="Q2" s="23"/>
    </row>
    <row r="3" spans="1:17" x14ac:dyDescent="0.2">
      <c r="A3" s="19" t="s">
        <v>1595</v>
      </c>
      <c r="B3" s="19" t="s">
        <v>1591</v>
      </c>
      <c r="H3" s="19" t="s">
        <v>1595</v>
      </c>
      <c r="I3" s="19" t="s">
        <v>1591</v>
      </c>
      <c r="P3" s="19" t="s">
        <v>1585</v>
      </c>
      <c r="Q3" t="s">
        <v>1595</v>
      </c>
    </row>
    <row r="4" spans="1:17" x14ac:dyDescent="0.2">
      <c r="A4" s="19" t="s">
        <v>1585</v>
      </c>
      <c r="B4" t="s">
        <v>1592</v>
      </c>
      <c r="C4" t="s">
        <v>1593</v>
      </c>
      <c r="D4" t="s">
        <v>1594</v>
      </c>
      <c r="E4" t="s">
        <v>1590</v>
      </c>
      <c r="H4" s="19" t="s">
        <v>1585</v>
      </c>
      <c r="I4" t="s">
        <v>103</v>
      </c>
      <c r="J4" t="s">
        <v>88</v>
      </c>
      <c r="K4" t="s">
        <v>36</v>
      </c>
      <c r="L4" t="s">
        <v>60</v>
      </c>
      <c r="M4" t="s">
        <v>95</v>
      </c>
      <c r="N4" t="s">
        <v>1590</v>
      </c>
      <c r="P4" s="20" t="s">
        <v>37</v>
      </c>
      <c r="Q4" s="21">
        <v>93</v>
      </c>
    </row>
    <row r="5" spans="1:17" x14ac:dyDescent="0.2">
      <c r="A5" s="20" t="s">
        <v>1588</v>
      </c>
      <c r="B5" s="22">
        <v>0.2361111111111111</v>
      </c>
      <c r="C5" s="22">
        <v>0.10416666666666667</v>
      </c>
      <c r="D5" s="22">
        <v>0.65972222222222221</v>
      </c>
      <c r="E5" s="22">
        <v>1</v>
      </c>
      <c r="H5" s="20" t="s">
        <v>62</v>
      </c>
      <c r="I5" s="21">
        <v>4</v>
      </c>
      <c r="J5" s="21">
        <v>7</v>
      </c>
      <c r="K5" s="21">
        <v>6</v>
      </c>
      <c r="L5" s="21">
        <v>6</v>
      </c>
      <c r="M5" s="21">
        <v>5</v>
      </c>
      <c r="N5" s="21">
        <v>28</v>
      </c>
      <c r="P5" s="20" t="s">
        <v>96</v>
      </c>
      <c r="Q5" s="21">
        <v>86</v>
      </c>
    </row>
    <row r="6" spans="1:17" x14ac:dyDescent="0.2">
      <c r="A6" s="20" t="s">
        <v>1589</v>
      </c>
      <c r="B6" s="22">
        <v>0.29838709677419356</v>
      </c>
      <c r="C6" s="22">
        <v>6.4516129032258063E-2</v>
      </c>
      <c r="D6" s="22">
        <v>0.63709677419354838</v>
      </c>
      <c r="E6" s="22">
        <v>1</v>
      </c>
      <c r="H6" s="20" t="s">
        <v>148</v>
      </c>
      <c r="I6" s="21">
        <v>9</v>
      </c>
      <c r="J6" s="21">
        <v>7</v>
      </c>
      <c r="K6" s="21">
        <v>4</v>
      </c>
      <c r="L6" s="21">
        <v>8</v>
      </c>
      <c r="M6" s="21">
        <v>6</v>
      </c>
      <c r="N6" s="21">
        <v>34</v>
      </c>
      <c r="P6" s="20" t="s">
        <v>61</v>
      </c>
      <c r="Q6" s="21">
        <v>78</v>
      </c>
    </row>
    <row r="7" spans="1:17" x14ac:dyDescent="0.2">
      <c r="A7" s="20" t="s">
        <v>1586</v>
      </c>
      <c r="B7" s="22">
        <v>0.36486486486486486</v>
      </c>
      <c r="C7" s="22">
        <v>6.7567567567567571E-2</v>
      </c>
      <c r="D7" s="22">
        <v>0.56756756756756754</v>
      </c>
      <c r="E7" s="22">
        <v>1</v>
      </c>
      <c r="H7" s="20" t="s">
        <v>38</v>
      </c>
      <c r="I7" s="21">
        <v>8</v>
      </c>
      <c r="J7" s="21">
        <v>12</v>
      </c>
      <c r="K7" s="21">
        <v>9</v>
      </c>
      <c r="L7" s="21">
        <v>9</v>
      </c>
      <c r="M7" s="21">
        <v>11</v>
      </c>
      <c r="N7" s="21">
        <v>49</v>
      </c>
      <c r="P7" s="20" t="s">
        <v>167</v>
      </c>
      <c r="Q7" s="21">
        <v>72</v>
      </c>
    </row>
    <row r="8" spans="1:17" x14ac:dyDescent="0.2">
      <c r="A8" s="20" t="s">
        <v>1587</v>
      </c>
      <c r="B8" s="22">
        <v>0.23636363636363636</v>
      </c>
      <c r="C8" s="22">
        <v>5.4545454545454543E-2</v>
      </c>
      <c r="D8" s="22">
        <v>0.70909090909090911</v>
      </c>
      <c r="E8" s="22">
        <v>1</v>
      </c>
      <c r="H8" s="20" t="s">
        <v>97</v>
      </c>
      <c r="I8" s="21">
        <v>15</v>
      </c>
      <c r="J8" s="21">
        <v>7</v>
      </c>
      <c r="K8" s="21">
        <v>5</v>
      </c>
      <c r="L8" s="21">
        <v>6</v>
      </c>
      <c r="M8" s="21">
        <v>8</v>
      </c>
      <c r="N8" s="21">
        <v>41</v>
      </c>
      <c r="P8" s="20" t="s">
        <v>89</v>
      </c>
      <c r="Q8" s="21">
        <v>68</v>
      </c>
    </row>
    <row r="9" spans="1:17" x14ac:dyDescent="0.2">
      <c r="A9" s="20" t="s">
        <v>1590</v>
      </c>
      <c r="B9" s="22">
        <v>0.27959697732997479</v>
      </c>
      <c r="C9" s="22">
        <v>7.8085642317380355E-2</v>
      </c>
      <c r="D9" s="22">
        <v>0.64231738035264485</v>
      </c>
      <c r="E9" s="22">
        <v>1</v>
      </c>
      <c r="H9" s="20" t="s">
        <v>132</v>
      </c>
      <c r="I9" s="21">
        <v>10</v>
      </c>
      <c r="J9" s="21">
        <v>10</v>
      </c>
      <c r="K9" s="21">
        <v>9</v>
      </c>
      <c r="L9" s="21">
        <v>11</v>
      </c>
      <c r="M9" s="21">
        <v>10</v>
      </c>
      <c r="N9" s="21">
        <v>50</v>
      </c>
      <c r="P9" s="20" t="s">
        <v>1590</v>
      </c>
      <c r="Q9" s="21">
        <v>397</v>
      </c>
    </row>
    <row r="10" spans="1:17" x14ac:dyDescent="0.2">
      <c r="H10" s="20" t="s">
        <v>122</v>
      </c>
      <c r="I10" s="21">
        <v>7</v>
      </c>
      <c r="J10" s="21">
        <v>12</v>
      </c>
      <c r="K10" s="21">
        <v>12</v>
      </c>
      <c r="L10" s="21">
        <v>7</v>
      </c>
      <c r="M10" s="21">
        <v>4</v>
      </c>
      <c r="N10" s="21">
        <v>42</v>
      </c>
    </row>
    <row r="11" spans="1:17" x14ac:dyDescent="0.2">
      <c r="H11" s="20" t="s">
        <v>75</v>
      </c>
      <c r="I11" s="21">
        <v>8</v>
      </c>
      <c r="J11" s="21">
        <v>9</v>
      </c>
      <c r="K11" s="21">
        <v>5</v>
      </c>
      <c r="L11" s="21">
        <v>3</v>
      </c>
      <c r="M11" s="21">
        <v>11</v>
      </c>
      <c r="N11" s="21">
        <v>36</v>
      </c>
    </row>
    <row r="12" spans="1:17" x14ac:dyDescent="0.2">
      <c r="A12" s="23" t="s">
        <v>1599</v>
      </c>
      <c r="B12" s="23"/>
      <c r="H12" s="20" t="s">
        <v>189</v>
      </c>
      <c r="I12" s="21">
        <v>8</v>
      </c>
      <c r="J12" s="21">
        <v>7</v>
      </c>
      <c r="K12" s="21">
        <v>6</v>
      </c>
      <c r="L12" s="21">
        <v>6</v>
      </c>
      <c r="M12" s="21">
        <v>7</v>
      </c>
      <c r="N12" s="21">
        <v>34</v>
      </c>
      <c r="P12" s="23" t="s">
        <v>1602</v>
      </c>
      <c r="Q12" s="23"/>
    </row>
    <row r="13" spans="1:17" x14ac:dyDescent="0.2">
      <c r="A13" s="19" t="s">
        <v>1585</v>
      </c>
      <c r="B13" t="s">
        <v>1595</v>
      </c>
      <c r="H13" s="20" t="s">
        <v>219</v>
      </c>
      <c r="I13" s="21">
        <v>11</v>
      </c>
      <c r="J13" s="21">
        <v>15</v>
      </c>
      <c r="K13" s="21">
        <v>10</v>
      </c>
      <c r="L13" s="21">
        <v>6</v>
      </c>
      <c r="M13" s="21">
        <v>7</v>
      </c>
      <c r="N13" s="21">
        <v>49</v>
      </c>
      <c r="P13" s="19" t="s">
        <v>1585</v>
      </c>
      <c r="Q13" t="s">
        <v>1601</v>
      </c>
    </row>
    <row r="14" spans="1:17" x14ac:dyDescent="0.2">
      <c r="A14" s="20" t="s">
        <v>143</v>
      </c>
      <c r="B14" s="21">
        <v>9</v>
      </c>
      <c r="H14" s="20" t="s">
        <v>109</v>
      </c>
      <c r="I14" s="21">
        <v>8</v>
      </c>
      <c r="J14" s="21">
        <v>5</v>
      </c>
      <c r="K14" s="21">
        <v>9</v>
      </c>
      <c r="L14" s="21">
        <v>8</v>
      </c>
      <c r="M14" s="21">
        <v>4</v>
      </c>
      <c r="N14" s="21">
        <v>34</v>
      </c>
      <c r="P14" s="20" t="s">
        <v>141</v>
      </c>
      <c r="Q14" s="21">
        <v>147</v>
      </c>
    </row>
    <row r="15" spans="1:17" x14ac:dyDescent="0.2">
      <c r="A15" s="20" t="s">
        <v>306</v>
      </c>
      <c r="B15" s="21">
        <v>10</v>
      </c>
      <c r="H15" s="20" t="s">
        <v>1590</v>
      </c>
      <c r="I15" s="21">
        <v>88</v>
      </c>
      <c r="J15" s="21">
        <v>91</v>
      </c>
      <c r="K15" s="21">
        <v>75</v>
      </c>
      <c r="L15" s="21">
        <v>70</v>
      </c>
      <c r="M15" s="21">
        <v>73</v>
      </c>
      <c r="N15" s="21">
        <v>397</v>
      </c>
      <c r="P15" s="20" t="s">
        <v>43</v>
      </c>
      <c r="Q15" s="21">
        <v>88</v>
      </c>
    </row>
    <row r="16" spans="1:17" x14ac:dyDescent="0.2">
      <c r="A16" s="20" t="s">
        <v>212</v>
      </c>
      <c r="B16" s="21">
        <v>12</v>
      </c>
      <c r="P16" s="20" t="s">
        <v>45</v>
      </c>
      <c r="Q16" s="21">
        <v>67</v>
      </c>
    </row>
    <row r="17" spans="1:17" x14ac:dyDescent="0.2">
      <c r="A17" s="20" t="s">
        <v>498</v>
      </c>
      <c r="B17" s="21">
        <v>15</v>
      </c>
      <c r="P17" s="20" t="s">
        <v>79</v>
      </c>
      <c r="Q17" s="21">
        <v>95</v>
      </c>
    </row>
    <row r="18" spans="1:17" x14ac:dyDescent="0.2">
      <c r="A18" s="20" t="s">
        <v>47</v>
      </c>
      <c r="B18" s="21">
        <v>15</v>
      </c>
      <c r="P18" s="20" t="s">
        <v>1590</v>
      </c>
      <c r="Q18" s="21">
        <v>397</v>
      </c>
    </row>
    <row r="19" spans="1:17" x14ac:dyDescent="0.2">
      <c r="A19" s="20" t="s">
        <v>505</v>
      </c>
      <c r="B19" s="21">
        <v>15</v>
      </c>
      <c r="H19" s="23" t="s">
        <v>1598</v>
      </c>
      <c r="I19" s="23"/>
      <c r="J19" s="23"/>
      <c r="K19" s="23"/>
      <c r="L19" s="23"/>
    </row>
    <row r="20" spans="1:17" x14ac:dyDescent="0.2">
      <c r="A20" s="20" t="s">
        <v>184</v>
      </c>
      <c r="B20" s="21">
        <v>17</v>
      </c>
      <c r="H20" s="19" t="s">
        <v>1595</v>
      </c>
      <c r="I20" s="19" t="s">
        <v>1591</v>
      </c>
    </row>
    <row r="21" spans="1:17" x14ac:dyDescent="0.2">
      <c r="A21" s="20" t="s">
        <v>329</v>
      </c>
      <c r="B21" s="21">
        <v>20</v>
      </c>
      <c r="H21" s="19" t="s">
        <v>1585</v>
      </c>
      <c r="I21" t="s">
        <v>1426</v>
      </c>
      <c r="J21" t="s">
        <v>1430</v>
      </c>
      <c r="K21" t="s">
        <v>1416</v>
      </c>
      <c r="L21" t="s">
        <v>1590</v>
      </c>
    </row>
    <row r="22" spans="1:17" x14ac:dyDescent="0.2">
      <c r="A22" s="20" t="s">
        <v>151</v>
      </c>
      <c r="B22" s="21">
        <v>22</v>
      </c>
      <c r="H22" s="20" t="s">
        <v>143</v>
      </c>
      <c r="I22" s="22">
        <v>0.33333333333333331</v>
      </c>
      <c r="J22" s="22">
        <v>0.1111111111111111</v>
      </c>
      <c r="K22" s="22">
        <v>0.55555555555555558</v>
      </c>
      <c r="L22" s="22">
        <v>1</v>
      </c>
    </row>
    <row r="23" spans="1:17" x14ac:dyDescent="0.2">
      <c r="A23" s="20" t="s">
        <v>158</v>
      </c>
      <c r="B23" s="21">
        <v>23</v>
      </c>
      <c r="H23" s="20" t="s">
        <v>196</v>
      </c>
      <c r="I23" s="22">
        <v>0.52500000000000002</v>
      </c>
      <c r="J23" s="22">
        <v>7.4999999999999997E-2</v>
      </c>
      <c r="K23" s="22">
        <v>0.4</v>
      </c>
      <c r="L23" s="22">
        <v>1</v>
      </c>
    </row>
    <row r="24" spans="1:17" x14ac:dyDescent="0.2">
      <c r="A24" s="20" t="s">
        <v>255</v>
      </c>
      <c r="B24" s="21">
        <v>23</v>
      </c>
      <c r="H24" s="20" t="s">
        <v>83</v>
      </c>
      <c r="I24" s="22">
        <v>0.30434782608695654</v>
      </c>
      <c r="J24" s="22">
        <v>8.6956521739130432E-2</v>
      </c>
      <c r="K24" s="22">
        <v>0.60869565217391308</v>
      </c>
      <c r="L24" s="22">
        <v>1</v>
      </c>
    </row>
    <row r="25" spans="1:17" x14ac:dyDescent="0.2">
      <c r="A25" s="20" t="s">
        <v>83</v>
      </c>
      <c r="B25" s="21">
        <v>23</v>
      </c>
      <c r="H25" s="20" t="s">
        <v>306</v>
      </c>
      <c r="I25" s="22">
        <v>0.3</v>
      </c>
      <c r="J25" s="22">
        <v>0.1</v>
      </c>
      <c r="K25" s="22">
        <v>0.6</v>
      </c>
      <c r="L25" s="22">
        <v>1</v>
      </c>
    </row>
    <row r="26" spans="1:17" x14ac:dyDescent="0.2">
      <c r="A26" s="20" t="s">
        <v>316</v>
      </c>
      <c r="B26" s="21">
        <v>28</v>
      </c>
      <c r="H26" s="20" t="s">
        <v>255</v>
      </c>
      <c r="I26" s="22">
        <v>0.43478260869565216</v>
      </c>
      <c r="J26" s="22">
        <v>0.17391304347826086</v>
      </c>
      <c r="K26" s="22">
        <v>0.39130434782608697</v>
      </c>
      <c r="L26" s="22">
        <v>1</v>
      </c>
    </row>
    <row r="27" spans="1:17" x14ac:dyDescent="0.2">
      <c r="A27" s="20" t="s">
        <v>68</v>
      </c>
      <c r="B27" s="21">
        <v>31</v>
      </c>
      <c r="H27" s="20" t="s">
        <v>127</v>
      </c>
      <c r="I27" s="22">
        <v>0.4358974358974359</v>
      </c>
      <c r="J27" s="22">
        <v>0.15384615384615385</v>
      </c>
      <c r="K27" s="22">
        <v>0.41025641025641024</v>
      </c>
      <c r="L27" s="22">
        <v>1</v>
      </c>
    </row>
    <row r="28" spans="1:17" x14ac:dyDescent="0.2">
      <c r="A28" s="20" t="s">
        <v>127</v>
      </c>
      <c r="B28" s="21">
        <v>39</v>
      </c>
      <c r="H28" s="20" t="s">
        <v>505</v>
      </c>
      <c r="I28" s="22">
        <v>0.26666666666666666</v>
      </c>
      <c r="J28" s="22">
        <v>6.6666666666666666E-2</v>
      </c>
      <c r="K28" s="22">
        <v>0.66666666666666663</v>
      </c>
      <c r="L28" s="22">
        <v>1</v>
      </c>
    </row>
    <row r="29" spans="1:17" x14ac:dyDescent="0.2">
      <c r="A29" s="20" t="s">
        <v>196</v>
      </c>
      <c r="B29" s="21">
        <v>40</v>
      </c>
      <c r="H29" s="20" t="s">
        <v>151</v>
      </c>
      <c r="I29" s="22">
        <v>0.36363636363636365</v>
      </c>
      <c r="J29" s="22">
        <v>9.0909090909090912E-2</v>
      </c>
      <c r="K29" s="22">
        <v>0.54545454545454541</v>
      </c>
      <c r="L29" s="22">
        <v>1</v>
      </c>
    </row>
    <row r="30" spans="1:17" x14ac:dyDescent="0.2">
      <c r="A30" s="20" t="s">
        <v>284</v>
      </c>
      <c r="B30" s="21">
        <v>55</v>
      </c>
      <c r="H30" s="20" t="s">
        <v>158</v>
      </c>
      <c r="I30" s="22">
        <v>0.43478260869565216</v>
      </c>
      <c r="J30" s="22">
        <v>0.21739130434782608</v>
      </c>
      <c r="K30" s="22">
        <v>0.34782608695652173</v>
      </c>
      <c r="L30" s="22">
        <v>1</v>
      </c>
    </row>
    <row r="31" spans="1:17" x14ac:dyDescent="0.2">
      <c r="A31" s="20" t="s">
        <v>1590</v>
      </c>
      <c r="B31" s="21">
        <v>397</v>
      </c>
      <c r="H31" s="20" t="s">
        <v>47</v>
      </c>
      <c r="I31" s="22">
        <v>0.26666666666666666</v>
      </c>
      <c r="J31" s="22">
        <v>6.6666666666666666E-2</v>
      </c>
      <c r="K31" s="22">
        <v>0.66666666666666663</v>
      </c>
      <c r="L31" s="22">
        <v>1</v>
      </c>
    </row>
    <row r="32" spans="1:17" x14ac:dyDescent="0.2">
      <c r="H32" s="20" t="s">
        <v>212</v>
      </c>
      <c r="I32" s="22">
        <v>0.5</v>
      </c>
      <c r="J32" s="22">
        <v>8.3333333333333329E-2</v>
      </c>
      <c r="K32" s="22">
        <v>0.41666666666666669</v>
      </c>
      <c r="L32" s="22">
        <v>1</v>
      </c>
    </row>
    <row r="33" spans="8:12" x14ac:dyDescent="0.2">
      <c r="H33" s="20" t="s">
        <v>329</v>
      </c>
      <c r="I33" s="22">
        <v>0.4</v>
      </c>
      <c r="J33" s="22">
        <v>0</v>
      </c>
      <c r="K33" s="22">
        <v>0.6</v>
      </c>
      <c r="L33" s="22">
        <v>1</v>
      </c>
    </row>
    <row r="34" spans="8:12" x14ac:dyDescent="0.2">
      <c r="H34" s="20" t="s">
        <v>284</v>
      </c>
      <c r="I34" s="22">
        <v>0.58181818181818179</v>
      </c>
      <c r="J34" s="22">
        <v>0.10909090909090909</v>
      </c>
      <c r="K34" s="22">
        <v>0.30909090909090908</v>
      </c>
      <c r="L34" s="22">
        <v>1</v>
      </c>
    </row>
    <row r="35" spans="8:12" x14ac:dyDescent="0.2">
      <c r="H35" s="20" t="s">
        <v>498</v>
      </c>
      <c r="I35" s="22">
        <v>0.46666666666666667</v>
      </c>
      <c r="J35" s="22">
        <v>6.6666666666666666E-2</v>
      </c>
      <c r="K35" s="22">
        <v>0.46666666666666667</v>
      </c>
      <c r="L35" s="22">
        <v>1</v>
      </c>
    </row>
    <row r="36" spans="8:12" x14ac:dyDescent="0.2">
      <c r="H36" s="20" t="s">
        <v>68</v>
      </c>
      <c r="I36" s="22">
        <v>0.45161290322580644</v>
      </c>
      <c r="J36" s="22">
        <v>0.16129032258064516</v>
      </c>
      <c r="K36" s="22">
        <v>0.38709677419354838</v>
      </c>
      <c r="L36" s="22">
        <v>1</v>
      </c>
    </row>
    <row r="37" spans="8:12" x14ac:dyDescent="0.2">
      <c r="H37" s="20" t="s">
        <v>316</v>
      </c>
      <c r="I37" s="22">
        <v>0.4642857142857143</v>
      </c>
      <c r="J37" s="22">
        <v>0.14285714285714285</v>
      </c>
      <c r="K37" s="22">
        <v>0.39285714285714285</v>
      </c>
      <c r="L37" s="22">
        <v>1</v>
      </c>
    </row>
    <row r="38" spans="8:12" x14ac:dyDescent="0.2">
      <c r="H38" s="20" t="s">
        <v>184</v>
      </c>
      <c r="I38" s="22">
        <v>0.35294117647058826</v>
      </c>
      <c r="J38" s="22">
        <v>0</v>
      </c>
      <c r="K38" s="22">
        <v>0.6470588235294118</v>
      </c>
      <c r="L38" s="22">
        <v>1</v>
      </c>
    </row>
    <row r="39" spans="8:12" x14ac:dyDescent="0.2">
      <c r="H39" s="20" t="s">
        <v>1590</v>
      </c>
      <c r="I39" s="22">
        <v>0.4357682619647355</v>
      </c>
      <c r="J39" s="22">
        <v>0.10831234256926953</v>
      </c>
      <c r="K39" s="22">
        <v>0.45591939546599497</v>
      </c>
      <c r="L39" s="22">
        <v>1</v>
      </c>
    </row>
  </sheetData>
  <mergeCells count="6">
    <mergeCell ref="A2:E2"/>
    <mergeCell ref="A12:B12"/>
    <mergeCell ref="H2:N2"/>
    <mergeCell ref="H19:L19"/>
    <mergeCell ref="P2:Q2"/>
    <mergeCell ref="P12:Q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D172-C1A1-8248-ABCF-C7178DCB8FDF}">
  <dimension ref="A1"/>
  <sheetViews>
    <sheetView showGridLines="0" workbookViewId="0">
      <selection activeCell="W7" sqref="W7"/>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03"/>
  <sheetViews>
    <sheetView workbookViewId="0">
      <pane ySplit="1" topLeftCell="A2" activePane="bottomLeft" state="frozen"/>
      <selection pane="bottomLeft" activeCell="C9" sqref="C9"/>
    </sheetView>
  </sheetViews>
  <sheetFormatPr baseColWidth="10" defaultColWidth="8.83203125" defaultRowHeight="15" x14ac:dyDescent="0.2"/>
  <cols>
    <col min="1" max="1" width="12" customWidth="1"/>
    <col min="2" max="2" width="16" customWidth="1"/>
    <col min="3" max="4" width="14" customWidth="1"/>
    <col min="5" max="5" width="26" customWidth="1"/>
    <col min="6" max="6" width="16.1640625" customWidth="1"/>
    <col min="7" max="7" width="22.6640625" customWidth="1"/>
    <col min="8" max="8" width="16.6640625" customWidth="1"/>
    <col min="9" max="9" width="15.6640625" customWidth="1"/>
    <col min="10" max="10" width="11.1640625" customWidth="1"/>
    <col min="11" max="11" width="18.33203125" customWidth="1"/>
    <col min="12" max="12" width="23.33203125" customWidth="1"/>
    <col min="13" max="13" width="20.6640625" customWidth="1"/>
    <col min="14" max="14" width="19.33203125" customWidth="1"/>
    <col min="15" max="15" width="23.6640625" customWidth="1"/>
    <col min="16" max="16" width="28" customWidth="1"/>
    <col min="17" max="17" width="22" customWidth="1"/>
    <col min="18" max="18" width="40" customWidth="1"/>
    <col min="19" max="19" width="22" customWidth="1"/>
    <col min="20" max="20" width="19.83203125" customWidth="1"/>
    <col min="21" max="21" width="21" customWidth="1"/>
    <col min="22" max="22" width="16" customWidth="1"/>
    <col min="23" max="23" width="19.1640625" customWidth="1"/>
    <col min="24" max="24" width="15.6640625" customWidth="1"/>
    <col min="25" max="25" width="15.5" customWidth="1"/>
    <col min="26" max="26" width="16.5" customWidth="1"/>
    <col min="27" max="27" width="18" customWidth="1"/>
    <col min="28" max="28" width="21.33203125" customWidth="1"/>
    <col min="29" max="29" width="18.33203125" customWidth="1"/>
    <col min="30" max="30" width="14.83203125" customWidth="1"/>
    <col min="31" max="31" width="20.5" customWidth="1"/>
    <col min="32" max="32" width="24.33203125" customWidth="1"/>
    <col min="33" max="33" width="23" customWidth="1"/>
  </cols>
  <sheetData>
    <row r="1" spans="1:3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s="2" t="s">
        <v>33</v>
      </c>
      <c r="B2" s="2" t="s">
        <v>34</v>
      </c>
      <c r="C2" s="2" t="s">
        <v>35</v>
      </c>
      <c r="D2" s="2" t="s">
        <v>36</v>
      </c>
      <c r="E2" s="2" t="s">
        <v>37</v>
      </c>
      <c r="F2" s="2" t="s">
        <v>38</v>
      </c>
      <c r="G2" s="2" t="s">
        <v>39</v>
      </c>
      <c r="H2" s="2" t="s">
        <v>40</v>
      </c>
      <c r="I2" s="2">
        <v>21</v>
      </c>
      <c r="J2" s="2" t="s">
        <v>41</v>
      </c>
      <c r="K2" s="2" t="s">
        <v>42</v>
      </c>
      <c r="L2" s="2" t="s">
        <v>43</v>
      </c>
      <c r="M2" s="2" t="s">
        <v>44</v>
      </c>
      <c r="N2" s="2" t="s">
        <v>45</v>
      </c>
      <c r="O2" s="2" t="s">
        <v>46</v>
      </c>
      <c r="P2" s="2" t="s">
        <v>47</v>
      </c>
      <c r="Q2" s="2" t="s">
        <v>48</v>
      </c>
      <c r="R2" s="2" t="s">
        <v>49</v>
      </c>
      <c r="S2" s="2">
        <v>2</v>
      </c>
      <c r="T2" s="2">
        <v>98</v>
      </c>
      <c r="U2" s="2">
        <v>68</v>
      </c>
      <c r="V2" s="2">
        <v>88</v>
      </c>
      <c r="W2" s="2">
        <v>12</v>
      </c>
      <c r="X2" s="2">
        <v>36.6</v>
      </c>
      <c r="Y2" s="2">
        <v>36</v>
      </c>
      <c r="Z2" s="2">
        <v>94</v>
      </c>
      <c r="AA2" s="2" t="s">
        <v>50</v>
      </c>
      <c r="AB2" s="2" t="s">
        <v>51</v>
      </c>
      <c r="AC2" s="2" t="s">
        <v>52</v>
      </c>
      <c r="AD2" s="2" t="s">
        <v>53</v>
      </c>
      <c r="AE2" s="2" t="s">
        <v>54</v>
      </c>
      <c r="AF2" s="2" t="s">
        <v>55</v>
      </c>
      <c r="AG2" s="2" t="s">
        <v>56</v>
      </c>
    </row>
    <row r="3" spans="1:33" x14ac:dyDescent="0.2">
      <c r="A3" s="3" t="s">
        <v>57</v>
      </c>
      <c r="B3" s="3" t="s">
        <v>58</v>
      </c>
      <c r="C3" s="3" t="s">
        <v>59</v>
      </c>
      <c r="D3" s="3" t="s">
        <v>60</v>
      </c>
      <c r="E3" s="3" t="s">
        <v>61</v>
      </c>
      <c r="F3" s="3" t="s">
        <v>62</v>
      </c>
      <c r="G3" s="3" t="s">
        <v>63</v>
      </c>
      <c r="H3" s="3" t="s">
        <v>64</v>
      </c>
      <c r="I3" s="3">
        <v>37</v>
      </c>
      <c r="J3" s="3" t="s">
        <v>65</v>
      </c>
      <c r="K3" s="3" t="s">
        <v>66</v>
      </c>
      <c r="L3" s="3" t="s">
        <v>45</v>
      </c>
      <c r="M3" s="3"/>
      <c r="N3" s="3" t="s">
        <v>45</v>
      </c>
      <c r="O3" s="3" t="s">
        <v>67</v>
      </c>
      <c r="P3" s="3" t="s">
        <v>68</v>
      </c>
      <c r="Q3" s="3" t="s">
        <v>69</v>
      </c>
      <c r="R3" s="3" t="s">
        <v>70</v>
      </c>
      <c r="S3" s="3">
        <v>3</v>
      </c>
      <c r="T3" s="3">
        <v>149</v>
      </c>
      <c r="U3" s="3">
        <v>103</v>
      </c>
      <c r="V3" s="3">
        <v>105</v>
      </c>
      <c r="W3" s="3">
        <v>21</v>
      </c>
      <c r="X3" s="3">
        <v>39.1</v>
      </c>
      <c r="Y3" s="3">
        <v>28.3</v>
      </c>
      <c r="Z3" s="3">
        <v>94</v>
      </c>
      <c r="AA3" s="3" t="s">
        <v>50</v>
      </c>
      <c r="AB3" s="3" t="s">
        <v>51</v>
      </c>
      <c r="AC3" s="3" t="s">
        <v>52</v>
      </c>
      <c r="AD3" s="3" t="s">
        <v>53</v>
      </c>
      <c r="AE3" s="3" t="s">
        <v>54</v>
      </c>
      <c r="AF3" s="3" t="s">
        <v>55</v>
      </c>
      <c r="AG3" s="3" t="s">
        <v>71</v>
      </c>
    </row>
    <row r="4" spans="1:33" x14ac:dyDescent="0.2">
      <c r="A4" s="2" t="s">
        <v>72</v>
      </c>
      <c r="B4" s="2" t="s">
        <v>73</v>
      </c>
      <c r="C4" s="2" t="s">
        <v>74</v>
      </c>
      <c r="D4" s="2" t="s">
        <v>60</v>
      </c>
      <c r="E4" s="2" t="s">
        <v>61</v>
      </c>
      <c r="F4" s="2" t="s">
        <v>75</v>
      </c>
      <c r="G4" s="2" t="s">
        <v>76</v>
      </c>
      <c r="H4" s="2" t="s">
        <v>77</v>
      </c>
      <c r="I4" s="2">
        <v>30</v>
      </c>
      <c r="J4" s="2" t="s">
        <v>41</v>
      </c>
      <c r="K4" s="2" t="s">
        <v>78</v>
      </c>
      <c r="L4" s="2" t="s">
        <v>79</v>
      </c>
      <c r="M4" s="2" t="s">
        <v>80</v>
      </c>
      <c r="N4" s="2" t="s">
        <v>81</v>
      </c>
      <c r="O4" s="2" t="s">
        <v>82</v>
      </c>
      <c r="P4" s="2" t="s">
        <v>83</v>
      </c>
      <c r="Q4" s="2" t="s">
        <v>69</v>
      </c>
      <c r="R4" s="2" t="s">
        <v>84</v>
      </c>
      <c r="S4" s="2">
        <v>4</v>
      </c>
      <c r="T4" s="2">
        <v>119</v>
      </c>
      <c r="U4" s="2">
        <v>111</v>
      </c>
      <c r="V4" s="2">
        <v>99</v>
      </c>
      <c r="W4" s="2">
        <v>22</v>
      </c>
      <c r="X4" s="2">
        <v>36.5</v>
      </c>
      <c r="Y4" s="2">
        <v>38.299999999999997</v>
      </c>
      <c r="Z4" s="2">
        <v>89</v>
      </c>
      <c r="AA4" s="2" t="s">
        <v>50</v>
      </c>
      <c r="AB4" s="2" t="s">
        <v>51</v>
      </c>
      <c r="AC4" s="2" t="s">
        <v>52</v>
      </c>
      <c r="AD4" s="2" t="s">
        <v>53</v>
      </c>
      <c r="AE4" s="2" t="s">
        <v>54</v>
      </c>
      <c r="AF4" s="2" t="s">
        <v>55</v>
      </c>
      <c r="AG4" s="2" t="s">
        <v>85</v>
      </c>
    </row>
    <row r="5" spans="1:33" x14ac:dyDescent="0.2">
      <c r="A5" s="3" t="s">
        <v>72</v>
      </c>
      <c r="B5" s="3" t="s">
        <v>86</v>
      </c>
      <c r="C5" s="3" t="s">
        <v>87</v>
      </c>
      <c r="D5" s="3" t="s">
        <v>88</v>
      </c>
      <c r="E5" s="3" t="s">
        <v>89</v>
      </c>
      <c r="F5" s="3" t="s">
        <v>62</v>
      </c>
      <c r="G5" s="3" t="s">
        <v>39</v>
      </c>
      <c r="H5" s="3" t="s">
        <v>77</v>
      </c>
      <c r="I5" s="3">
        <v>30</v>
      </c>
      <c r="J5" s="3" t="s">
        <v>41</v>
      </c>
      <c r="K5" s="3" t="s">
        <v>90</v>
      </c>
      <c r="L5" s="3" t="s">
        <v>79</v>
      </c>
      <c r="M5" s="3" t="s">
        <v>80</v>
      </c>
      <c r="N5" s="3" t="s">
        <v>81</v>
      </c>
      <c r="O5" s="3" t="s">
        <v>82</v>
      </c>
      <c r="P5" s="3" t="s">
        <v>83</v>
      </c>
      <c r="Q5" s="3" t="s">
        <v>69</v>
      </c>
      <c r="R5" s="3" t="s">
        <v>91</v>
      </c>
      <c r="S5" s="3">
        <v>4</v>
      </c>
      <c r="T5" s="3">
        <v>101</v>
      </c>
      <c r="U5" s="3">
        <v>110</v>
      </c>
      <c r="V5" s="3">
        <v>93</v>
      </c>
      <c r="W5" s="3">
        <v>23</v>
      </c>
      <c r="X5" s="3">
        <v>36.700000000000003</v>
      </c>
      <c r="Y5" s="3">
        <v>31.7</v>
      </c>
      <c r="Z5" s="3">
        <v>99</v>
      </c>
      <c r="AA5" s="3" t="s">
        <v>50</v>
      </c>
      <c r="AB5" s="3" t="s">
        <v>51</v>
      </c>
      <c r="AC5" s="3" t="s">
        <v>52</v>
      </c>
      <c r="AD5" s="3" t="s">
        <v>53</v>
      </c>
      <c r="AE5" s="3" t="s">
        <v>54</v>
      </c>
      <c r="AF5" s="3" t="s">
        <v>55</v>
      </c>
      <c r="AG5" s="3" t="s">
        <v>92</v>
      </c>
    </row>
    <row r="6" spans="1:33" x14ac:dyDescent="0.2">
      <c r="A6" s="2" t="s">
        <v>72</v>
      </c>
      <c r="B6" s="2" t="s">
        <v>93</v>
      </c>
      <c r="C6" s="2" t="s">
        <v>94</v>
      </c>
      <c r="D6" s="2" t="s">
        <v>95</v>
      </c>
      <c r="E6" s="2" t="s">
        <v>96</v>
      </c>
      <c r="F6" s="2" t="s">
        <v>97</v>
      </c>
      <c r="G6" s="2" t="s">
        <v>98</v>
      </c>
      <c r="H6" s="2" t="s">
        <v>77</v>
      </c>
      <c r="I6" s="2">
        <v>30</v>
      </c>
      <c r="J6" s="2" t="s">
        <v>41</v>
      </c>
      <c r="K6" s="2" t="s">
        <v>90</v>
      </c>
      <c r="L6" s="2" t="s">
        <v>79</v>
      </c>
      <c r="M6" s="2" t="s">
        <v>80</v>
      </c>
      <c r="N6" s="2" t="s">
        <v>81</v>
      </c>
      <c r="O6" s="2" t="s">
        <v>82</v>
      </c>
      <c r="P6" s="2" t="s">
        <v>83</v>
      </c>
      <c r="Q6" s="2" t="s">
        <v>69</v>
      </c>
      <c r="R6" s="2" t="s">
        <v>99</v>
      </c>
      <c r="S6" s="2">
        <v>2</v>
      </c>
      <c r="T6" s="2">
        <v>128</v>
      </c>
      <c r="U6" s="2">
        <v>115</v>
      </c>
      <c r="V6" s="2">
        <v>60</v>
      </c>
      <c r="W6" s="2">
        <v>20</v>
      </c>
      <c r="X6" s="2">
        <v>38.4</v>
      </c>
      <c r="Y6" s="2">
        <v>42</v>
      </c>
      <c r="Z6" s="2">
        <v>89</v>
      </c>
      <c r="AA6" s="2" t="s">
        <v>50</v>
      </c>
      <c r="AB6" s="2" t="s">
        <v>51</v>
      </c>
      <c r="AC6" s="2" t="s">
        <v>52</v>
      </c>
      <c r="AD6" s="2" t="s">
        <v>53</v>
      </c>
      <c r="AE6" s="2" t="s">
        <v>54</v>
      </c>
      <c r="AF6" s="2" t="s">
        <v>55</v>
      </c>
      <c r="AG6" s="2" t="s">
        <v>100</v>
      </c>
    </row>
    <row r="7" spans="1:33" x14ac:dyDescent="0.2">
      <c r="A7" s="3" t="s">
        <v>72</v>
      </c>
      <c r="B7" s="3" t="s">
        <v>101</v>
      </c>
      <c r="C7" s="3" t="s">
        <v>102</v>
      </c>
      <c r="D7" s="3" t="s">
        <v>103</v>
      </c>
      <c r="E7" s="3" t="s">
        <v>96</v>
      </c>
      <c r="F7" s="3" t="s">
        <v>75</v>
      </c>
      <c r="G7" s="3" t="s">
        <v>104</v>
      </c>
      <c r="H7" s="3" t="s">
        <v>77</v>
      </c>
      <c r="I7" s="3">
        <v>30</v>
      </c>
      <c r="J7" s="3" t="s">
        <v>41</v>
      </c>
      <c r="K7" s="3" t="s">
        <v>90</v>
      </c>
      <c r="L7" s="3" t="s">
        <v>79</v>
      </c>
      <c r="M7" s="3" t="s">
        <v>80</v>
      </c>
      <c r="N7" s="3" t="s">
        <v>81</v>
      </c>
      <c r="O7" s="3" t="s">
        <v>82</v>
      </c>
      <c r="P7" s="3" t="s">
        <v>83</v>
      </c>
      <c r="Q7" s="3" t="s">
        <v>69</v>
      </c>
      <c r="R7" s="3" t="s">
        <v>105</v>
      </c>
      <c r="S7" s="3">
        <v>3</v>
      </c>
      <c r="T7" s="3">
        <v>182</v>
      </c>
      <c r="U7" s="3">
        <v>107</v>
      </c>
      <c r="V7" s="3">
        <v>51</v>
      </c>
      <c r="W7" s="3">
        <v>24</v>
      </c>
      <c r="X7" s="3">
        <v>38.200000000000003</v>
      </c>
      <c r="Y7" s="3">
        <v>32.799999999999997</v>
      </c>
      <c r="Z7" s="3">
        <v>90</v>
      </c>
      <c r="AA7" s="3" t="s">
        <v>50</v>
      </c>
      <c r="AB7" s="3" t="s">
        <v>51</v>
      </c>
      <c r="AC7" s="3" t="s">
        <v>52</v>
      </c>
      <c r="AD7" s="3" t="s">
        <v>53</v>
      </c>
      <c r="AE7" s="3" t="s">
        <v>54</v>
      </c>
      <c r="AF7" s="3" t="s">
        <v>55</v>
      </c>
      <c r="AG7" s="3" t="s">
        <v>106</v>
      </c>
    </row>
    <row r="8" spans="1:33" x14ac:dyDescent="0.2">
      <c r="A8" s="2" t="s">
        <v>72</v>
      </c>
      <c r="B8" s="2" t="s">
        <v>107</v>
      </c>
      <c r="C8" s="2" t="s">
        <v>108</v>
      </c>
      <c r="D8" s="2" t="s">
        <v>60</v>
      </c>
      <c r="E8" s="2" t="s">
        <v>89</v>
      </c>
      <c r="F8" s="2" t="s">
        <v>109</v>
      </c>
      <c r="G8" s="2" t="s">
        <v>98</v>
      </c>
      <c r="H8" s="2" t="s">
        <v>77</v>
      </c>
      <c r="I8" s="2">
        <v>30</v>
      </c>
      <c r="J8" s="2" t="s">
        <v>41</v>
      </c>
      <c r="K8" s="2" t="s">
        <v>110</v>
      </c>
      <c r="L8" s="2" t="s">
        <v>79</v>
      </c>
      <c r="M8" s="2" t="s">
        <v>80</v>
      </c>
      <c r="N8" s="2" t="s">
        <v>81</v>
      </c>
      <c r="O8" s="2" t="s">
        <v>82</v>
      </c>
      <c r="P8" s="2" t="s">
        <v>83</v>
      </c>
      <c r="Q8" s="2" t="s">
        <v>69</v>
      </c>
      <c r="R8" s="2" t="s">
        <v>111</v>
      </c>
      <c r="S8" s="2">
        <v>2</v>
      </c>
      <c r="T8" s="2">
        <v>111</v>
      </c>
      <c r="U8" s="2">
        <v>110</v>
      </c>
      <c r="V8" s="2">
        <v>115</v>
      </c>
      <c r="W8" s="2">
        <v>17</v>
      </c>
      <c r="X8" s="2">
        <v>38</v>
      </c>
      <c r="Y8" s="2">
        <v>34.9</v>
      </c>
      <c r="Z8" s="2">
        <v>89</v>
      </c>
      <c r="AA8" s="2" t="s">
        <v>50</v>
      </c>
      <c r="AB8" s="2" t="s">
        <v>51</v>
      </c>
      <c r="AC8" s="2" t="s">
        <v>52</v>
      </c>
      <c r="AD8" s="2" t="s">
        <v>53</v>
      </c>
      <c r="AE8" s="2" t="s">
        <v>54</v>
      </c>
      <c r="AF8" s="2" t="s">
        <v>55</v>
      </c>
      <c r="AG8" s="2" t="s">
        <v>112</v>
      </c>
    </row>
    <row r="9" spans="1:33" x14ac:dyDescent="0.2">
      <c r="A9" s="3" t="s">
        <v>72</v>
      </c>
      <c r="B9" s="3" t="s">
        <v>113</v>
      </c>
      <c r="C9" s="3" t="s">
        <v>114</v>
      </c>
      <c r="D9" s="3" t="s">
        <v>60</v>
      </c>
      <c r="E9" s="3" t="s">
        <v>89</v>
      </c>
      <c r="F9" s="3" t="s">
        <v>38</v>
      </c>
      <c r="G9" s="3" t="s">
        <v>115</v>
      </c>
      <c r="H9" s="3" t="s">
        <v>77</v>
      </c>
      <c r="I9" s="3">
        <v>30</v>
      </c>
      <c r="J9" s="3" t="s">
        <v>41</v>
      </c>
      <c r="K9" s="3" t="s">
        <v>116</v>
      </c>
      <c r="L9" s="3" t="s">
        <v>79</v>
      </c>
      <c r="M9" s="3" t="s">
        <v>80</v>
      </c>
      <c r="N9" s="3" t="s">
        <v>81</v>
      </c>
      <c r="O9" s="3" t="s">
        <v>82</v>
      </c>
      <c r="P9" s="3" t="s">
        <v>83</v>
      </c>
      <c r="Q9" s="3" t="s">
        <v>69</v>
      </c>
      <c r="R9" s="3" t="s">
        <v>117</v>
      </c>
      <c r="S9" s="3">
        <v>1</v>
      </c>
      <c r="T9" s="3">
        <v>179</v>
      </c>
      <c r="U9" s="3">
        <v>108</v>
      </c>
      <c r="V9" s="3">
        <v>112</v>
      </c>
      <c r="W9" s="3">
        <v>17</v>
      </c>
      <c r="X9" s="3">
        <v>36.200000000000003</v>
      </c>
      <c r="Y9" s="3">
        <v>42.5</v>
      </c>
      <c r="Z9" s="3">
        <v>99</v>
      </c>
      <c r="AA9" s="3" t="s">
        <v>50</v>
      </c>
      <c r="AB9" s="3" t="s">
        <v>51</v>
      </c>
      <c r="AC9" s="3" t="s">
        <v>52</v>
      </c>
      <c r="AD9" s="3" t="s">
        <v>53</v>
      </c>
      <c r="AE9" s="3" t="s">
        <v>54</v>
      </c>
      <c r="AF9" s="3" t="s">
        <v>55</v>
      </c>
      <c r="AG9" s="3" t="s">
        <v>118</v>
      </c>
    </row>
    <row r="10" spans="1:33" x14ac:dyDescent="0.2">
      <c r="A10" s="2" t="s">
        <v>119</v>
      </c>
      <c r="B10" s="2" t="s">
        <v>120</v>
      </c>
      <c r="C10" s="2" t="s">
        <v>121</v>
      </c>
      <c r="D10" s="2" t="s">
        <v>60</v>
      </c>
      <c r="E10" s="2" t="s">
        <v>61</v>
      </c>
      <c r="F10" s="2" t="s">
        <v>122</v>
      </c>
      <c r="G10" s="2" t="s">
        <v>123</v>
      </c>
      <c r="H10" s="2" t="s">
        <v>124</v>
      </c>
      <c r="I10" s="2">
        <v>39</v>
      </c>
      <c r="J10" s="2" t="s">
        <v>65</v>
      </c>
      <c r="K10" s="2" t="s">
        <v>66</v>
      </c>
      <c r="L10" s="2" t="s">
        <v>43</v>
      </c>
      <c r="M10" s="2" t="s">
        <v>125</v>
      </c>
      <c r="N10" s="2"/>
      <c r="O10" s="2" t="s">
        <v>126</v>
      </c>
      <c r="P10" s="2" t="s">
        <v>127</v>
      </c>
      <c r="Q10" s="2" t="s">
        <v>69</v>
      </c>
      <c r="R10" s="2" t="s">
        <v>128</v>
      </c>
      <c r="S10" s="2">
        <v>2</v>
      </c>
      <c r="T10" s="2">
        <v>129</v>
      </c>
      <c r="U10" s="2">
        <v>109</v>
      </c>
      <c r="V10" s="2">
        <v>84</v>
      </c>
      <c r="W10" s="2">
        <v>16</v>
      </c>
      <c r="X10" s="2">
        <v>36.200000000000003</v>
      </c>
      <c r="Y10" s="2">
        <v>18.100000000000001</v>
      </c>
      <c r="Z10" s="2">
        <v>94</v>
      </c>
      <c r="AA10" s="2" t="s">
        <v>50</v>
      </c>
      <c r="AB10" s="2" t="s">
        <v>51</v>
      </c>
      <c r="AC10" s="2" t="s">
        <v>52</v>
      </c>
      <c r="AD10" s="2" t="s">
        <v>53</v>
      </c>
      <c r="AE10" s="2" t="s">
        <v>54</v>
      </c>
      <c r="AF10" s="2" t="s">
        <v>55</v>
      </c>
      <c r="AG10" s="2" t="s">
        <v>129</v>
      </c>
    </row>
    <row r="11" spans="1:33" x14ac:dyDescent="0.2">
      <c r="A11" s="3" t="s">
        <v>119</v>
      </c>
      <c r="B11" s="3" t="s">
        <v>130</v>
      </c>
      <c r="C11" s="3" t="s">
        <v>131</v>
      </c>
      <c r="D11" s="3" t="s">
        <v>60</v>
      </c>
      <c r="E11" s="3" t="s">
        <v>37</v>
      </c>
      <c r="F11" s="3" t="s">
        <v>132</v>
      </c>
      <c r="G11" s="3" t="s">
        <v>76</v>
      </c>
      <c r="H11" s="3" t="s">
        <v>124</v>
      </c>
      <c r="I11" s="3">
        <v>39</v>
      </c>
      <c r="J11" s="3" t="s">
        <v>65</v>
      </c>
      <c r="K11" s="3" t="s">
        <v>78</v>
      </c>
      <c r="L11" s="3" t="s">
        <v>43</v>
      </c>
      <c r="M11" s="3" t="s">
        <v>125</v>
      </c>
      <c r="N11" s="3"/>
      <c r="O11" s="3" t="s">
        <v>126</v>
      </c>
      <c r="P11" s="3" t="s">
        <v>127</v>
      </c>
      <c r="Q11" s="3" t="s">
        <v>69</v>
      </c>
      <c r="R11" s="3" t="s">
        <v>133</v>
      </c>
      <c r="S11" s="3">
        <v>4</v>
      </c>
      <c r="T11" s="3">
        <v>101</v>
      </c>
      <c r="U11" s="3">
        <v>69</v>
      </c>
      <c r="V11" s="3">
        <v>100</v>
      </c>
      <c r="W11" s="3">
        <v>15</v>
      </c>
      <c r="X11" s="3">
        <v>36.4</v>
      </c>
      <c r="Y11" s="3">
        <v>44.2</v>
      </c>
      <c r="Z11" s="3">
        <v>94</v>
      </c>
      <c r="AA11" s="3" t="s">
        <v>50</v>
      </c>
      <c r="AB11" s="3" t="s">
        <v>51</v>
      </c>
      <c r="AC11" s="3" t="s">
        <v>52</v>
      </c>
      <c r="AD11" s="3" t="s">
        <v>53</v>
      </c>
      <c r="AE11" s="3" t="s">
        <v>54</v>
      </c>
      <c r="AF11" s="3" t="s">
        <v>55</v>
      </c>
      <c r="AG11" s="3" t="s">
        <v>134</v>
      </c>
    </row>
    <row r="12" spans="1:33" x14ac:dyDescent="0.2">
      <c r="A12" s="2" t="s">
        <v>135</v>
      </c>
      <c r="B12" s="2" t="s">
        <v>136</v>
      </c>
      <c r="C12" s="2" t="s">
        <v>137</v>
      </c>
      <c r="D12" s="2" t="s">
        <v>88</v>
      </c>
      <c r="E12" s="2" t="s">
        <v>37</v>
      </c>
      <c r="F12" s="2" t="s">
        <v>122</v>
      </c>
      <c r="G12" s="2" t="s">
        <v>138</v>
      </c>
      <c r="H12" s="2" t="s">
        <v>139</v>
      </c>
      <c r="I12" s="2">
        <v>77</v>
      </c>
      <c r="J12" s="2" t="s">
        <v>65</v>
      </c>
      <c r="K12" s="2" t="s">
        <v>140</v>
      </c>
      <c r="L12" s="2" t="s">
        <v>141</v>
      </c>
      <c r="M12" s="2" t="s">
        <v>125</v>
      </c>
      <c r="N12" s="2" t="s">
        <v>45</v>
      </c>
      <c r="O12" s="2" t="s">
        <v>142</v>
      </c>
      <c r="P12" s="2" t="s">
        <v>143</v>
      </c>
      <c r="Q12" s="2" t="s">
        <v>48</v>
      </c>
      <c r="R12" s="2" t="s">
        <v>144</v>
      </c>
      <c r="S12" s="2">
        <v>1</v>
      </c>
      <c r="T12" s="2">
        <v>143</v>
      </c>
      <c r="U12" s="2">
        <v>63</v>
      </c>
      <c r="V12" s="2">
        <v>64</v>
      </c>
      <c r="W12" s="2">
        <v>19</v>
      </c>
      <c r="X12" s="2">
        <v>38.799999999999997</v>
      </c>
      <c r="Y12" s="2">
        <v>19.600000000000001</v>
      </c>
      <c r="Z12" s="2">
        <v>98</v>
      </c>
      <c r="AA12" s="2" t="s">
        <v>50</v>
      </c>
      <c r="AB12" s="2" t="s">
        <v>51</v>
      </c>
      <c r="AC12" s="2" t="s">
        <v>52</v>
      </c>
      <c r="AD12" s="2" t="s">
        <v>53</v>
      </c>
      <c r="AE12" s="2" t="s">
        <v>54</v>
      </c>
      <c r="AF12" s="2" t="s">
        <v>55</v>
      </c>
      <c r="AG12" s="2" t="s">
        <v>56</v>
      </c>
    </row>
    <row r="13" spans="1:33" x14ac:dyDescent="0.2">
      <c r="A13" s="3" t="s">
        <v>145</v>
      </c>
      <c r="B13" s="3" t="s">
        <v>146</v>
      </c>
      <c r="C13" s="3" t="s">
        <v>147</v>
      </c>
      <c r="D13" s="3" t="s">
        <v>60</v>
      </c>
      <c r="E13" s="3" t="s">
        <v>89</v>
      </c>
      <c r="F13" s="3" t="s">
        <v>148</v>
      </c>
      <c r="G13" s="3" t="s">
        <v>123</v>
      </c>
      <c r="H13" s="3" t="s">
        <v>149</v>
      </c>
      <c r="I13" s="3">
        <v>80</v>
      </c>
      <c r="J13" s="3" t="s">
        <v>65</v>
      </c>
      <c r="K13" s="3" t="s">
        <v>116</v>
      </c>
      <c r="L13" s="3" t="s">
        <v>43</v>
      </c>
      <c r="M13" s="3"/>
      <c r="N13" s="3" t="s">
        <v>45</v>
      </c>
      <c r="O13" s="3" t="s">
        <v>150</v>
      </c>
      <c r="P13" s="3" t="s">
        <v>151</v>
      </c>
      <c r="Q13" s="3" t="s">
        <v>69</v>
      </c>
      <c r="R13" s="3" t="s">
        <v>152</v>
      </c>
      <c r="S13" s="3">
        <v>4</v>
      </c>
      <c r="T13" s="3">
        <v>178</v>
      </c>
      <c r="U13" s="3">
        <v>102</v>
      </c>
      <c r="V13" s="3">
        <v>71</v>
      </c>
      <c r="W13" s="3">
        <v>23</v>
      </c>
      <c r="X13" s="3">
        <v>38.299999999999997</v>
      </c>
      <c r="Y13" s="3">
        <v>39.799999999999997</v>
      </c>
      <c r="Z13" s="3">
        <v>96</v>
      </c>
      <c r="AA13" s="3" t="s">
        <v>50</v>
      </c>
      <c r="AB13" s="3" t="s">
        <v>51</v>
      </c>
      <c r="AC13" s="3" t="s">
        <v>52</v>
      </c>
      <c r="AD13" s="3" t="s">
        <v>53</v>
      </c>
      <c r="AE13" s="3" t="s">
        <v>54</v>
      </c>
      <c r="AF13" s="3" t="s">
        <v>55</v>
      </c>
      <c r="AG13" s="3" t="s">
        <v>71</v>
      </c>
    </row>
    <row r="14" spans="1:33" x14ac:dyDescent="0.2">
      <c r="A14" s="2" t="s">
        <v>153</v>
      </c>
      <c r="B14" s="2" t="s">
        <v>154</v>
      </c>
      <c r="C14" s="2" t="s">
        <v>155</v>
      </c>
      <c r="D14" s="2" t="s">
        <v>88</v>
      </c>
      <c r="E14" s="2" t="s">
        <v>89</v>
      </c>
      <c r="F14" s="2" t="s">
        <v>148</v>
      </c>
      <c r="G14" s="2" t="s">
        <v>76</v>
      </c>
      <c r="H14" s="2" t="s">
        <v>156</v>
      </c>
      <c r="I14" s="2">
        <v>25</v>
      </c>
      <c r="J14" s="2" t="s">
        <v>65</v>
      </c>
      <c r="K14" s="2" t="s">
        <v>42</v>
      </c>
      <c r="L14" s="2" t="s">
        <v>43</v>
      </c>
      <c r="M14" s="2" t="s">
        <v>44</v>
      </c>
      <c r="N14" s="2" t="s">
        <v>45</v>
      </c>
      <c r="O14" s="2" t="s">
        <v>157</v>
      </c>
      <c r="P14" s="2" t="s">
        <v>158</v>
      </c>
      <c r="Q14" s="2" t="s">
        <v>69</v>
      </c>
      <c r="R14" s="2" t="s">
        <v>159</v>
      </c>
      <c r="S14" s="2">
        <v>1</v>
      </c>
      <c r="T14" s="2">
        <v>149</v>
      </c>
      <c r="U14" s="2">
        <v>96</v>
      </c>
      <c r="V14" s="2">
        <v>68</v>
      </c>
      <c r="W14" s="2">
        <v>14</v>
      </c>
      <c r="X14" s="2">
        <v>38.799999999999997</v>
      </c>
      <c r="Y14" s="2">
        <v>24.5</v>
      </c>
      <c r="Z14" s="2">
        <v>95</v>
      </c>
      <c r="AA14" s="2" t="s">
        <v>50</v>
      </c>
      <c r="AB14" s="2" t="s">
        <v>51</v>
      </c>
      <c r="AC14" s="2" t="s">
        <v>52</v>
      </c>
      <c r="AD14" s="2" t="s">
        <v>53</v>
      </c>
      <c r="AE14" s="2" t="s">
        <v>54</v>
      </c>
      <c r="AF14" s="2" t="s">
        <v>55</v>
      </c>
      <c r="AG14" s="2" t="s">
        <v>160</v>
      </c>
    </row>
    <row r="15" spans="1:33" x14ac:dyDescent="0.2">
      <c r="A15" s="3" t="s">
        <v>153</v>
      </c>
      <c r="B15" s="3" t="s">
        <v>161</v>
      </c>
      <c r="C15" s="3" t="s">
        <v>162</v>
      </c>
      <c r="D15" s="3" t="s">
        <v>95</v>
      </c>
      <c r="E15" s="3" t="s">
        <v>89</v>
      </c>
      <c r="F15" s="3" t="s">
        <v>97</v>
      </c>
      <c r="G15" s="3" t="s">
        <v>63</v>
      </c>
      <c r="H15" s="3" t="s">
        <v>156</v>
      </c>
      <c r="I15" s="3">
        <v>25</v>
      </c>
      <c r="J15" s="3" t="s">
        <v>65</v>
      </c>
      <c r="K15" s="3" t="s">
        <v>110</v>
      </c>
      <c r="L15" s="3" t="s">
        <v>43</v>
      </c>
      <c r="M15" s="3" t="s">
        <v>44</v>
      </c>
      <c r="N15" s="3" t="s">
        <v>45</v>
      </c>
      <c r="O15" s="3" t="s">
        <v>157</v>
      </c>
      <c r="P15" s="3" t="s">
        <v>158</v>
      </c>
      <c r="Q15" s="3" t="s">
        <v>69</v>
      </c>
      <c r="R15" s="3" t="s">
        <v>163</v>
      </c>
      <c r="S15" s="3">
        <v>1</v>
      </c>
      <c r="T15" s="3">
        <v>155</v>
      </c>
      <c r="U15" s="3">
        <v>74</v>
      </c>
      <c r="V15" s="3">
        <v>70</v>
      </c>
      <c r="W15" s="3">
        <v>14</v>
      </c>
      <c r="X15" s="3">
        <v>38.1</v>
      </c>
      <c r="Y15" s="3">
        <v>30.5</v>
      </c>
      <c r="Z15" s="3">
        <v>99</v>
      </c>
      <c r="AA15" s="3" t="s">
        <v>50</v>
      </c>
      <c r="AB15" s="3" t="s">
        <v>51</v>
      </c>
      <c r="AC15" s="3" t="s">
        <v>52</v>
      </c>
      <c r="AD15" s="3" t="s">
        <v>53</v>
      </c>
      <c r="AE15" s="3" t="s">
        <v>54</v>
      </c>
      <c r="AF15" s="3" t="s">
        <v>55</v>
      </c>
      <c r="AG15" s="3" t="s">
        <v>164</v>
      </c>
    </row>
    <row r="16" spans="1:33" x14ac:dyDescent="0.2">
      <c r="A16" s="2" t="s">
        <v>153</v>
      </c>
      <c r="B16" s="2" t="s">
        <v>165</v>
      </c>
      <c r="C16" s="2" t="s">
        <v>166</v>
      </c>
      <c r="D16" s="2" t="s">
        <v>88</v>
      </c>
      <c r="E16" s="2" t="s">
        <v>167</v>
      </c>
      <c r="F16" s="2" t="s">
        <v>122</v>
      </c>
      <c r="G16" s="2" t="s">
        <v>115</v>
      </c>
      <c r="H16" s="2" t="s">
        <v>156</v>
      </c>
      <c r="I16" s="2">
        <v>25</v>
      </c>
      <c r="J16" s="2" t="s">
        <v>65</v>
      </c>
      <c r="K16" s="2" t="s">
        <v>42</v>
      </c>
      <c r="L16" s="2" t="s">
        <v>43</v>
      </c>
      <c r="M16" s="2" t="s">
        <v>44</v>
      </c>
      <c r="N16" s="2" t="s">
        <v>45</v>
      </c>
      <c r="O16" s="2" t="s">
        <v>157</v>
      </c>
      <c r="P16" s="2" t="s">
        <v>158</v>
      </c>
      <c r="Q16" s="2" t="s">
        <v>69</v>
      </c>
      <c r="R16" s="2" t="s">
        <v>168</v>
      </c>
      <c r="S16" s="2">
        <v>3</v>
      </c>
      <c r="T16" s="2">
        <v>114</v>
      </c>
      <c r="U16" s="2">
        <v>71</v>
      </c>
      <c r="V16" s="2">
        <v>120</v>
      </c>
      <c r="W16" s="2">
        <v>26</v>
      </c>
      <c r="X16" s="2">
        <v>38.799999999999997</v>
      </c>
      <c r="Y16" s="2">
        <v>28</v>
      </c>
      <c r="Z16" s="2">
        <v>89</v>
      </c>
      <c r="AA16" s="2" t="s">
        <v>50</v>
      </c>
      <c r="AB16" s="2" t="s">
        <v>51</v>
      </c>
      <c r="AC16" s="2" t="s">
        <v>52</v>
      </c>
      <c r="AD16" s="2" t="s">
        <v>53</v>
      </c>
      <c r="AE16" s="2" t="s">
        <v>54</v>
      </c>
      <c r="AF16" s="2" t="s">
        <v>55</v>
      </c>
      <c r="AG16" s="2" t="s">
        <v>169</v>
      </c>
    </row>
    <row r="17" spans="1:33" x14ac:dyDescent="0.2">
      <c r="A17" s="3" t="s">
        <v>153</v>
      </c>
      <c r="B17" s="3" t="s">
        <v>170</v>
      </c>
      <c r="C17" s="3" t="s">
        <v>171</v>
      </c>
      <c r="D17" s="3" t="s">
        <v>60</v>
      </c>
      <c r="E17" s="3" t="s">
        <v>37</v>
      </c>
      <c r="F17" s="3" t="s">
        <v>132</v>
      </c>
      <c r="G17" s="3" t="s">
        <v>104</v>
      </c>
      <c r="H17" s="3" t="s">
        <v>156</v>
      </c>
      <c r="I17" s="3">
        <v>25</v>
      </c>
      <c r="J17" s="3" t="s">
        <v>65</v>
      </c>
      <c r="K17" s="3" t="s">
        <v>110</v>
      </c>
      <c r="L17" s="3" t="s">
        <v>43</v>
      </c>
      <c r="M17" s="3" t="s">
        <v>44</v>
      </c>
      <c r="N17" s="3" t="s">
        <v>45</v>
      </c>
      <c r="O17" s="3" t="s">
        <v>157</v>
      </c>
      <c r="P17" s="3" t="s">
        <v>158</v>
      </c>
      <c r="Q17" s="3" t="s">
        <v>69</v>
      </c>
      <c r="R17" s="3" t="s">
        <v>172</v>
      </c>
      <c r="S17" s="3">
        <v>3</v>
      </c>
      <c r="T17" s="3">
        <v>175</v>
      </c>
      <c r="U17" s="3">
        <v>100</v>
      </c>
      <c r="V17" s="3">
        <v>62</v>
      </c>
      <c r="W17" s="3">
        <v>17</v>
      </c>
      <c r="X17" s="3">
        <v>36.700000000000003</v>
      </c>
      <c r="Y17" s="3">
        <v>27.3</v>
      </c>
      <c r="Z17" s="3">
        <v>96</v>
      </c>
      <c r="AA17" s="3" t="s">
        <v>50</v>
      </c>
      <c r="AB17" s="3" t="s">
        <v>51</v>
      </c>
      <c r="AC17" s="3" t="s">
        <v>52</v>
      </c>
      <c r="AD17" s="3" t="s">
        <v>53</v>
      </c>
      <c r="AE17" s="3" t="s">
        <v>54</v>
      </c>
      <c r="AF17" s="3" t="s">
        <v>55</v>
      </c>
      <c r="AG17" s="3" t="s">
        <v>173</v>
      </c>
    </row>
    <row r="18" spans="1:33" x14ac:dyDescent="0.2">
      <c r="A18" s="2" t="s">
        <v>153</v>
      </c>
      <c r="B18" s="2" t="s">
        <v>174</v>
      </c>
      <c r="C18" s="2" t="s">
        <v>175</v>
      </c>
      <c r="D18" s="2" t="s">
        <v>103</v>
      </c>
      <c r="E18" s="2" t="s">
        <v>89</v>
      </c>
      <c r="F18" s="2" t="s">
        <v>75</v>
      </c>
      <c r="G18" s="2" t="s">
        <v>76</v>
      </c>
      <c r="H18" s="2" t="s">
        <v>156</v>
      </c>
      <c r="I18" s="2">
        <v>25</v>
      </c>
      <c r="J18" s="2" t="s">
        <v>65</v>
      </c>
      <c r="K18" s="2" t="s">
        <v>90</v>
      </c>
      <c r="L18" s="2" t="s">
        <v>43</v>
      </c>
      <c r="M18" s="2" t="s">
        <v>44</v>
      </c>
      <c r="N18" s="2" t="s">
        <v>45</v>
      </c>
      <c r="O18" s="2" t="s">
        <v>157</v>
      </c>
      <c r="P18" s="2" t="s">
        <v>158</v>
      </c>
      <c r="Q18" s="2" t="s">
        <v>69</v>
      </c>
      <c r="R18" s="2" t="s">
        <v>176</v>
      </c>
      <c r="S18" s="2">
        <v>1</v>
      </c>
      <c r="T18" s="2">
        <v>125</v>
      </c>
      <c r="U18" s="2">
        <v>63</v>
      </c>
      <c r="V18" s="2">
        <v>123</v>
      </c>
      <c r="W18" s="2">
        <v>15</v>
      </c>
      <c r="X18" s="2">
        <v>37.4</v>
      </c>
      <c r="Y18" s="2">
        <v>37.6</v>
      </c>
      <c r="Z18" s="2">
        <v>94</v>
      </c>
      <c r="AA18" s="2" t="s">
        <v>50</v>
      </c>
      <c r="AB18" s="2" t="s">
        <v>51</v>
      </c>
      <c r="AC18" s="2" t="s">
        <v>52</v>
      </c>
      <c r="AD18" s="2" t="s">
        <v>53</v>
      </c>
      <c r="AE18" s="2" t="s">
        <v>54</v>
      </c>
      <c r="AF18" s="2" t="s">
        <v>55</v>
      </c>
      <c r="AG18" s="2" t="s">
        <v>177</v>
      </c>
    </row>
    <row r="19" spans="1:33" x14ac:dyDescent="0.2">
      <c r="A19" s="3" t="s">
        <v>178</v>
      </c>
      <c r="B19" s="3" t="s">
        <v>179</v>
      </c>
      <c r="C19" s="3" t="s">
        <v>180</v>
      </c>
      <c r="D19" s="3" t="s">
        <v>60</v>
      </c>
      <c r="E19" s="3" t="s">
        <v>61</v>
      </c>
      <c r="F19" s="3" t="s">
        <v>109</v>
      </c>
      <c r="G19" s="3" t="s">
        <v>39</v>
      </c>
      <c r="H19" s="3" t="s">
        <v>181</v>
      </c>
      <c r="I19" s="3">
        <v>73</v>
      </c>
      <c r="J19" s="3" t="s">
        <v>41</v>
      </c>
      <c r="K19" s="3" t="s">
        <v>66</v>
      </c>
      <c r="L19" s="3" t="s">
        <v>45</v>
      </c>
      <c r="M19" s="3" t="s">
        <v>125</v>
      </c>
      <c r="N19" s="3" t="s">
        <v>182</v>
      </c>
      <c r="O19" s="3" t="s">
        <v>183</v>
      </c>
      <c r="P19" s="3" t="s">
        <v>184</v>
      </c>
      <c r="Q19" s="3" t="s">
        <v>48</v>
      </c>
      <c r="R19" s="3" t="s">
        <v>185</v>
      </c>
      <c r="S19" s="3">
        <v>2</v>
      </c>
      <c r="T19" s="3">
        <v>104</v>
      </c>
      <c r="U19" s="3">
        <v>102</v>
      </c>
      <c r="V19" s="3">
        <v>116</v>
      </c>
      <c r="W19" s="3">
        <v>19</v>
      </c>
      <c r="X19" s="3">
        <v>38</v>
      </c>
      <c r="Y19" s="3">
        <v>21.9</v>
      </c>
      <c r="Z19" s="3">
        <v>99</v>
      </c>
      <c r="AA19" s="3" t="s">
        <v>50</v>
      </c>
      <c r="AB19" s="3" t="s">
        <v>51</v>
      </c>
      <c r="AC19" s="3" t="s">
        <v>52</v>
      </c>
      <c r="AD19" s="3" t="s">
        <v>53</v>
      </c>
      <c r="AE19" s="3" t="s">
        <v>54</v>
      </c>
      <c r="AF19" s="3" t="s">
        <v>55</v>
      </c>
      <c r="AG19" s="3" t="s">
        <v>186</v>
      </c>
    </row>
    <row r="20" spans="1:33" x14ac:dyDescent="0.2">
      <c r="A20" s="2" t="s">
        <v>178</v>
      </c>
      <c r="B20" s="2" t="s">
        <v>187</v>
      </c>
      <c r="C20" s="2" t="s">
        <v>188</v>
      </c>
      <c r="D20" s="2" t="s">
        <v>36</v>
      </c>
      <c r="E20" s="2" t="s">
        <v>167</v>
      </c>
      <c r="F20" s="2" t="s">
        <v>189</v>
      </c>
      <c r="G20" s="2" t="s">
        <v>138</v>
      </c>
      <c r="H20" s="2" t="s">
        <v>181</v>
      </c>
      <c r="I20" s="2">
        <v>73</v>
      </c>
      <c r="J20" s="2" t="s">
        <v>41</v>
      </c>
      <c r="K20" s="2" t="s">
        <v>110</v>
      </c>
      <c r="L20" s="2" t="s">
        <v>45</v>
      </c>
      <c r="M20" s="2" t="s">
        <v>125</v>
      </c>
      <c r="N20" s="2" t="s">
        <v>182</v>
      </c>
      <c r="O20" s="2" t="s">
        <v>183</v>
      </c>
      <c r="P20" s="2" t="s">
        <v>184</v>
      </c>
      <c r="Q20" s="2" t="s">
        <v>48</v>
      </c>
      <c r="R20" s="2" t="s">
        <v>190</v>
      </c>
      <c r="S20" s="2">
        <v>2</v>
      </c>
      <c r="T20" s="2">
        <v>173</v>
      </c>
      <c r="U20" s="2">
        <v>104</v>
      </c>
      <c r="V20" s="2">
        <v>70</v>
      </c>
      <c r="W20" s="2">
        <v>25</v>
      </c>
      <c r="X20" s="2">
        <v>36.299999999999997</v>
      </c>
      <c r="Y20" s="2">
        <v>42.4</v>
      </c>
      <c r="Z20" s="2">
        <v>98</v>
      </c>
      <c r="AA20" s="2" t="s">
        <v>50</v>
      </c>
      <c r="AB20" s="2" t="s">
        <v>51</v>
      </c>
      <c r="AC20" s="2" t="s">
        <v>52</v>
      </c>
      <c r="AD20" s="2" t="s">
        <v>53</v>
      </c>
      <c r="AE20" s="2" t="s">
        <v>54</v>
      </c>
      <c r="AF20" s="2" t="s">
        <v>55</v>
      </c>
      <c r="AG20" s="2" t="s">
        <v>191</v>
      </c>
    </row>
    <row r="21" spans="1:33" x14ac:dyDescent="0.2">
      <c r="A21" s="3" t="s">
        <v>192</v>
      </c>
      <c r="B21" s="3" t="s">
        <v>193</v>
      </c>
      <c r="C21" s="3" t="s">
        <v>171</v>
      </c>
      <c r="D21" s="3" t="s">
        <v>95</v>
      </c>
      <c r="E21" s="3" t="s">
        <v>89</v>
      </c>
      <c r="F21" s="3" t="s">
        <v>189</v>
      </c>
      <c r="G21" s="3" t="s">
        <v>104</v>
      </c>
      <c r="H21" s="3" t="s">
        <v>194</v>
      </c>
      <c r="I21" s="3">
        <v>69</v>
      </c>
      <c r="J21" s="3" t="s">
        <v>41</v>
      </c>
      <c r="K21" s="3" t="s">
        <v>110</v>
      </c>
      <c r="L21" s="3" t="s">
        <v>79</v>
      </c>
      <c r="M21" s="3"/>
      <c r="N21" s="3" t="s">
        <v>81</v>
      </c>
      <c r="O21" s="3" t="s">
        <v>195</v>
      </c>
      <c r="P21" s="3" t="s">
        <v>196</v>
      </c>
      <c r="Q21" s="3" t="s">
        <v>69</v>
      </c>
      <c r="R21" s="3" t="s">
        <v>197</v>
      </c>
      <c r="S21" s="3">
        <v>3</v>
      </c>
      <c r="T21" s="3">
        <v>174</v>
      </c>
      <c r="U21" s="3">
        <v>71</v>
      </c>
      <c r="V21" s="3">
        <v>94</v>
      </c>
      <c r="W21" s="3">
        <v>28</v>
      </c>
      <c r="X21" s="3">
        <v>36.1</v>
      </c>
      <c r="Y21" s="3">
        <v>34.5</v>
      </c>
      <c r="Z21" s="3">
        <v>91</v>
      </c>
      <c r="AA21" s="3" t="s">
        <v>50</v>
      </c>
      <c r="AB21" s="3" t="s">
        <v>51</v>
      </c>
      <c r="AC21" s="3" t="s">
        <v>52</v>
      </c>
      <c r="AD21" s="3" t="s">
        <v>53</v>
      </c>
      <c r="AE21" s="3" t="s">
        <v>54</v>
      </c>
      <c r="AF21" s="3" t="s">
        <v>55</v>
      </c>
      <c r="AG21" s="3" t="s">
        <v>198</v>
      </c>
    </row>
    <row r="22" spans="1:33" x14ac:dyDescent="0.2">
      <c r="A22" s="2" t="s">
        <v>192</v>
      </c>
      <c r="B22" s="2" t="s">
        <v>199</v>
      </c>
      <c r="C22" s="2" t="s">
        <v>200</v>
      </c>
      <c r="D22" s="2" t="s">
        <v>36</v>
      </c>
      <c r="E22" s="2" t="s">
        <v>89</v>
      </c>
      <c r="F22" s="2" t="s">
        <v>62</v>
      </c>
      <c r="G22" s="2" t="s">
        <v>39</v>
      </c>
      <c r="H22" s="2" t="s">
        <v>194</v>
      </c>
      <c r="I22" s="2">
        <v>69</v>
      </c>
      <c r="J22" s="2" t="s">
        <v>41</v>
      </c>
      <c r="K22" s="2" t="s">
        <v>42</v>
      </c>
      <c r="L22" s="2" t="s">
        <v>79</v>
      </c>
      <c r="M22" s="2"/>
      <c r="N22" s="2" t="s">
        <v>81</v>
      </c>
      <c r="O22" s="2" t="s">
        <v>195</v>
      </c>
      <c r="P22" s="2" t="s">
        <v>196</v>
      </c>
      <c r="Q22" s="2" t="s">
        <v>69</v>
      </c>
      <c r="R22" s="2" t="s">
        <v>201</v>
      </c>
      <c r="S22" s="2">
        <v>4</v>
      </c>
      <c r="T22" s="2">
        <v>134</v>
      </c>
      <c r="U22" s="2">
        <v>86</v>
      </c>
      <c r="V22" s="2">
        <v>110</v>
      </c>
      <c r="W22" s="2">
        <v>23</v>
      </c>
      <c r="X22" s="2">
        <v>39</v>
      </c>
      <c r="Y22" s="2">
        <v>38.5</v>
      </c>
      <c r="Z22" s="2">
        <v>90</v>
      </c>
      <c r="AA22" s="2" t="s">
        <v>50</v>
      </c>
      <c r="AB22" s="2" t="s">
        <v>51</v>
      </c>
      <c r="AC22" s="2" t="s">
        <v>52</v>
      </c>
      <c r="AD22" s="2" t="s">
        <v>53</v>
      </c>
      <c r="AE22" s="2" t="s">
        <v>54</v>
      </c>
      <c r="AF22" s="2" t="s">
        <v>55</v>
      </c>
      <c r="AG22" s="2" t="s">
        <v>202</v>
      </c>
    </row>
    <row r="23" spans="1:33" x14ac:dyDescent="0.2">
      <c r="A23" s="3" t="s">
        <v>192</v>
      </c>
      <c r="B23" s="3" t="s">
        <v>203</v>
      </c>
      <c r="C23" s="3" t="s">
        <v>204</v>
      </c>
      <c r="D23" s="3" t="s">
        <v>36</v>
      </c>
      <c r="E23" s="3" t="s">
        <v>167</v>
      </c>
      <c r="F23" s="3" t="s">
        <v>189</v>
      </c>
      <c r="G23" s="3" t="s">
        <v>39</v>
      </c>
      <c r="H23" s="3" t="s">
        <v>194</v>
      </c>
      <c r="I23" s="3">
        <v>69</v>
      </c>
      <c r="J23" s="3" t="s">
        <v>41</v>
      </c>
      <c r="K23" s="3" t="s">
        <v>66</v>
      </c>
      <c r="L23" s="3" t="s">
        <v>79</v>
      </c>
      <c r="M23" s="3"/>
      <c r="N23" s="3" t="s">
        <v>81</v>
      </c>
      <c r="O23" s="3" t="s">
        <v>195</v>
      </c>
      <c r="P23" s="3" t="s">
        <v>196</v>
      </c>
      <c r="Q23" s="3" t="s">
        <v>69</v>
      </c>
      <c r="R23" s="3" t="s">
        <v>205</v>
      </c>
      <c r="S23" s="3">
        <v>3</v>
      </c>
      <c r="T23" s="3">
        <v>158</v>
      </c>
      <c r="U23" s="3">
        <v>88</v>
      </c>
      <c r="V23" s="3">
        <v>64</v>
      </c>
      <c r="W23" s="3">
        <v>23</v>
      </c>
      <c r="X23" s="3">
        <v>37.200000000000003</v>
      </c>
      <c r="Y23" s="3">
        <v>38.799999999999997</v>
      </c>
      <c r="Z23" s="3">
        <v>89</v>
      </c>
      <c r="AA23" s="3" t="s">
        <v>50</v>
      </c>
      <c r="AB23" s="3" t="s">
        <v>51</v>
      </c>
      <c r="AC23" s="3" t="s">
        <v>52</v>
      </c>
      <c r="AD23" s="3" t="s">
        <v>53</v>
      </c>
      <c r="AE23" s="3" t="s">
        <v>54</v>
      </c>
      <c r="AF23" s="3" t="s">
        <v>55</v>
      </c>
      <c r="AG23" s="3" t="s">
        <v>206</v>
      </c>
    </row>
    <row r="24" spans="1:33" x14ac:dyDescent="0.2">
      <c r="A24" s="2" t="s">
        <v>207</v>
      </c>
      <c r="B24" s="2" t="s">
        <v>208</v>
      </c>
      <c r="C24" s="2" t="s">
        <v>209</v>
      </c>
      <c r="D24" s="2" t="s">
        <v>103</v>
      </c>
      <c r="E24" s="2" t="s">
        <v>96</v>
      </c>
      <c r="F24" s="2" t="s">
        <v>97</v>
      </c>
      <c r="G24" s="2" t="s">
        <v>63</v>
      </c>
      <c r="H24" s="2" t="s">
        <v>210</v>
      </c>
      <c r="I24" s="2">
        <v>77</v>
      </c>
      <c r="J24" s="2" t="s">
        <v>65</v>
      </c>
      <c r="K24" s="2" t="s">
        <v>78</v>
      </c>
      <c r="L24" s="2" t="s">
        <v>141</v>
      </c>
      <c r="M24" s="2" t="s">
        <v>80</v>
      </c>
      <c r="N24" s="2" t="s">
        <v>45</v>
      </c>
      <c r="O24" s="2" t="s">
        <v>211</v>
      </c>
      <c r="P24" s="2" t="s">
        <v>212</v>
      </c>
      <c r="Q24" s="2" t="s">
        <v>48</v>
      </c>
      <c r="R24" s="2" t="s">
        <v>144</v>
      </c>
      <c r="S24" s="2">
        <v>1</v>
      </c>
      <c r="T24" s="2">
        <v>152</v>
      </c>
      <c r="U24" s="2">
        <v>75</v>
      </c>
      <c r="V24" s="2">
        <v>111</v>
      </c>
      <c r="W24" s="2">
        <v>24</v>
      </c>
      <c r="X24" s="2">
        <v>38.200000000000003</v>
      </c>
      <c r="Y24" s="2">
        <v>23.9</v>
      </c>
      <c r="Z24" s="2">
        <v>90</v>
      </c>
      <c r="AA24" s="2" t="s">
        <v>50</v>
      </c>
      <c r="AB24" s="2" t="s">
        <v>51</v>
      </c>
      <c r="AC24" s="2" t="s">
        <v>52</v>
      </c>
      <c r="AD24" s="2" t="s">
        <v>53</v>
      </c>
      <c r="AE24" s="2" t="s">
        <v>54</v>
      </c>
      <c r="AF24" s="2" t="s">
        <v>55</v>
      </c>
      <c r="AG24" s="2" t="s">
        <v>213</v>
      </c>
    </row>
    <row r="25" spans="1:33" x14ac:dyDescent="0.2">
      <c r="A25" s="3" t="s">
        <v>207</v>
      </c>
      <c r="B25" s="3" t="s">
        <v>214</v>
      </c>
      <c r="C25" s="3" t="s">
        <v>215</v>
      </c>
      <c r="D25" s="3" t="s">
        <v>103</v>
      </c>
      <c r="E25" s="3" t="s">
        <v>61</v>
      </c>
      <c r="F25" s="3" t="s">
        <v>148</v>
      </c>
      <c r="G25" s="3" t="s">
        <v>98</v>
      </c>
      <c r="H25" s="3" t="s">
        <v>210</v>
      </c>
      <c r="I25" s="3">
        <v>77</v>
      </c>
      <c r="J25" s="3" t="s">
        <v>65</v>
      </c>
      <c r="K25" s="3" t="s">
        <v>110</v>
      </c>
      <c r="L25" s="3" t="s">
        <v>141</v>
      </c>
      <c r="M25" s="3" t="s">
        <v>80</v>
      </c>
      <c r="N25" s="3" t="s">
        <v>45</v>
      </c>
      <c r="O25" s="3" t="s">
        <v>211</v>
      </c>
      <c r="P25" s="3" t="s">
        <v>212</v>
      </c>
      <c r="Q25" s="3" t="s">
        <v>48</v>
      </c>
      <c r="R25" s="3" t="s">
        <v>159</v>
      </c>
      <c r="S25" s="3">
        <v>1</v>
      </c>
      <c r="T25" s="3">
        <v>175</v>
      </c>
      <c r="U25" s="3">
        <v>90</v>
      </c>
      <c r="V25" s="3">
        <v>104</v>
      </c>
      <c r="W25" s="3">
        <v>18</v>
      </c>
      <c r="X25" s="3">
        <v>37.299999999999997</v>
      </c>
      <c r="Y25" s="3">
        <v>21.7</v>
      </c>
      <c r="Z25" s="3">
        <v>96</v>
      </c>
      <c r="AA25" s="3" t="s">
        <v>50</v>
      </c>
      <c r="AB25" s="3" t="s">
        <v>51</v>
      </c>
      <c r="AC25" s="3" t="s">
        <v>52</v>
      </c>
      <c r="AD25" s="3" t="s">
        <v>53</v>
      </c>
      <c r="AE25" s="3" t="s">
        <v>54</v>
      </c>
      <c r="AF25" s="3" t="s">
        <v>55</v>
      </c>
      <c r="AG25" s="3" t="s">
        <v>216</v>
      </c>
    </row>
    <row r="26" spans="1:33" x14ac:dyDescent="0.2">
      <c r="A26" s="2" t="s">
        <v>207</v>
      </c>
      <c r="B26" s="2" t="s">
        <v>217</v>
      </c>
      <c r="C26" s="2" t="s">
        <v>218</v>
      </c>
      <c r="D26" s="2" t="s">
        <v>103</v>
      </c>
      <c r="E26" s="2" t="s">
        <v>96</v>
      </c>
      <c r="F26" s="2" t="s">
        <v>219</v>
      </c>
      <c r="G26" s="2" t="s">
        <v>104</v>
      </c>
      <c r="H26" s="2" t="s">
        <v>210</v>
      </c>
      <c r="I26" s="2">
        <v>77</v>
      </c>
      <c r="J26" s="2" t="s">
        <v>65</v>
      </c>
      <c r="K26" s="2" t="s">
        <v>66</v>
      </c>
      <c r="L26" s="2" t="s">
        <v>141</v>
      </c>
      <c r="M26" s="2" t="s">
        <v>80</v>
      </c>
      <c r="N26" s="2" t="s">
        <v>45</v>
      </c>
      <c r="O26" s="2" t="s">
        <v>211</v>
      </c>
      <c r="P26" s="2" t="s">
        <v>212</v>
      </c>
      <c r="Q26" s="2" t="s">
        <v>48</v>
      </c>
      <c r="R26" s="2" t="s">
        <v>220</v>
      </c>
      <c r="S26" s="2">
        <v>4</v>
      </c>
      <c r="T26" s="2">
        <v>117</v>
      </c>
      <c r="U26" s="2">
        <v>106</v>
      </c>
      <c r="V26" s="2">
        <v>84</v>
      </c>
      <c r="W26" s="2">
        <v>25</v>
      </c>
      <c r="X26" s="2">
        <v>38.1</v>
      </c>
      <c r="Y26" s="2">
        <v>45.7</v>
      </c>
      <c r="Z26" s="2">
        <v>95</v>
      </c>
      <c r="AA26" s="2" t="s">
        <v>50</v>
      </c>
      <c r="AB26" s="2" t="s">
        <v>51</v>
      </c>
      <c r="AC26" s="2" t="s">
        <v>52</v>
      </c>
      <c r="AD26" s="2" t="s">
        <v>53</v>
      </c>
      <c r="AE26" s="2" t="s">
        <v>54</v>
      </c>
      <c r="AF26" s="2" t="s">
        <v>55</v>
      </c>
      <c r="AG26" s="2" t="s">
        <v>221</v>
      </c>
    </row>
    <row r="27" spans="1:33" x14ac:dyDescent="0.2">
      <c r="A27" s="3" t="s">
        <v>222</v>
      </c>
      <c r="B27" s="3" t="s">
        <v>223</v>
      </c>
      <c r="C27" s="3" t="s">
        <v>224</v>
      </c>
      <c r="D27" s="3" t="s">
        <v>60</v>
      </c>
      <c r="E27" s="3" t="s">
        <v>61</v>
      </c>
      <c r="F27" s="3" t="s">
        <v>132</v>
      </c>
      <c r="G27" s="3" t="s">
        <v>39</v>
      </c>
      <c r="H27" s="3" t="s">
        <v>225</v>
      </c>
      <c r="I27" s="3">
        <v>53</v>
      </c>
      <c r="J27" s="3" t="s">
        <v>41</v>
      </c>
      <c r="K27" s="3" t="s">
        <v>66</v>
      </c>
      <c r="L27" s="3" t="s">
        <v>141</v>
      </c>
      <c r="M27" s="3" t="s">
        <v>44</v>
      </c>
      <c r="N27" s="3" t="s">
        <v>81</v>
      </c>
      <c r="O27" s="3" t="s">
        <v>46</v>
      </c>
      <c r="P27" s="3" t="s">
        <v>47</v>
      </c>
      <c r="Q27" s="3" t="s">
        <v>48</v>
      </c>
      <c r="R27" s="3" t="s">
        <v>226</v>
      </c>
      <c r="S27" s="3">
        <v>4</v>
      </c>
      <c r="T27" s="3">
        <v>124</v>
      </c>
      <c r="U27" s="3">
        <v>87</v>
      </c>
      <c r="V27" s="3">
        <v>60</v>
      </c>
      <c r="W27" s="3">
        <v>16</v>
      </c>
      <c r="X27" s="3">
        <v>38.200000000000003</v>
      </c>
      <c r="Y27" s="3">
        <v>37.6</v>
      </c>
      <c r="Z27" s="3">
        <v>88</v>
      </c>
      <c r="AA27" s="3" t="s">
        <v>50</v>
      </c>
      <c r="AB27" s="3" t="s">
        <v>51</v>
      </c>
      <c r="AC27" s="3" t="s">
        <v>52</v>
      </c>
      <c r="AD27" s="3" t="s">
        <v>53</v>
      </c>
      <c r="AE27" s="3" t="s">
        <v>54</v>
      </c>
      <c r="AF27" s="3" t="s">
        <v>55</v>
      </c>
      <c r="AG27" s="3" t="s">
        <v>186</v>
      </c>
    </row>
    <row r="28" spans="1:33" x14ac:dyDescent="0.2">
      <c r="A28" s="2" t="s">
        <v>222</v>
      </c>
      <c r="B28" s="2" t="s">
        <v>227</v>
      </c>
      <c r="C28" s="2" t="s">
        <v>228</v>
      </c>
      <c r="D28" s="2" t="s">
        <v>95</v>
      </c>
      <c r="E28" s="2" t="s">
        <v>61</v>
      </c>
      <c r="F28" s="2" t="s">
        <v>62</v>
      </c>
      <c r="G28" s="2" t="s">
        <v>39</v>
      </c>
      <c r="H28" s="2" t="s">
        <v>225</v>
      </c>
      <c r="I28" s="2">
        <v>53</v>
      </c>
      <c r="J28" s="2" t="s">
        <v>41</v>
      </c>
      <c r="K28" s="2" t="s">
        <v>78</v>
      </c>
      <c r="L28" s="2" t="s">
        <v>141</v>
      </c>
      <c r="M28" s="2" t="s">
        <v>44</v>
      </c>
      <c r="N28" s="2" t="s">
        <v>81</v>
      </c>
      <c r="O28" s="2" t="s">
        <v>46</v>
      </c>
      <c r="P28" s="2" t="s">
        <v>47</v>
      </c>
      <c r="Q28" s="2" t="s">
        <v>48</v>
      </c>
      <c r="R28" s="2" t="s">
        <v>229</v>
      </c>
      <c r="S28" s="2">
        <v>4</v>
      </c>
      <c r="T28" s="2">
        <v>180</v>
      </c>
      <c r="U28" s="2">
        <v>56</v>
      </c>
      <c r="V28" s="2">
        <v>116</v>
      </c>
      <c r="W28" s="2">
        <v>21</v>
      </c>
      <c r="X28" s="2">
        <v>37.5</v>
      </c>
      <c r="Y28" s="2">
        <v>44.4</v>
      </c>
      <c r="Z28" s="2">
        <v>91</v>
      </c>
      <c r="AA28" s="2" t="s">
        <v>50</v>
      </c>
      <c r="AB28" s="2" t="s">
        <v>51</v>
      </c>
      <c r="AC28" s="2" t="s">
        <v>52</v>
      </c>
      <c r="AD28" s="2" t="s">
        <v>53</v>
      </c>
      <c r="AE28" s="2" t="s">
        <v>54</v>
      </c>
      <c r="AF28" s="2" t="s">
        <v>55</v>
      </c>
      <c r="AG28" s="2" t="s">
        <v>191</v>
      </c>
    </row>
    <row r="29" spans="1:33" x14ac:dyDescent="0.2">
      <c r="A29" s="3" t="s">
        <v>230</v>
      </c>
      <c r="B29" s="3" t="s">
        <v>231</v>
      </c>
      <c r="C29" s="3" t="s">
        <v>232</v>
      </c>
      <c r="D29" s="3" t="s">
        <v>95</v>
      </c>
      <c r="E29" s="3" t="s">
        <v>167</v>
      </c>
      <c r="F29" s="3" t="s">
        <v>189</v>
      </c>
      <c r="G29" s="3" t="s">
        <v>98</v>
      </c>
      <c r="H29" s="3" t="s">
        <v>233</v>
      </c>
      <c r="I29" s="3">
        <v>67</v>
      </c>
      <c r="J29" s="3" t="s">
        <v>41</v>
      </c>
      <c r="K29" s="3" t="s">
        <v>42</v>
      </c>
      <c r="L29" s="3" t="s">
        <v>43</v>
      </c>
      <c r="M29" s="3"/>
      <c r="N29" s="3" t="s">
        <v>182</v>
      </c>
      <c r="O29" s="3" t="s">
        <v>150</v>
      </c>
      <c r="P29" s="3" t="s">
        <v>151</v>
      </c>
      <c r="Q29" s="3" t="s">
        <v>69</v>
      </c>
      <c r="R29" s="3" t="s">
        <v>234</v>
      </c>
      <c r="S29" s="3">
        <v>1</v>
      </c>
      <c r="T29" s="3">
        <v>97</v>
      </c>
      <c r="U29" s="3">
        <v>79</v>
      </c>
      <c r="V29" s="3">
        <v>92</v>
      </c>
      <c r="W29" s="3">
        <v>12</v>
      </c>
      <c r="X29" s="3">
        <v>38.1</v>
      </c>
      <c r="Y29" s="3">
        <v>21.4</v>
      </c>
      <c r="Z29" s="3">
        <v>93</v>
      </c>
      <c r="AA29" s="3" t="s">
        <v>50</v>
      </c>
      <c r="AB29" s="3" t="s">
        <v>51</v>
      </c>
      <c r="AC29" s="3" t="s">
        <v>52</v>
      </c>
      <c r="AD29" s="3" t="s">
        <v>53</v>
      </c>
      <c r="AE29" s="3" t="s">
        <v>54</v>
      </c>
      <c r="AF29" s="3" t="s">
        <v>55</v>
      </c>
      <c r="AG29" s="3" t="s">
        <v>85</v>
      </c>
    </row>
    <row r="30" spans="1:33" x14ac:dyDescent="0.2">
      <c r="A30" s="2" t="s">
        <v>230</v>
      </c>
      <c r="B30" s="2" t="s">
        <v>235</v>
      </c>
      <c r="C30" s="2" t="s">
        <v>236</v>
      </c>
      <c r="D30" s="2" t="s">
        <v>103</v>
      </c>
      <c r="E30" s="2" t="s">
        <v>37</v>
      </c>
      <c r="F30" s="2" t="s">
        <v>75</v>
      </c>
      <c r="G30" s="2" t="s">
        <v>123</v>
      </c>
      <c r="H30" s="2" t="s">
        <v>233</v>
      </c>
      <c r="I30" s="2">
        <v>67</v>
      </c>
      <c r="J30" s="2" t="s">
        <v>41</v>
      </c>
      <c r="K30" s="2" t="s">
        <v>140</v>
      </c>
      <c r="L30" s="2" t="s">
        <v>43</v>
      </c>
      <c r="M30" s="2"/>
      <c r="N30" s="2" t="s">
        <v>182</v>
      </c>
      <c r="O30" s="2" t="s">
        <v>150</v>
      </c>
      <c r="P30" s="2" t="s">
        <v>151</v>
      </c>
      <c r="Q30" s="2" t="s">
        <v>69</v>
      </c>
      <c r="R30" s="2" t="s">
        <v>237</v>
      </c>
      <c r="S30" s="2">
        <v>1</v>
      </c>
      <c r="T30" s="2">
        <v>164</v>
      </c>
      <c r="U30" s="2">
        <v>78</v>
      </c>
      <c r="V30" s="2">
        <v>106</v>
      </c>
      <c r="W30" s="2">
        <v>25</v>
      </c>
      <c r="X30" s="2">
        <v>36.799999999999997</v>
      </c>
      <c r="Y30" s="2">
        <v>19.8</v>
      </c>
      <c r="Z30" s="2">
        <v>87</v>
      </c>
      <c r="AA30" s="2" t="s">
        <v>50</v>
      </c>
      <c r="AB30" s="2" t="s">
        <v>51</v>
      </c>
      <c r="AC30" s="2" t="s">
        <v>52</v>
      </c>
      <c r="AD30" s="2" t="s">
        <v>53</v>
      </c>
      <c r="AE30" s="2" t="s">
        <v>54</v>
      </c>
      <c r="AF30" s="2" t="s">
        <v>55</v>
      </c>
      <c r="AG30" s="2" t="s">
        <v>92</v>
      </c>
    </row>
    <row r="31" spans="1:33" x14ac:dyDescent="0.2">
      <c r="A31" s="3" t="s">
        <v>230</v>
      </c>
      <c r="B31" s="3" t="s">
        <v>238</v>
      </c>
      <c r="C31" s="3" t="s">
        <v>239</v>
      </c>
      <c r="D31" s="3" t="s">
        <v>103</v>
      </c>
      <c r="E31" s="3" t="s">
        <v>167</v>
      </c>
      <c r="F31" s="3" t="s">
        <v>122</v>
      </c>
      <c r="G31" s="3" t="s">
        <v>123</v>
      </c>
      <c r="H31" s="3" t="s">
        <v>233</v>
      </c>
      <c r="I31" s="3">
        <v>67</v>
      </c>
      <c r="J31" s="3" t="s">
        <v>41</v>
      </c>
      <c r="K31" s="3" t="s">
        <v>42</v>
      </c>
      <c r="L31" s="3" t="s">
        <v>43</v>
      </c>
      <c r="M31" s="3"/>
      <c r="N31" s="3" t="s">
        <v>182</v>
      </c>
      <c r="O31" s="3" t="s">
        <v>150</v>
      </c>
      <c r="P31" s="3" t="s">
        <v>151</v>
      </c>
      <c r="Q31" s="3" t="s">
        <v>69</v>
      </c>
      <c r="R31" s="3" t="s">
        <v>240</v>
      </c>
      <c r="S31" s="3">
        <v>3</v>
      </c>
      <c r="T31" s="3">
        <v>171</v>
      </c>
      <c r="U31" s="3">
        <v>92</v>
      </c>
      <c r="V31" s="3">
        <v>68</v>
      </c>
      <c r="W31" s="3">
        <v>20</v>
      </c>
      <c r="X31" s="3">
        <v>36.4</v>
      </c>
      <c r="Y31" s="3">
        <v>44.5</v>
      </c>
      <c r="Z31" s="3">
        <v>93</v>
      </c>
      <c r="AA31" s="3" t="s">
        <v>50</v>
      </c>
      <c r="AB31" s="3" t="s">
        <v>51</v>
      </c>
      <c r="AC31" s="3" t="s">
        <v>52</v>
      </c>
      <c r="AD31" s="3" t="s">
        <v>53</v>
      </c>
      <c r="AE31" s="3" t="s">
        <v>54</v>
      </c>
      <c r="AF31" s="3" t="s">
        <v>55</v>
      </c>
      <c r="AG31" s="3" t="s">
        <v>100</v>
      </c>
    </row>
    <row r="32" spans="1:33" x14ac:dyDescent="0.2">
      <c r="A32" s="2" t="s">
        <v>230</v>
      </c>
      <c r="B32" s="2" t="s">
        <v>241</v>
      </c>
      <c r="C32" s="2" t="s">
        <v>242</v>
      </c>
      <c r="D32" s="2" t="s">
        <v>88</v>
      </c>
      <c r="E32" s="2" t="s">
        <v>37</v>
      </c>
      <c r="F32" s="2" t="s">
        <v>97</v>
      </c>
      <c r="G32" s="2" t="s">
        <v>123</v>
      </c>
      <c r="H32" s="2" t="s">
        <v>233</v>
      </c>
      <c r="I32" s="2">
        <v>67</v>
      </c>
      <c r="J32" s="2" t="s">
        <v>41</v>
      </c>
      <c r="K32" s="2" t="s">
        <v>42</v>
      </c>
      <c r="L32" s="2" t="s">
        <v>43</v>
      </c>
      <c r="M32" s="2"/>
      <c r="N32" s="2" t="s">
        <v>182</v>
      </c>
      <c r="O32" s="2" t="s">
        <v>150</v>
      </c>
      <c r="P32" s="2" t="s">
        <v>151</v>
      </c>
      <c r="Q32" s="2" t="s">
        <v>69</v>
      </c>
      <c r="R32" s="2" t="s">
        <v>243</v>
      </c>
      <c r="S32" s="2">
        <v>1</v>
      </c>
      <c r="T32" s="2">
        <v>156</v>
      </c>
      <c r="U32" s="2">
        <v>112</v>
      </c>
      <c r="V32" s="2">
        <v>80</v>
      </c>
      <c r="W32" s="2">
        <v>23</v>
      </c>
      <c r="X32" s="2">
        <v>36.200000000000003</v>
      </c>
      <c r="Y32" s="2">
        <v>37.200000000000003</v>
      </c>
      <c r="Z32" s="2">
        <v>95</v>
      </c>
      <c r="AA32" s="2" t="s">
        <v>50</v>
      </c>
      <c r="AB32" s="2" t="s">
        <v>51</v>
      </c>
      <c r="AC32" s="2" t="s">
        <v>52</v>
      </c>
      <c r="AD32" s="2" t="s">
        <v>53</v>
      </c>
      <c r="AE32" s="2" t="s">
        <v>54</v>
      </c>
      <c r="AF32" s="2" t="s">
        <v>55</v>
      </c>
      <c r="AG32" s="2" t="s">
        <v>106</v>
      </c>
    </row>
    <row r="33" spans="1:33" x14ac:dyDescent="0.2">
      <c r="A33" s="3" t="s">
        <v>230</v>
      </c>
      <c r="B33" s="3" t="s">
        <v>244</v>
      </c>
      <c r="C33" s="3" t="s">
        <v>245</v>
      </c>
      <c r="D33" s="3" t="s">
        <v>103</v>
      </c>
      <c r="E33" s="3" t="s">
        <v>89</v>
      </c>
      <c r="F33" s="3" t="s">
        <v>62</v>
      </c>
      <c r="G33" s="3" t="s">
        <v>98</v>
      </c>
      <c r="H33" s="3" t="s">
        <v>233</v>
      </c>
      <c r="I33" s="3">
        <v>67</v>
      </c>
      <c r="J33" s="3" t="s">
        <v>41</v>
      </c>
      <c r="K33" s="3" t="s">
        <v>78</v>
      </c>
      <c r="L33" s="3" t="s">
        <v>43</v>
      </c>
      <c r="M33" s="3"/>
      <c r="N33" s="3" t="s">
        <v>182</v>
      </c>
      <c r="O33" s="3" t="s">
        <v>150</v>
      </c>
      <c r="P33" s="3" t="s">
        <v>151</v>
      </c>
      <c r="Q33" s="3" t="s">
        <v>69</v>
      </c>
      <c r="R33" s="3" t="s">
        <v>246</v>
      </c>
      <c r="S33" s="3">
        <v>3</v>
      </c>
      <c r="T33" s="3">
        <v>134</v>
      </c>
      <c r="U33" s="3">
        <v>77</v>
      </c>
      <c r="V33" s="3">
        <v>88</v>
      </c>
      <c r="W33" s="3">
        <v>17</v>
      </c>
      <c r="X33" s="3">
        <v>38.700000000000003</v>
      </c>
      <c r="Y33" s="3">
        <v>40.9</v>
      </c>
      <c r="Z33" s="3">
        <v>88</v>
      </c>
      <c r="AA33" s="3" t="s">
        <v>50</v>
      </c>
      <c r="AB33" s="3" t="s">
        <v>51</v>
      </c>
      <c r="AC33" s="3" t="s">
        <v>52</v>
      </c>
      <c r="AD33" s="3" t="s">
        <v>53</v>
      </c>
      <c r="AE33" s="3" t="s">
        <v>54</v>
      </c>
      <c r="AF33" s="3" t="s">
        <v>55</v>
      </c>
      <c r="AG33" s="3" t="s">
        <v>112</v>
      </c>
    </row>
    <row r="34" spans="1:33" x14ac:dyDescent="0.2">
      <c r="A34" s="2" t="s">
        <v>230</v>
      </c>
      <c r="B34" s="2" t="s">
        <v>247</v>
      </c>
      <c r="C34" s="2" t="s">
        <v>248</v>
      </c>
      <c r="D34" s="2" t="s">
        <v>95</v>
      </c>
      <c r="E34" s="2" t="s">
        <v>167</v>
      </c>
      <c r="F34" s="2" t="s">
        <v>38</v>
      </c>
      <c r="G34" s="2" t="s">
        <v>98</v>
      </c>
      <c r="H34" s="2" t="s">
        <v>233</v>
      </c>
      <c r="I34" s="2">
        <v>67</v>
      </c>
      <c r="J34" s="2" t="s">
        <v>41</v>
      </c>
      <c r="K34" s="2" t="s">
        <v>140</v>
      </c>
      <c r="L34" s="2" t="s">
        <v>43</v>
      </c>
      <c r="M34" s="2"/>
      <c r="N34" s="2" t="s">
        <v>182</v>
      </c>
      <c r="O34" s="2" t="s">
        <v>150</v>
      </c>
      <c r="P34" s="2" t="s">
        <v>151</v>
      </c>
      <c r="Q34" s="2" t="s">
        <v>69</v>
      </c>
      <c r="R34" s="2" t="s">
        <v>249</v>
      </c>
      <c r="S34" s="2">
        <v>4</v>
      </c>
      <c r="T34" s="2">
        <v>169</v>
      </c>
      <c r="U34" s="2">
        <v>91</v>
      </c>
      <c r="V34" s="2">
        <v>74</v>
      </c>
      <c r="W34" s="2">
        <v>16</v>
      </c>
      <c r="X34" s="2">
        <v>39</v>
      </c>
      <c r="Y34" s="2">
        <v>25.4</v>
      </c>
      <c r="Z34" s="2">
        <v>93</v>
      </c>
      <c r="AA34" s="2" t="s">
        <v>50</v>
      </c>
      <c r="AB34" s="2" t="s">
        <v>51</v>
      </c>
      <c r="AC34" s="2" t="s">
        <v>52</v>
      </c>
      <c r="AD34" s="2" t="s">
        <v>53</v>
      </c>
      <c r="AE34" s="2" t="s">
        <v>54</v>
      </c>
      <c r="AF34" s="2" t="s">
        <v>55</v>
      </c>
      <c r="AG34" s="2" t="s">
        <v>118</v>
      </c>
    </row>
    <row r="35" spans="1:33" x14ac:dyDescent="0.2">
      <c r="A35" s="3" t="s">
        <v>250</v>
      </c>
      <c r="B35" s="3" t="s">
        <v>251</v>
      </c>
      <c r="C35" s="3" t="s">
        <v>252</v>
      </c>
      <c r="D35" s="3" t="s">
        <v>36</v>
      </c>
      <c r="E35" s="3" t="s">
        <v>89</v>
      </c>
      <c r="F35" s="3" t="s">
        <v>109</v>
      </c>
      <c r="G35" s="3" t="s">
        <v>98</v>
      </c>
      <c r="H35" s="3" t="s">
        <v>253</v>
      </c>
      <c r="I35" s="3">
        <v>51</v>
      </c>
      <c r="J35" s="3" t="s">
        <v>65</v>
      </c>
      <c r="K35" s="3" t="s">
        <v>90</v>
      </c>
      <c r="L35" s="3" t="s">
        <v>45</v>
      </c>
      <c r="M35" s="3" t="s">
        <v>80</v>
      </c>
      <c r="N35" s="3" t="s">
        <v>45</v>
      </c>
      <c r="O35" s="3" t="s">
        <v>254</v>
      </c>
      <c r="P35" s="3" t="s">
        <v>255</v>
      </c>
      <c r="Q35" s="3" t="s">
        <v>69</v>
      </c>
      <c r="R35" s="3" t="s">
        <v>256</v>
      </c>
      <c r="S35" s="3">
        <v>2</v>
      </c>
      <c r="T35" s="3">
        <v>139</v>
      </c>
      <c r="U35" s="3">
        <v>100</v>
      </c>
      <c r="V35" s="3">
        <v>102</v>
      </c>
      <c r="W35" s="3">
        <v>22</v>
      </c>
      <c r="X35" s="3">
        <v>37.6</v>
      </c>
      <c r="Y35" s="3">
        <v>40.1</v>
      </c>
      <c r="Z35" s="3">
        <v>88</v>
      </c>
      <c r="AA35" s="3" t="s">
        <v>50</v>
      </c>
      <c r="AB35" s="3" t="s">
        <v>51</v>
      </c>
      <c r="AC35" s="3" t="s">
        <v>52</v>
      </c>
      <c r="AD35" s="3" t="s">
        <v>53</v>
      </c>
      <c r="AE35" s="3" t="s">
        <v>54</v>
      </c>
      <c r="AF35" s="3" t="s">
        <v>55</v>
      </c>
      <c r="AG35" s="3" t="s">
        <v>160</v>
      </c>
    </row>
    <row r="36" spans="1:33" x14ac:dyDescent="0.2">
      <c r="A36" s="2" t="s">
        <v>250</v>
      </c>
      <c r="B36" s="2" t="s">
        <v>257</v>
      </c>
      <c r="C36" s="2" t="s">
        <v>258</v>
      </c>
      <c r="D36" s="2" t="s">
        <v>88</v>
      </c>
      <c r="E36" s="2" t="s">
        <v>61</v>
      </c>
      <c r="F36" s="2" t="s">
        <v>189</v>
      </c>
      <c r="G36" s="2" t="s">
        <v>138</v>
      </c>
      <c r="H36" s="2" t="s">
        <v>253</v>
      </c>
      <c r="I36" s="2">
        <v>51</v>
      </c>
      <c r="J36" s="2" t="s">
        <v>65</v>
      </c>
      <c r="K36" s="2" t="s">
        <v>116</v>
      </c>
      <c r="L36" s="2" t="s">
        <v>45</v>
      </c>
      <c r="M36" s="2" t="s">
        <v>80</v>
      </c>
      <c r="N36" s="2" t="s">
        <v>45</v>
      </c>
      <c r="O36" s="2" t="s">
        <v>254</v>
      </c>
      <c r="P36" s="2" t="s">
        <v>255</v>
      </c>
      <c r="Q36" s="2" t="s">
        <v>69</v>
      </c>
      <c r="R36" s="2" t="s">
        <v>259</v>
      </c>
      <c r="S36" s="2">
        <v>2</v>
      </c>
      <c r="T36" s="2">
        <v>126</v>
      </c>
      <c r="U36" s="2">
        <v>115</v>
      </c>
      <c r="V36" s="2">
        <v>91</v>
      </c>
      <c r="W36" s="2">
        <v>18</v>
      </c>
      <c r="X36" s="2">
        <v>37.5</v>
      </c>
      <c r="Y36" s="2">
        <v>26.2</v>
      </c>
      <c r="Z36" s="2">
        <v>90</v>
      </c>
      <c r="AA36" s="2" t="s">
        <v>50</v>
      </c>
      <c r="AB36" s="2" t="s">
        <v>51</v>
      </c>
      <c r="AC36" s="2" t="s">
        <v>52</v>
      </c>
      <c r="AD36" s="2" t="s">
        <v>53</v>
      </c>
      <c r="AE36" s="2" t="s">
        <v>54</v>
      </c>
      <c r="AF36" s="2" t="s">
        <v>55</v>
      </c>
      <c r="AG36" s="2" t="s">
        <v>164</v>
      </c>
    </row>
    <row r="37" spans="1:33" x14ac:dyDescent="0.2">
      <c r="A37" s="3" t="s">
        <v>250</v>
      </c>
      <c r="B37" s="3" t="s">
        <v>260</v>
      </c>
      <c r="C37" s="3" t="s">
        <v>261</v>
      </c>
      <c r="D37" s="3" t="s">
        <v>88</v>
      </c>
      <c r="E37" s="3" t="s">
        <v>61</v>
      </c>
      <c r="F37" s="3" t="s">
        <v>62</v>
      </c>
      <c r="G37" s="3" t="s">
        <v>123</v>
      </c>
      <c r="H37" s="3" t="s">
        <v>253</v>
      </c>
      <c r="I37" s="3">
        <v>51</v>
      </c>
      <c r="J37" s="3" t="s">
        <v>65</v>
      </c>
      <c r="K37" s="3" t="s">
        <v>110</v>
      </c>
      <c r="L37" s="3" t="s">
        <v>45</v>
      </c>
      <c r="M37" s="3" t="s">
        <v>80</v>
      </c>
      <c r="N37" s="3" t="s">
        <v>45</v>
      </c>
      <c r="O37" s="3" t="s">
        <v>254</v>
      </c>
      <c r="P37" s="3" t="s">
        <v>255</v>
      </c>
      <c r="Q37" s="3" t="s">
        <v>69</v>
      </c>
      <c r="R37" s="3" t="s">
        <v>262</v>
      </c>
      <c r="S37" s="3">
        <v>3</v>
      </c>
      <c r="T37" s="3">
        <v>120</v>
      </c>
      <c r="U37" s="3">
        <v>90</v>
      </c>
      <c r="V37" s="3">
        <v>107</v>
      </c>
      <c r="W37" s="3">
        <v>22</v>
      </c>
      <c r="X37" s="3">
        <v>39.1</v>
      </c>
      <c r="Y37" s="3">
        <v>41.2</v>
      </c>
      <c r="Z37" s="3">
        <v>91</v>
      </c>
      <c r="AA37" s="3" t="s">
        <v>50</v>
      </c>
      <c r="AB37" s="3" t="s">
        <v>51</v>
      </c>
      <c r="AC37" s="3" t="s">
        <v>52</v>
      </c>
      <c r="AD37" s="3" t="s">
        <v>53</v>
      </c>
      <c r="AE37" s="3" t="s">
        <v>54</v>
      </c>
      <c r="AF37" s="3" t="s">
        <v>55</v>
      </c>
      <c r="AG37" s="3" t="s">
        <v>169</v>
      </c>
    </row>
    <row r="38" spans="1:33" x14ac:dyDescent="0.2">
      <c r="A38" s="2" t="s">
        <v>250</v>
      </c>
      <c r="B38" s="2" t="s">
        <v>263</v>
      </c>
      <c r="C38" s="2" t="s">
        <v>264</v>
      </c>
      <c r="D38" s="2" t="s">
        <v>36</v>
      </c>
      <c r="E38" s="2" t="s">
        <v>96</v>
      </c>
      <c r="F38" s="2" t="s">
        <v>122</v>
      </c>
      <c r="G38" s="2" t="s">
        <v>63</v>
      </c>
      <c r="H38" s="2" t="s">
        <v>253</v>
      </c>
      <c r="I38" s="2">
        <v>51</v>
      </c>
      <c r="J38" s="2" t="s">
        <v>65</v>
      </c>
      <c r="K38" s="2" t="s">
        <v>78</v>
      </c>
      <c r="L38" s="2" t="s">
        <v>45</v>
      </c>
      <c r="M38" s="2" t="s">
        <v>80</v>
      </c>
      <c r="N38" s="2" t="s">
        <v>45</v>
      </c>
      <c r="O38" s="2" t="s">
        <v>254</v>
      </c>
      <c r="P38" s="2" t="s">
        <v>255</v>
      </c>
      <c r="Q38" s="2" t="s">
        <v>69</v>
      </c>
      <c r="R38" s="2" t="s">
        <v>265</v>
      </c>
      <c r="S38" s="2">
        <v>4</v>
      </c>
      <c r="T38" s="2">
        <v>121</v>
      </c>
      <c r="U38" s="2">
        <v>112</v>
      </c>
      <c r="V38" s="2">
        <v>98</v>
      </c>
      <c r="W38" s="2">
        <v>24</v>
      </c>
      <c r="X38" s="2">
        <v>36.299999999999997</v>
      </c>
      <c r="Y38" s="2">
        <v>17.8</v>
      </c>
      <c r="Z38" s="2">
        <v>91</v>
      </c>
      <c r="AA38" s="2" t="s">
        <v>50</v>
      </c>
      <c r="AB38" s="2" t="s">
        <v>51</v>
      </c>
      <c r="AC38" s="2" t="s">
        <v>52</v>
      </c>
      <c r="AD38" s="2" t="s">
        <v>53</v>
      </c>
      <c r="AE38" s="2" t="s">
        <v>54</v>
      </c>
      <c r="AF38" s="2" t="s">
        <v>55</v>
      </c>
      <c r="AG38" s="2" t="s">
        <v>173</v>
      </c>
    </row>
    <row r="39" spans="1:33" x14ac:dyDescent="0.2">
      <c r="A39" s="3" t="s">
        <v>250</v>
      </c>
      <c r="B39" s="3" t="s">
        <v>266</v>
      </c>
      <c r="C39" s="3" t="s">
        <v>267</v>
      </c>
      <c r="D39" s="3" t="s">
        <v>95</v>
      </c>
      <c r="E39" s="3" t="s">
        <v>89</v>
      </c>
      <c r="F39" s="3" t="s">
        <v>97</v>
      </c>
      <c r="G39" s="3" t="s">
        <v>138</v>
      </c>
      <c r="H39" s="3" t="s">
        <v>253</v>
      </c>
      <c r="I39" s="3">
        <v>51</v>
      </c>
      <c r="J39" s="3" t="s">
        <v>65</v>
      </c>
      <c r="K39" s="3" t="s">
        <v>66</v>
      </c>
      <c r="L39" s="3" t="s">
        <v>45</v>
      </c>
      <c r="M39" s="3" t="s">
        <v>80</v>
      </c>
      <c r="N39" s="3" t="s">
        <v>45</v>
      </c>
      <c r="O39" s="3" t="s">
        <v>254</v>
      </c>
      <c r="P39" s="3" t="s">
        <v>255</v>
      </c>
      <c r="Q39" s="3" t="s">
        <v>69</v>
      </c>
      <c r="R39" s="3" t="s">
        <v>268</v>
      </c>
      <c r="S39" s="3">
        <v>1</v>
      </c>
      <c r="T39" s="3">
        <v>102</v>
      </c>
      <c r="U39" s="3">
        <v>93</v>
      </c>
      <c r="V39" s="3">
        <v>54</v>
      </c>
      <c r="W39" s="3">
        <v>14</v>
      </c>
      <c r="X39" s="3">
        <v>37.799999999999997</v>
      </c>
      <c r="Y39" s="3">
        <v>26.2</v>
      </c>
      <c r="Z39" s="3">
        <v>100</v>
      </c>
      <c r="AA39" s="3" t="s">
        <v>50</v>
      </c>
      <c r="AB39" s="3" t="s">
        <v>51</v>
      </c>
      <c r="AC39" s="3" t="s">
        <v>52</v>
      </c>
      <c r="AD39" s="3" t="s">
        <v>53</v>
      </c>
      <c r="AE39" s="3" t="s">
        <v>54</v>
      </c>
      <c r="AF39" s="3" t="s">
        <v>55</v>
      </c>
      <c r="AG39" s="3" t="s">
        <v>177</v>
      </c>
    </row>
    <row r="40" spans="1:33" x14ac:dyDescent="0.2">
      <c r="A40" s="2" t="s">
        <v>269</v>
      </c>
      <c r="B40" s="2" t="s">
        <v>270</v>
      </c>
      <c r="C40" s="2" t="s">
        <v>271</v>
      </c>
      <c r="D40" s="2" t="s">
        <v>36</v>
      </c>
      <c r="E40" s="2" t="s">
        <v>96</v>
      </c>
      <c r="F40" s="2" t="s">
        <v>122</v>
      </c>
      <c r="G40" s="2" t="s">
        <v>138</v>
      </c>
      <c r="H40" s="2" t="s">
        <v>272</v>
      </c>
      <c r="I40" s="2">
        <v>75</v>
      </c>
      <c r="J40" s="2" t="s">
        <v>65</v>
      </c>
      <c r="K40" s="2" t="s">
        <v>42</v>
      </c>
      <c r="L40" s="2" t="s">
        <v>45</v>
      </c>
      <c r="M40" s="2" t="s">
        <v>44</v>
      </c>
      <c r="N40" s="2" t="s">
        <v>182</v>
      </c>
      <c r="O40" s="2" t="s">
        <v>126</v>
      </c>
      <c r="P40" s="2" t="s">
        <v>127</v>
      </c>
      <c r="Q40" s="2" t="s">
        <v>69</v>
      </c>
      <c r="R40" s="2" t="s">
        <v>273</v>
      </c>
      <c r="S40" s="2">
        <v>3</v>
      </c>
      <c r="T40" s="2">
        <v>154</v>
      </c>
      <c r="U40" s="2">
        <v>64</v>
      </c>
      <c r="V40" s="2">
        <v>63</v>
      </c>
      <c r="W40" s="2">
        <v>13</v>
      </c>
      <c r="X40" s="2">
        <v>36</v>
      </c>
      <c r="Y40" s="2">
        <v>30.3</v>
      </c>
      <c r="Z40" s="2">
        <v>95</v>
      </c>
      <c r="AA40" s="2" t="s">
        <v>50</v>
      </c>
      <c r="AB40" s="2" t="s">
        <v>51</v>
      </c>
      <c r="AC40" s="2" t="s">
        <v>52</v>
      </c>
      <c r="AD40" s="2" t="s">
        <v>53</v>
      </c>
      <c r="AE40" s="2" t="s">
        <v>54</v>
      </c>
      <c r="AF40" s="2" t="s">
        <v>55</v>
      </c>
      <c r="AG40" s="2" t="s">
        <v>198</v>
      </c>
    </row>
    <row r="41" spans="1:33" x14ac:dyDescent="0.2">
      <c r="A41" s="3" t="s">
        <v>269</v>
      </c>
      <c r="B41" s="3" t="s">
        <v>274</v>
      </c>
      <c r="C41" s="3" t="s">
        <v>275</v>
      </c>
      <c r="D41" s="3" t="s">
        <v>103</v>
      </c>
      <c r="E41" s="3" t="s">
        <v>167</v>
      </c>
      <c r="F41" s="3" t="s">
        <v>97</v>
      </c>
      <c r="G41" s="3" t="s">
        <v>104</v>
      </c>
      <c r="H41" s="3" t="s">
        <v>272</v>
      </c>
      <c r="I41" s="3">
        <v>75</v>
      </c>
      <c r="J41" s="3" t="s">
        <v>65</v>
      </c>
      <c r="K41" s="3" t="s">
        <v>78</v>
      </c>
      <c r="L41" s="3" t="s">
        <v>45</v>
      </c>
      <c r="M41" s="3" t="s">
        <v>44</v>
      </c>
      <c r="N41" s="3" t="s">
        <v>182</v>
      </c>
      <c r="O41" s="3" t="s">
        <v>126</v>
      </c>
      <c r="P41" s="3" t="s">
        <v>127</v>
      </c>
      <c r="Q41" s="3" t="s">
        <v>69</v>
      </c>
      <c r="R41" s="3" t="s">
        <v>276</v>
      </c>
      <c r="S41" s="3">
        <v>3</v>
      </c>
      <c r="T41" s="3">
        <v>166</v>
      </c>
      <c r="U41" s="3">
        <v>90</v>
      </c>
      <c r="V41" s="3">
        <v>110</v>
      </c>
      <c r="W41" s="3">
        <v>15</v>
      </c>
      <c r="X41" s="3">
        <v>36.4</v>
      </c>
      <c r="Y41" s="3">
        <v>23.9</v>
      </c>
      <c r="Z41" s="3">
        <v>89</v>
      </c>
      <c r="AA41" s="3" t="s">
        <v>50</v>
      </c>
      <c r="AB41" s="3" t="s">
        <v>51</v>
      </c>
      <c r="AC41" s="3" t="s">
        <v>52</v>
      </c>
      <c r="AD41" s="3" t="s">
        <v>53</v>
      </c>
      <c r="AE41" s="3" t="s">
        <v>54</v>
      </c>
      <c r="AF41" s="3" t="s">
        <v>55</v>
      </c>
      <c r="AG41" s="3" t="s">
        <v>202</v>
      </c>
    </row>
    <row r="42" spans="1:33" x14ac:dyDescent="0.2">
      <c r="A42" s="2" t="s">
        <v>269</v>
      </c>
      <c r="B42" s="2" t="s">
        <v>277</v>
      </c>
      <c r="C42" s="2" t="s">
        <v>278</v>
      </c>
      <c r="D42" s="2" t="s">
        <v>103</v>
      </c>
      <c r="E42" s="2" t="s">
        <v>89</v>
      </c>
      <c r="F42" s="2" t="s">
        <v>97</v>
      </c>
      <c r="G42" s="2" t="s">
        <v>123</v>
      </c>
      <c r="H42" s="2" t="s">
        <v>272</v>
      </c>
      <c r="I42" s="2">
        <v>75</v>
      </c>
      <c r="J42" s="2" t="s">
        <v>65</v>
      </c>
      <c r="K42" s="2" t="s">
        <v>66</v>
      </c>
      <c r="L42" s="2" t="s">
        <v>45</v>
      </c>
      <c r="M42" s="2" t="s">
        <v>44</v>
      </c>
      <c r="N42" s="2" t="s">
        <v>182</v>
      </c>
      <c r="O42" s="2" t="s">
        <v>126</v>
      </c>
      <c r="P42" s="2" t="s">
        <v>127</v>
      </c>
      <c r="Q42" s="2" t="s">
        <v>69</v>
      </c>
      <c r="R42" s="2" t="s">
        <v>279</v>
      </c>
      <c r="S42" s="2">
        <v>4</v>
      </c>
      <c r="T42" s="2">
        <v>137</v>
      </c>
      <c r="U42" s="2">
        <v>73</v>
      </c>
      <c r="V42" s="2">
        <v>80</v>
      </c>
      <c r="W42" s="2">
        <v>16</v>
      </c>
      <c r="X42" s="2">
        <v>37.700000000000003</v>
      </c>
      <c r="Y42" s="2">
        <v>30</v>
      </c>
      <c r="Z42" s="2">
        <v>95</v>
      </c>
      <c r="AA42" s="2" t="s">
        <v>50</v>
      </c>
      <c r="AB42" s="2" t="s">
        <v>51</v>
      </c>
      <c r="AC42" s="2" t="s">
        <v>52</v>
      </c>
      <c r="AD42" s="2" t="s">
        <v>53</v>
      </c>
      <c r="AE42" s="2" t="s">
        <v>54</v>
      </c>
      <c r="AF42" s="2" t="s">
        <v>55</v>
      </c>
      <c r="AG42" s="2" t="s">
        <v>206</v>
      </c>
    </row>
    <row r="43" spans="1:33" x14ac:dyDescent="0.2">
      <c r="A43" s="3" t="s">
        <v>280</v>
      </c>
      <c r="B43" s="3" t="s">
        <v>281</v>
      </c>
      <c r="C43" s="3" t="s">
        <v>248</v>
      </c>
      <c r="D43" s="3" t="s">
        <v>95</v>
      </c>
      <c r="E43" s="3" t="s">
        <v>89</v>
      </c>
      <c r="F43" s="3" t="s">
        <v>75</v>
      </c>
      <c r="G43" s="3" t="s">
        <v>98</v>
      </c>
      <c r="H43" s="3" t="s">
        <v>282</v>
      </c>
      <c r="I43" s="3">
        <v>23</v>
      </c>
      <c r="J43" s="3" t="s">
        <v>65</v>
      </c>
      <c r="K43" s="3" t="s">
        <v>110</v>
      </c>
      <c r="L43" s="3" t="s">
        <v>141</v>
      </c>
      <c r="M43" s="3" t="s">
        <v>125</v>
      </c>
      <c r="N43" s="3" t="s">
        <v>182</v>
      </c>
      <c r="O43" s="3" t="s">
        <v>283</v>
      </c>
      <c r="P43" s="3" t="s">
        <v>284</v>
      </c>
      <c r="Q43" s="3" t="s">
        <v>69</v>
      </c>
      <c r="R43" s="3" t="s">
        <v>285</v>
      </c>
      <c r="S43" s="3">
        <v>3</v>
      </c>
      <c r="T43" s="3">
        <v>152</v>
      </c>
      <c r="U43" s="3">
        <v>85</v>
      </c>
      <c r="V43" s="3">
        <v>57</v>
      </c>
      <c r="W43" s="3">
        <v>18</v>
      </c>
      <c r="X43" s="3">
        <v>37.1</v>
      </c>
      <c r="Y43" s="3">
        <v>36.6</v>
      </c>
      <c r="Z43" s="3">
        <v>98</v>
      </c>
      <c r="AA43" s="3" t="s">
        <v>50</v>
      </c>
      <c r="AB43" s="3" t="s">
        <v>51</v>
      </c>
      <c r="AC43" s="3" t="s">
        <v>52</v>
      </c>
      <c r="AD43" s="3" t="s">
        <v>53</v>
      </c>
      <c r="AE43" s="3" t="s">
        <v>54</v>
      </c>
      <c r="AF43" s="3" t="s">
        <v>55</v>
      </c>
      <c r="AG43" s="3" t="s">
        <v>85</v>
      </c>
    </row>
    <row r="44" spans="1:33" x14ac:dyDescent="0.2">
      <c r="A44" s="2" t="s">
        <v>280</v>
      </c>
      <c r="B44" s="2" t="s">
        <v>286</v>
      </c>
      <c r="C44" s="2" t="s">
        <v>287</v>
      </c>
      <c r="D44" s="2" t="s">
        <v>36</v>
      </c>
      <c r="E44" s="2" t="s">
        <v>89</v>
      </c>
      <c r="F44" s="2" t="s">
        <v>219</v>
      </c>
      <c r="G44" s="2" t="s">
        <v>98</v>
      </c>
      <c r="H44" s="2" t="s">
        <v>282</v>
      </c>
      <c r="I44" s="2">
        <v>23</v>
      </c>
      <c r="J44" s="2" t="s">
        <v>65</v>
      </c>
      <c r="K44" s="2" t="s">
        <v>66</v>
      </c>
      <c r="L44" s="2" t="s">
        <v>141</v>
      </c>
      <c r="M44" s="2" t="s">
        <v>125</v>
      </c>
      <c r="N44" s="2" t="s">
        <v>182</v>
      </c>
      <c r="O44" s="2" t="s">
        <v>283</v>
      </c>
      <c r="P44" s="2" t="s">
        <v>284</v>
      </c>
      <c r="Q44" s="2" t="s">
        <v>69</v>
      </c>
      <c r="R44" s="2" t="s">
        <v>288</v>
      </c>
      <c r="S44" s="2">
        <v>4</v>
      </c>
      <c r="T44" s="2">
        <v>118</v>
      </c>
      <c r="U44" s="2">
        <v>62</v>
      </c>
      <c r="V44" s="2">
        <v>108</v>
      </c>
      <c r="W44" s="2">
        <v>26</v>
      </c>
      <c r="X44" s="2">
        <v>38.6</v>
      </c>
      <c r="Y44" s="2">
        <v>17.5</v>
      </c>
      <c r="Z44" s="2">
        <v>98</v>
      </c>
      <c r="AA44" s="2" t="s">
        <v>50</v>
      </c>
      <c r="AB44" s="2" t="s">
        <v>51</v>
      </c>
      <c r="AC44" s="2" t="s">
        <v>52</v>
      </c>
      <c r="AD44" s="2" t="s">
        <v>53</v>
      </c>
      <c r="AE44" s="2" t="s">
        <v>54</v>
      </c>
      <c r="AF44" s="2" t="s">
        <v>55</v>
      </c>
      <c r="AG44" s="2" t="s">
        <v>92</v>
      </c>
    </row>
    <row r="45" spans="1:33" x14ac:dyDescent="0.2">
      <c r="A45" s="3" t="s">
        <v>280</v>
      </c>
      <c r="B45" s="3" t="s">
        <v>289</v>
      </c>
      <c r="C45" s="3" t="s">
        <v>290</v>
      </c>
      <c r="D45" s="3" t="s">
        <v>88</v>
      </c>
      <c r="E45" s="3" t="s">
        <v>37</v>
      </c>
      <c r="F45" s="3" t="s">
        <v>148</v>
      </c>
      <c r="G45" s="3" t="s">
        <v>39</v>
      </c>
      <c r="H45" s="3" t="s">
        <v>282</v>
      </c>
      <c r="I45" s="3">
        <v>23</v>
      </c>
      <c r="J45" s="3" t="s">
        <v>65</v>
      </c>
      <c r="K45" s="3" t="s">
        <v>110</v>
      </c>
      <c r="L45" s="3" t="s">
        <v>141</v>
      </c>
      <c r="M45" s="3" t="s">
        <v>125</v>
      </c>
      <c r="N45" s="3" t="s">
        <v>182</v>
      </c>
      <c r="O45" s="3" t="s">
        <v>283</v>
      </c>
      <c r="P45" s="3" t="s">
        <v>284</v>
      </c>
      <c r="Q45" s="3" t="s">
        <v>69</v>
      </c>
      <c r="R45" s="3" t="s">
        <v>291</v>
      </c>
      <c r="S45" s="3">
        <v>2</v>
      </c>
      <c r="T45" s="3">
        <v>113</v>
      </c>
      <c r="U45" s="3">
        <v>88</v>
      </c>
      <c r="V45" s="3">
        <v>120</v>
      </c>
      <c r="W45" s="3">
        <v>19</v>
      </c>
      <c r="X45" s="3">
        <v>38.200000000000003</v>
      </c>
      <c r="Y45" s="3">
        <v>21</v>
      </c>
      <c r="Z45" s="3">
        <v>100</v>
      </c>
      <c r="AA45" s="3" t="s">
        <v>50</v>
      </c>
      <c r="AB45" s="3" t="s">
        <v>51</v>
      </c>
      <c r="AC45" s="3" t="s">
        <v>52</v>
      </c>
      <c r="AD45" s="3" t="s">
        <v>53</v>
      </c>
      <c r="AE45" s="3" t="s">
        <v>54</v>
      </c>
      <c r="AF45" s="3" t="s">
        <v>55</v>
      </c>
      <c r="AG45" s="3" t="s">
        <v>100</v>
      </c>
    </row>
    <row r="46" spans="1:33" x14ac:dyDescent="0.2">
      <c r="A46" s="2" t="s">
        <v>280</v>
      </c>
      <c r="B46" s="2" t="s">
        <v>292</v>
      </c>
      <c r="C46" s="2" t="s">
        <v>293</v>
      </c>
      <c r="D46" s="2" t="s">
        <v>103</v>
      </c>
      <c r="E46" s="2" t="s">
        <v>96</v>
      </c>
      <c r="F46" s="2" t="s">
        <v>148</v>
      </c>
      <c r="G46" s="2" t="s">
        <v>115</v>
      </c>
      <c r="H46" s="2" t="s">
        <v>282</v>
      </c>
      <c r="I46" s="2">
        <v>23</v>
      </c>
      <c r="J46" s="2" t="s">
        <v>65</v>
      </c>
      <c r="K46" s="2" t="s">
        <v>78</v>
      </c>
      <c r="L46" s="2" t="s">
        <v>141</v>
      </c>
      <c r="M46" s="2" t="s">
        <v>125</v>
      </c>
      <c r="N46" s="2" t="s">
        <v>182</v>
      </c>
      <c r="O46" s="2" t="s">
        <v>283</v>
      </c>
      <c r="P46" s="2" t="s">
        <v>284</v>
      </c>
      <c r="Q46" s="2" t="s">
        <v>69</v>
      </c>
      <c r="R46" s="2" t="s">
        <v>294</v>
      </c>
      <c r="S46" s="2">
        <v>3</v>
      </c>
      <c r="T46" s="2">
        <v>184</v>
      </c>
      <c r="U46" s="2">
        <v>110</v>
      </c>
      <c r="V46" s="2">
        <v>85</v>
      </c>
      <c r="W46" s="2">
        <v>14</v>
      </c>
      <c r="X46" s="2">
        <v>38.700000000000003</v>
      </c>
      <c r="Y46" s="2">
        <v>31.7</v>
      </c>
      <c r="Z46" s="2">
        <v>96</v>
      </c>
      <c r="AA46" s="2" t="s">
        <v>50</v>
      </c>
      <c r="AB46" s="2" t="s">
        <v>51</v>
      </c>
      <c r="AC46" s="2" t="s">
        <v>52</v>
      </c>
      <c r="AD46" s="2" t="s">
        <v>53</v>
      </c>
      <c r="AE46" s="2" t="s">
        <v>54</v>
      </c>
      <c r="AF46" s="2" t="s">
        <v>55</v>
      </c>
      <c r="AG46" s="2" t="s">
        <v>106</v>
      </c>
    </row>
    <row r="47" spans="1:33" x14ac:dyDescent="0.2">
      <c r="A47" s="3" t="s">
        <v>280</v>
      </c>
      <c r="B47" s="3" t="s">
        <v>295</v>
      </c>
      <c r="C47" s="3" t="s">
        <v>296</v>
      </c>
      <c r="D47" s="3" t="s">
        <v>88</v>
      </c>
      <c r="E47" s="3" t="s">
        <v>89</v>
      </c>
      <c r="F47" s="3" t="s">
        <v>219</v>
      </c>
      <c r="G47" s="3" t="s">
        <v>115</v>
      </c>
      <c r="H47" s="3" t="s">
        <v>282</v>
      </c>
      <c r="I47" s="3">
        <v>23</v>
      </c>
      <c r="J47" s="3" t="s">
        <v>65</v>
      </c>
      <c r="K47" s="3" t="s">
        <v>78</v>
      </c>
      <c r="L47" s="3" t="s">
        <v>141</v>
      </c>
      <c r="M47" s="3" t="s">
        <v>125</v>
      </c>
      <c r="N47" s="3" t="s">
        <v>182</v>
      </c>
      <c r="O47" s="3" t="s">
        <v>283</v>
      </c>
      <c r="P47" s="3" t="s">
        <v>284</v>
      </c>
      <c r="Q47" s="3" t="s">
        <v>69</v>
      </c>
      <c r="R47" s="3" t="s">
        <v>297</v>
      </c>
      <c r="S47" s="3">
        <v>3</v>
      </c>
      <c r="T47" s="3">
        <v>178</v>
      </c>
      <c r="U47" s="3">
        <v>85</v>
      </c>
      <c r="V47" s="3">
        <v>116</v>
      </c>
      <c r="W47" s="3">
        <v>26</v>
      </c>
      <c r="X47" s="3">
        <v>36.9</v>
      </c>
      <c r="Y47" s="3">
        <v>40</v>
      </c>
      <c r="Z47" s="3">
        <v>92</v>
      </c>
      <c r="AA47" s="3" t="s">
        <v>50</v>
      </c>
      <c r="AB47" s="3" t="s">
        <v>51</v>
      </c>
      <c r="AC47" s="3" t="s">
        <v>52</v>
      </c>
      <c r="AD47" s="3" t="s">
        <v>53</v>
      </c>
      <c r="AE47" s="3" t="s">
        <v>54</v>
      </c>
      <c r="AF47" s="3" t="s">
        <v>55</v>
      </c>
      <c r="AG47" s="3" t="s">
        <v>112</v>
      </c>
    </row>
    <row r="48" spans="1:33" x14ac:dyDescent="0.2">
      <c r="A48" s="2" t="s">
        <v>280</v>
      </c>
      <c r="B48" s="2" t="s">
        <v>298</v>
      </c>
      <c r="C48" s="2" t="s">
        <v>299</v>
      </c>
      <c r="D48" s="2" t="s">
        <v>103</v>
      </c>
      <c r="E48" s="2" t="s">
        <v>96</v>
      </c>
      <c r="F48" s="2" t="s">
        <v>75</v>
      </c>
      <c r="G48" s="2" t="s">
        <v>76</v>
      </c>
      <c r="H48" s="2" t="s">
        <v>282</v>
      </c>
      <c r="I48" s="2">
        <v>23</v>
      </c>
      <c r="J48" s="2" t="s">
        <v>65</v>
      </c>
      <c r="K48" s="2" t="s">
        <v>116</v>
      </c>
      <c r="L48" s="2" t="s">
        <v>141</v>
      </c>
      <c r="M48" s="2" t="s">
        <v>125</v>
      </c>
      <c r="N48" s="2" t="s">
        <v>182</v>
      </c>
      <c r="O48" s="2" t="s">
        <v>283</v>
      </c>
      <c r="P48" s="2" t="s">
        <v>284</v>
      </c>
      <c r="Q48" s="2" t="s">
        <v>69</v>
      </c>
      <c r="R48" s="2" t="s">
        <v>300</v>
      </c>
      <c r="S48" s="2">
        <v>2</v>
      </c>
      <c r="T48" s="2">
        <v>139</v>
      </c>
      <c r="U48" s="2">
        <v>75</v>
      </c>
      <c r="V48" s="2">
        <v>107</v>
      </c>
      <c r="W48" s="2">
        <v>18</v>
      </c>
      <c r="X48" s="2">
        <v>39</v>
      </c>
      <c r="Y48" s="2">
        <v>42.3</v>
      </c>
      <c r="Z48" s="2">
        <v>100</v>
      </c>
      <c r="AA48" s="2" t="s">
        <v>50</v>
      </c>
      <c r="AB48" s="2" t="s">
        <v>51</v>
      </c>
      <c r="AC48" s="2" t="s">
        <v>52</v>
      </c>
      <c r="AD48" s="2" t="s">
        <v>53</v>
      </c>
      <c r="AE48" s="2" t="s">
        <v>54</v>
      </c>
      <c r="AF48" s="2" t="s">
        <v>55</v>
      </c>
      <c r="AG48" s="2" t="s">
        <v>118</v>
      </c>
    </row>
    <row r="49" spans="1:33" x14ac:dyDescent="0.2">
      <c r="A49" s="3" t="s">
        <v>301</v>
      </c>
      <c r="B49" s="3" t="s">
        <v>302</v>
      </c>
      <c r="C49" s="3" t="s">
        <v>303</v>
      </c>
      <c r="D49" s="3" t="s">
        <v>36</v>
      </c>
      <c r="E49" s="3" t="s">
        <v>89</v>
      </c>
      <c r="F49" s="3" t="s">
        <v>132</v>
      </c>
      <c r="G49" s="3" t="s">
        <v>76</v>
      </c>
      <c r="H49" s="3" t="s">
        <v>304</v>
      </c>
      <c r="I49" s="3">
        <v>66</v>
      </c>
      <c r="J49" s="3" t="s">
        <v>65</v>
      </c>
      <c r="K49" s="3" t="s">
        <v>116</v>
      </c>
      <c r="L49" s="3" t="s">
        <v>45</v>
      </c>
      <c r="M49" s="3" t="s">
        <v>80</v>
      </c>
      <c r="N49" s="3" t="s">
        <v>81</v>
      </c>
      <c r="O49" s="3" t="s">
        <v>305</v>
      </c>
      <c r="P49" s="3" t="s">
        <v>306</v>
      </c>
      <c r="Q49" s="3" t="s">
        <v>48</v>
      </c>
      <c r="R49" s="3" t="s">
        <v>307</v>
      </c>
      <c r="S49" s="3">
        <v>3</v>
      </c>
      <c r="T49" s="3">
        <v>104</v>
      </c>
      <c r="U49" s="3">
        <v>110</v>
      </c>
      <c r="V49" s="3">
        <v>51</v>
      </c>
      <c r="W49" s="3">
        <v>14</v>
      </c>
      <c r="X49" s="3">
        <v>38.799999999999997</v>
      </c>
      <c r="Y49" s="3">
        <v>45.1</v>
      </c>
      <c r="Z49" s="3">
        <v>88</v>
      </c>
      <c r="AA49" s="3" t="s">
        <v>50</v>
      </c>
      <c r="AB49" s="3" t="s">
        <v>51</v>
      </c>
      <c r="AC49" s="3" t="s">
        <v>52</v>
      </c>
      <c r="AD49" s="3" t="s">
        <v>53</v>
      </c>
      <c r="AE49" s="3" t="s">
        <v>54</v>
      </c>
      <c r="AF49" s="3" t="s">
        <v>55</v>
      </c>
      <c r="AG49" s="3" t="s">
        <v>186</v>
      </c>
    </row>
    <row r="50" spans="1:33" x14ac:dyDescent="0.2">
      <c r="A50" s="2" t="s">
        <v>301</v>
      </c>
      <c r="B50" s="2" t="s">
        <v>308</v>
      </c>
      <c r="C50" s="2" t="s">
        <v>309</v>
      </c>
      <c r="D50" s="2" t="s">
        <v>60</v>
      </c>
      <c r="E50" s="2" t="s">
        <v>37</v>
      </c>
      <c r="F50" s="2" t="s">
        <v>219</v>
      </c>
      <c r="G50" s="2" t="s">
        <v>115</v>
      </c>
      <c r="H50" s="2" t="s">
        <v>304</v>
      </c>
      <c r="I50" s="2">
        <v>66</v>
      </c>
      <c r="J50" s="2" t="s">
        <v>65</v>
      </c>
      <c r="K50" s="2" t="s">
        <v>116</v>
      </c>
      <c r="L50" s="2" t="s">
        <v>45</v>
      </c>
      <c r="M50" s="2" t="s">
        <v>80</v>
      </c>
      <c r="N50" s="2" t="s">
        <v>81</v>
      </c>
      <c r="O50" s="2" t="s">
        <v>305</v>
      </c>
      <c r="P50" s="2" t="s">
        <v>306</v>
      </c>
      <c r="Q50" s="2" t="s">
        <v>48</v>
      </c>
      <c r="R50" s="2" t="s">
        <v>310</v>
      </c>
      <c r="S50" s="2">
        <v>2</v>
      </c>
      <c r="T50" s="2">
        <v>175</v>
      </c>
      <c r="U50" s="2">
        <v>84</v>
      </c>
      <c r="V50" s="2">
        <v>91</v>
      </c>
      <c r="W50" s="2">
        <v>22</v>
      </c>
      <c r="X50" s="2">
        <v>36.799999999999997</v>
      </c>
      <c r="Y50" s="2">
        <v>37</v>
      </c>
      <c r="Z50" s="2">
        <v>91</v>
      </c>
      <c r="AA50" s="2" t="s">
        <v>50</v>
      </c>
      <c r="AB50" s="2" t="s">
        <v>51</v>
      </c>
      <c r="AC50" s="2" t="s">
        <v>52</v>
      </c>
      <c r="AD50" s="2" t="s">
        <v>53</v>
      </c>
      <c r="AE50" s="2" t="s">
        <v>54</v>
      </c>
      <c r="AF50" s="2" t="s">
        <v>55</v>
      </c>
      <c r="AG50" s="2" t="s">
        <v>191</v>
      </c>
    </row>
    <row r="51" spans="1:33" x14ac:dyDescent="0.2">
      <c r="A51" s="3" t="s">
        <v>311</v>
      </c>
      <c r="B51" s="3" t="s">
        <v>312</v>
      </c>
      <c r="C51" s="4" t="s">
        <v>313</v>
      </c>
      <c r="D51" s="3" t="s">
        <v>36</v>
      </c>
      <c r="E51" s="3" t="s">
        <v>96</v>
      </c>
      <c r="F51" s="3" t="s">
        <v>62</v>
      </c>
      <c r="G51" s="3" t="s">
        <v>123</v>
      </c>
      <c r="H51" s="3" t="s">
        <v>314</v>
      </c>
      <c r="I51" s="4">
        <v>21</v>
      </c>
      <c r="J51" s="3" t="s">
        <v>65</v>
      </c>
      <c r="K51" s="3" t="s">
        <v>66</v>
      </c>
      <c r="L51" s="3" t="s">
        <v>79</v>
      </c>
      <c r="M51" s="3" t="s">
        <v>125</v>
      </c>
      <c r="N51" s="3"/>
      <c r="O51" s="3" t="s">
        <v>315</v>
      </c>
      <c r="P51" s="3" t="s">
        <v>316</v>
      </c>
      <c r="Q51" s="3" t="s">
        <v>69</v>
      </c>
      <c r="R51" s="3" t="s">
        <v>317</v>
      </c>
      <c r="S51" s="3">
        <v>4</v>
      </c>
      <c r="T51" s="4">
        <v>132</v>
      </c>
      <c r="U51" s="4"/>
      <c r="V51" s="3">
        <v>64</v>
      </c>
      <c r="W51" s="3">
        <v>15</v>
      </c>
      <c r="X51" s="3">
        <v>38</v>
      </c>
      <c r="Y51" s="4">
        <v>28.4</v>
      </c>
      <c r="Z51" s="3">
        <v>96</v>
      </c>
      <c r="AA51" s="3" t="s">
        <v>50</v>
      </c>
      <c r="AB51" s="3" t="s">
        <v>51</v>
      </c>
      <c r="AC51" s="3" t="s">
        <v>52</v>
      </c>
      <c r="AD51" s="3" t="s">
        <v>53</v>
      </c>
      <c r="AE51" s="3" t="s">
        <v>54</v>
      </c>
      <c r="AF51" s="3" t="s">
        <v>318</v>
      </c>
      <c r="AG51" s="3" t="s">
        <v>198</v>
      </c>
    </row>
    <row r="52" spans="1:33" x14ac:dyDescent="0.2">
      <c r="A52" s="2" t="s">
        <v>311</v>
      </c>
      <c r="B52" s="2" t="s">
        <v>319</v>
      </c>
      <c r="C52" s="4" t="s">
        <v>313</v>
      </c>
      <c r="D52" s="2" t="s">
        <v>95</v>
      </c>
      <c r="E52" s="2" t="s">
        <v>89</v>
      </c>
      <c r="F52" s="2" t="s">
        <v>109</v>
      </c>
      <c r="G52" s="2" t="s">
        <v>104</v>
      </c>
      <c r="H52" s="2" t="s">
        <v>314</v>
      </c>
      <c r="I52" s="4">
        <v>21</v>
      </c>
      <c r="J52" s="2" t="s">
        <v>65</v>
      </c>
      <c r="K52" s="2" t="s">
        <v>116</v>
      </c>
      <c r="L52" s="2" t="s">
        <v>79</v>
      </c>
      <c r="M52" s="2" t="s">
        <v>125</v>
      </c>
      <c r="N52" s="2"/>
      <c r="O52" s="2" t="s">
        <v>315</v>
      </c>
      <c r="P52" s="2" t="s">
        <v>316</v>
      </c>
      <c r="Q52" s="2" t="s">
        <v>69</v>
      </c>
      <c r="R52" s="2" t="s">
        <v>320</v>
      </c>
      <c r="S52" s="2">
        <v>1</v>
      </c>
      <c r="T52" s="4"/>
      <c r="U52" s="4">
        <v>113</v>
      </c>
      <c r="V52" s="2">
        <v>102</v>
      </c>
      <c r="W52" s="2">
        <v>19</v>
      </c>
      <c r="X52" s="2">
        <v>37</v>
      </c>
      <c r="Y52" s="4">
        <v>46</v>
      </c>
      <c r="Z52" s="2">
        <v>98</v>
      </c>
      <c r="AA52" s="2" t="s">
        <v>50</v>
      </c>
      <c r="AB52" s="2" t="s">
        <v>51</v>
      </c>
      <c r="AC52" s="2" t="s">
        <v>52</v>
      </c>
      <c r="AD52" s="2" t="s">
        <v>53</v>
      </c>
      <c r="AE52" s="2" t="s">
        <v>54</v>
      </c>
      <c r="AF52" s="2" t="s">
        <v>318</v>
      </c>
      <c r="AG52" s="2" t="s">
        <v>202</v>
      </c>
    </row>
    <row r="53" spans="1:33" x14ac:dyDescent="0.2">
      <c r="A53" s="3" t="s">
        <v>311</v>
      </c>
      <c r="B53" s="3" t="s">
        <v>321</v>
      </c>
      <c r="C53" s="4" t="s">
        <v>313</v>
      </c>
      <c r="D53" s="3" t="s">
        <v>103</v>
      </c>
      <c r="E53" s="3" t="s">
        <v>61</v>
      </c>
      <c r="F53" s="3" t="s">
        <v>97</v>
      </c>
      <c r="G53" s="3" t="s">
        <v>104</v>
      </c>
      <c r="H53" s="3" t="s">
        <v>314</v>
      </c>
      <c r="I53" s="4">
        <v>21</v>
      </c>
      <c r="J53" s="3" t="s">
        <v>65</v>
      </c>
      <c r="K53" s="3" t="s">
        <v>116</v>
      </c>
      <c r="L53" s="3" t="s">
        <v>79</v>
      </c>
      <c r="M53" s="3" t="s">
        <v>125</v>
      </c>
      <c r="N53" s="3"/>
      <c r="O53" s="3" t="s">
        <v>315</v>
      </c>
      <c r="P53" s="3" t="s">
        <v>316</v>
      </c>
      <c r="Q53" s="3" t="s">
        <v>69</v>
      </c>
      <c r="R53" s="3" t="s">
        <v>322</v>
      </c>
      <c r="S53" s="3">
        <v>2</v>
      </c>
      <c r="T53" s="4">
        <v>165</v>
      </c>
      <c r="U53" s="4">
        <v>113</v>
      </c>
      <c r="V53" s="3">
        <v>118</v>
      </c>
      <c r="W53" s="3">
        <v>24</v>
      </c>
      <c r="X53" s="3">
        <v>38.700000000000003</v>
      </c>
      <c r="Y53" s="4">
        <v>-9</v>
      </c>
      <c r="Z53" s="3">
        <v>97</v>
      </c>
      <c r="AA53" s="3" t="s">
        <v>50</v>
      </c>
      <c r="AB53" s="3" t="s">
        <v>51</v>
      </c>
      <c r="AC53" s="3" t="s">
        <v>52</v>
      </c>
      <c r="AD53" s="3" t="s">
        <v>53</v>
      </c>
      <c r="AE53" s="3" t="s">
        <v>54</v>
      </c>
      <c r="AF53" s="3" t="s">
        <v>323</v>
      </c>
      <c r="AG53" s="3" t="s">
        <v>206</v>
      </c>
    </row>
    <row r="54" spans="1:33" x14ac:dyDescent="0.2">
      <c r="A54" s="2" t="s">
        <v>324</v>
      </c>
      <c r="B54" s="2" t="s">
        <v>325</v>
      </c>
      <c r="C54" s="2" t="s">
        <v>326</v>
      </c>
      <c r="D54" s="2" t="s">
        <v>60</v>
      </c>
      <c r="E54" s="2" t="s">
        <v>96</v>
      </c>
      <c r="F54" s="2" t="s">
        <v>122</v>
      </c>
      <c r="G54" s="2" t="s">
        <v>115</v>
      </c>
      <c r="H54" s="2" t="s">
        <v>327</v>
      </c>
      <c r="I54" s="2">
        <v>57</v>
      </c>
      <c r="J54" s="2" t="s">
        <v>41</v>
      </c>
      <c r="K54" s="2" t="s">
        <v>66</v>
      </c>
      <c r="L54" s="2" t="s">
        <v>43</v>
      </c>
      <c r="M54" s="2" t="s">
        <v>44</v>
      </c>
      <c r="N54" s="2" t="s">
        <v>81</v>
      </c>
      <c r="O54" s="2" t="s">
        <v>328</v>
      </c>
      <c r="P54" s="2" t="s">
        <v>329</v>
      </c>
      <c r="Q54" s="2" t="s">
        <v>69</v>
      </c>
      <c r="R54" s="2" t="s">
        <v>330</v>
      </c>
      <c r="S54" s="2">
        <v>3</v>
      </c>
      <c r="T54" s="2">
        <v>111</v>
      </c>
      <c r="U54" s="2">
        <v>63</v>
      </c>
      <c r="V54" s="2">
        <v>90</v>
      </c>
      <c r="W54" s="2">
        <v>28</v>
      </c>
      <c r="X54" s="2">
        <v>37.700000000000003</v>
      </c>
      <c r="Y54" s="2">
        <v>43.5</v>
      </c>
      <c r="Z54" s="2">
        <v>98</v>
      </c>
      <c r="AA54" s="2" t="s">
        <v>50</v>
      </c>
      <c r="AB54" s="2" t="s">
        <v>51</v>
      </c>
      <c r="AC54" s="2" t="s">
        <v>52</v>
      </c>
      <c r="AD54" s="2" t="s">
        <v>53</v>
      </c>
      <c r="AE54" s="2" t="s">
        <v>54</v>
      </c>
      <c r="AF54" s="2" t="s">
        <v>55</v>
      </c>
      <c r="AG54" s="2" t="s">
        <v>85</v>
      </c>
    </row>
    <row r="55" spans="1:33" x14ac:dyDescent="0.2">
      <c r="A55" s="3" t="s">
        <v>324</v>
      </c>
      <c r="B55" s="3" t="s">
        <v>331</v>
      </c>
      <c r="C55" s="3" t="s">
        <v>332</v>
      </c>
      <c r="D55" s="3" t="s">
        <v>88</v>
      </c>
      <c r="E55" s="3" t="s">
        <v>37</v>
      </c>
      <c r="F55" s="3" t="s">
        <v>219</v>
      </c>
      <c r="G55" s="3" t="s">
        <v>76</v>
      </c>
      <c r="H55" s="3" t="s">
        <v>327</v>
      </c>
      <c r="I55" s="3">
        <v>57</v>
      </c>
      <c r="J55" s="3" t="s">
        <v>41</v>
      </c>
      <c r="K55" s="3" t="s">
        <v>116</v>
      </c>
      <c r="L55" s="3" t="s">
        <v>43</v>
      </c>
      <c r="M55" s="3" t="s">
        <v>44</v>
      </c>
      <c r="N55" s="3" t="s">
        <v>81</v>
      </c>
      <c r="O55" s="3" t="s">
        <v>328</v>
      </c>
      <c r="P55" s="3" t="s">
        <v>329</v>
      </c>
      <c r="Q55" s="3" t="s">
        <v>69</v>
      </c>
      <c r="R55" s="3" t="s">
        <v>234</v>
      </c>
      <c r="S55" s="3">
        <v>1</v>
      </c>
      <c r="T55" s="3">
        <v>172</v>
      </c>
      <c r="U55" s="3">
        <v>98</v>
      </c>
      <c r="V55" s="3">
        <v>123</v>
      </c>
      <c r="W55" s="3">
        <v>27</v>
      </c>
      <c r="X55" s="3">
        <v>38.6</v>
      </c>
      <c r="Y55" s="3">
        <v>27.9</v>
      </c>
      <c r="Z55" s="3">
        <v>97</v>
      </c>
      <c r="AA55" s="3" t="s">
        <v>50</v>
      </c>
      <c r="AB55" s="3" t="s">
        <v>51</v>
      </c>
      <c r="AC55" s="3" t="s">
        <v>52</v>
      </c>
      <c r="AD55" s="3" t="s">
        <v>53</v>
      </c>
      <c r="AE55" s="3" t="s">
        <v>54</v>
      </c>
      <c r="AF55" s="3" t="s">
        <v>55</v>
      </c>
      <c r="AG55" s="3" t="s">
        <v>92</v>
      </c>
    </row>
    <row r="56" spans="1:33" x14ac:dyDescent="0.2">
      <c r="A56" s="2" t="s">
        <v>324</v>
      </c>
      <c r="B56" s="2" t="s">
        <v>333</v>
      </c>
      <c r="C56" s="2" t="s">
        <v>334</v>
      </c>
      <c r="D56" s="2" t="s">
        <v>95</v>
      </c>
      <c r="E56" s="2" t="s">
        <v>167</v>
      </c>
      <c r="F56" s="2" t="s">
        <v>132</v>
      </c>
      <c r="G56" s="2" t="s">
        <v>63</v>
      </c>
      <c r="H56" s="2" t="s">
        <v>327</v>
      </c>
      <c r="I56" s="2">
        <v>57</v>
      </c>
      <c r="J56" s="2" t="s">
        <v>41</v>
      </c>
      <c r="K56" s="2" t="s">
        <v>140</v>
      </c>
      <c r="L56" s="2" t="s">
        <v>43</v>
      </c>
      <c r="M56" s="2" t="s">
        <v>44</v>
      </c>
      <c r="N56" s="2" t="s">
        <v>81</v>
      </c>
      <c r="O56" s="2" t="s">
        <v>328</v>
      </c>
      <c r="P56" s="2" t="s">
        <v>329</v>
      </c>
      <c r="Q56" s="2" t="s">
        <v>69</v>
      </c>
      <c r="R56" s="2" t="s">
        <v>335</v>
      </c>
      <c r="S56" s="2">
        <v>3</v>
      </c>
      <c r="T56" s="2">
        <v>156</v>
      </c>
      <c r="U56" s="2">
        <v>90</v>
      </c>
      <c r="V56" s="2">
        <v>112</v>
      </c>
      <c r="W56" s="2">
        <v>27</v>
      </c>
      <c r="X56" s="2">
        <v>36.299999999999997</v>
      </c>
      <c r="Y56" s="2">
        <v>24.2</v>
      </c>
      <c r="Z56" s="2">
        <v>87</v>
      </c>
      <c r="AA56" s="2" t="s">
        <v>50</v>
      </c>
      <c r="AB56" s="2" t="s">
        <v>51</v>
      </c>
      <c r="AC56" s="2" t="s">
        <v>52</v>
      </c>
      <c r="AD56" s="2" t="s">
        <v>53</v>
      </c>
      <c r="AE56" s="2" t="s">
        <v>54</v>
      </c>
      <c r="AF56" s="2" t="s">
        <v>55</v>
      </c>
      <c r="AG56" s="2" t="s">
        <v>100</v>
      </c>
    </row>
    <row r="57" spans="1:33" x14ac:dyDescent="0.2">
      <c r="A57" s="3" t="s">
        <v>324</v>
      </c>
      <c r="B57" s="3" t="s">
        <v>336</v>
      </c>
      <c r="C57" s="3" t="s">
        <v>337</v>
      </c>
      <c r="D57" s="3" t="s">
        <v>95</v>
      </c>
      <c r="E57" s="3" t="s">
        <v>89</v>
      </c>
      <c r="F57" s="3" t="s">
        <v>132</v>
      </c>
      <c r="G57" s="3" t="s">
        <v>104</v>
      </c>
      <c r="H57" s="3" t="s">
        <v>327</v>
      </c>
      <c r="I57" s="3">
        <v>57</v>
      </c>
      <c r="J57" s="3" t="s">
        <v>41</v>
      </c>
      <c r="K57" s="3" t="s">
        <v>110</v>
      </c>
      <c r="L57" s="3" t="s">
        <v>43</v>
      </c>
      <c r="M57" s="3" t="s">
        <v>44</v>
      </c>
      <c r="N57" s="3" t="s">
        <v>81</v>
      </c>
      <c r="O57" s="3" t="s">
        <v>328</v>
      </c>
      <c r="P57" s="3" t="s">
        <v>329</v>
      </c>
      <c r="Q57" s="3" t="s">
        <v>69</v>
      </c>
      <c r="R57" s="3" t="s">
        <v>338</v>
      </c>
      <c r="S57" s="3">
        <v>4</v>
      </c>
      <c r="T57" s="3">
        <v>180</v>
      </c>
      <c r="U57" s="3">
        <v>73</v>
      </c>
      <c r="V57" s="3">
        <v>87</v>
      </c>
      <c r="W57" s="3">
        <v>14</v>
      </c>
      <c r="X57" s="3">
        <v>38.799999999999997</v>
      </c>
      <c r="Y57" s="3">
        <v>21.4</v>
      </c>
      <c r="Z57" s="3">
        <v>93</v>
      </c>
      <c r="AA57" s="3" t="s">
        <v>50</v>
      </c>
      <c r="AB57" s="3" t="s">
        <v>51</v>
      </c>
      <c r="AC57" s="3" t="s">
        <v>52</v>
      </c>
      <c r="AD57" s="3" t="s">
        <v>53</v>
      </c>
      <c r="AE57" s="3" t="s">
        <v>54</v>
      </c>
      <c r="AF57" s="3" t="s">
        <v>55</v>
      </c>
      <c r="AG57" s="3" t="s">
        <v>106</v>
      </c>
    </row>
    <row r="58" spans="1:33" x14ac:dyDescent="0.2">
      <c r="A58" s="2" t="s">
        <v>324</v>
      </c>
      <c r="B58" s="2" t="s">
        <v>339</v>
      </c>
      <c r="C58" s="2" t="s">
        <v>340</v>
      </c>
      <c r="D58" s="2" t="s">
        <v>103</v>
      </c>
      <c r="E58" s="2" t="s">
        <v>37</v>
      </c>
      <c r="F58" s="2" t="s">
        <v>219</v>
      </c>
      <c r="G58" s="2" t="s">
        <v>63</v>
      </c>
      <c r="H58" s="2" t="s">
        <v>327</v>
      </c>
      <c r="I58" s="2">
        <v>57</v>
      </c>
      <c r="J58" s="2" t="s">
        <v>41</v>
      </c>
      <c r="K58" s="2" t="s">
        <v>116</v>
      </c>
      <c r="L58" s="2" t="s">
        <v>43</v>
      </c>
      <c r="M58" s="2" t="s">
        <v>44</v>
      </c>
      <c r="N58" s="2" t="s">
        <v>81</v>
      </c>
      <c r="O58" s="2" t="s">
        <v>328</v>
      </c>
      <c r="P58" s="2" t="s">
        <v>329</v>
      </c>
      <c r="Q58" s="2" t="s">
        <v>69</v>
      </c>
      <c r="R58" s="2" t="s">
        <v>341</v>
      </c>
      <c r="S58" s="2">
        <v>3</v>
      </c>
      <c r="T58" s="2">
        <v>128</v>
      </c>
      <c r="U58" s="2">
        <v>82</v>
      </c>
      <c r="V58" s="2">
        <v>121</v>
      </c>
      <c r="W58" s="2">
        <v>26</v>
      </c>
      <c r="X58" s="2">
        <v>36.299999999999997</v>
      </c>
      <c r="Y58" s="2">
        <v>37</v>
      </c>
      <c r="Z58" s="2">
        <v>94</v>
      </c>
      <c r="AA58" s="2" t="s">
        <v>50</v>
      </c>
      <c r="AB58" s="2" t="s">
        <v>51</v>
      </c>
      <c r="AC58" s="2" t="s">
        <v>52</v>
      </c>
      <c r="AD58" s="2" t="s">
        <v>53</v>
      </c>
      <c r="AE58" s="2" t="s">
        <v>54</v>
      </c>
      <c r="AF58" s="2" t="s">
        <v>55</v>
      </c>
      <c r="AG58" s="2" t="s">
        <v>112</v>
      </c>
    </row>
    <row r="59" spans="1:33" x14ac:dyDescent="0.2">
      <c r="A59" s="3" t="s">
        <v>324</v>
      </c>
      <c r="B59" s="3" t="s">
        <v>342</v>
      </c>
      <c r="C59" s="3" t="s">
        <v>343</v>
      </c>
      <c r="D59" s="3" t="s">
        <v>103</v>
      </c>
      <c r="E59" s="3" t="s">
        <v>89</v>
      </c>
      <c r="F59" s="3" t="s">
        <v>189</v>
      </c>
      <c r="G59" s="3" t="s">
        <v>138</v>
      </c>
      <c r="H59" s="3" t="s">
        <v>327</v>
      </c>
      <c r="I59" s="3">
        <v>57</v>
      </c>
      <c r="J59" s="3" t="s">
        <v>41</v>
      </c>
      <c r="K59" s="3" t="s">
        <v>42</v>
      </c>
      <c r="L59" s="3" t="s">
        <v>43</v>
      </c>
      <c r="M59" s="3" t="s">
        <v>44</v>
      </c>
      <c r="N59" s="3" t="s">
        <v>81</v>
      </c>
      <c r="O59" s="3" t="s">
        <v>328</v>
      </c>
      <c r="P59" s="3" t="s">
        <v>329</v>
      </c>
      <c r="Q59" s="3" t="s">
        <v>69</v>
      </c>
      <c r="R59" s="3" t="s">
        <v>268</v>
      </c>
      <c r="S59" s="3">
        <v>1</v>
      </c>
      <c r="T59" s="3">
        <v>153</v>
      </c>
      <c r="U59" s="3">
        <v>91</v>
      </c>
      <c r="V59" s="3">
        <v>52</v>
      </c>
      <c r="W59" s="3">
        <v>25</v>
      </c>
      <c r="X59" s="3">
        <v>36.799999999999997</v>
      </c>
      <c r="Y59" s="3">
        <v>21.1</v>
      </c>
      <c r="Z59" s="3">
        <v>94</v>
      </c>
      <c r="AA59" s="3" t="s">
        <v>50</v>
      </c>
      <c r="AB59" s="3" t="s">
        <v>51</v>
      </c>
      <c r="AC59" s="3" t="s">
        <v>52</v>
      </c>
      <c r="AD59" s="3" t="s">
        <v>53</v>
      </c>
      <c r="AE59" s="3" t="s">
        <v>54</v>
      </c>
      <c r="AF59" s="3" t="s">
        <v>55</v>
      </c>
      <c r="AG59" s="3" t="s">
        <v>118</v>
      </c>
    </row>
    <row r="60" spans="1:33" x14ac:dyDescent="0.2">
      <c r="A60" s="2" t="s">
        <v>344</v>
      </c>
      <c r="B60" s="2" t="s">
        <v>345</v>
      </c>
      <c r="C60" s="2" t="s">
        <v>346</v>
      </c>
      <c r="D60" s="2" t="s">
        <v>95</v>
      </c>
      <c r="E60" s="2" t="s">
        <v>167</v>
      </c>
      <c r="F60" s="2" t="s">
        <v>148</v>
      </c>
      <c r="G60" s="2" t="s">
        <v>63</v>
      </c>
      <c r="H60" s="2" t="s">
        <v>347</v>
      </c>
      <c r="I60" s="2">
        <v>18</v>
      </c>
      <c r="J60" s="2" t="s">
        <v>41</v>
      </c>
      <c r="K60" s="2" t="s">
        <v>78</v>
      </c>
      <c r="L60" s="2" t="s">
        <v>79</v>
      </c>
      <c r="M60" s="2" t="s">
        <v>80</v>
      </c>
      <c r="N60" s="2" t="s">
        <v>45</v>
      </c>
      <c r="O60" s="2" t="s">
        <v>305</v>
      </c>
      <c r="P60" s="2" t="s">
        <v>306</v>
      </c>
      <c r="Q60" s="2" t="s">
        <v>48</v>
      </c>
      <c r="R60" s="2" t="s">
        <v>348</v>
      </c>
      <c r="S60" s="2">
        <v>4</v>
      </c>
      <c r="T60" s="2">
        <v>107</v>
      </c>
      <c r="U60" s="2">
        <v>76</v>
      </c>
      <c r="V60" s="2">
        <v>109</v>
      </c>
      <c r="W60" s="2">
        <v>21</v>
      </c>
      <c r="X60" s="2">
        <v>36.1</v>
      </c>
      <c r="Y60" s="2">
        <v>25.1</v>
      </c>
      <c r="Z60" s="2">
        <v>89</v>
      </c>
      <c r="AA60" s="2" t="s">
        <v>50</v>
      </c>
      <c r="AB60" s="2" t="s">
        <v>51</v>
      </c>
      <c r="AC60" s="2" t="s">
        <v>52</v>
      </c>
      <c r="AD60" s="2" t="s">
        <v>53</v>
      </c>
      <c r="AE60" s="2" t="s">
        <v>54</v>
      </c>
      <c r="AF60" s="2" t="s">
        <v>55</v>
      </c>
      <c r="AG60" s="2" t="s">
        <v>56</v>
      </c>
    </row>
    <row r="61" spans="1:33" x14ac:dyDescent="0.2">
      <c r="A61" s="3" t="s">
        <v>349</v>
      </c>
      <c r="B61" s="3" t="s">
        <v>350</v>
      </c>
      <c r="C61" s="3" t="s">
        <v>351</v>
      </c>
      <c r="D61" s="3" t="s">
        <v>88</v>
      </c>
      <c r="E61" s="3" t="s">
        <v>167</v>
      </c>
      <c r="F61" s="3" t="s">
        <v>132</v>
      </c>
      <c r="G61" s="3" t="s">
        <v>104</v>
      </c>
      <c r="H61" s="3" t="s">
        <v>352</v>
      </c>
      <c r="I61" s="3">
        <v>23</v>
      </c>
      <c r="J61" s="3" t="s">
        <v>41</v>
      </c>
      <c r="K61" s="3" t="s">
        <v>78</v>
      </c>
      <c r="L61" s="3" t="s">
        <v>141</v>
      </c>
      <c r="M61" s="3" t="s">
        <v>44</v>
      </c>
      <c r="N61" s="3" t="s">
        <v>45</v>
      </c>
      <c r="O61" s="3" t="s">
        <v>283</v>
      </c>
      <c r="P61" s="3" t="s">
        <v>284</v>
      </c>
      <c r="Q61" s="3" t="s">
        <v>69</v>
      </c>
      <c r="R61" s="3" t="s">
        <v>353</v>
      </c>
      <c r="S61" s="3">
        <v>2</v>
      </c>
      <c r="T61" s="3">
        <v>133</v>
      </c>
      <c r="U61" s="3">
        <v>61</v>
      </c>
      <c r="V61" s="3">
        <v>103</v>
      </c>
      <c r="W61" s="3">
        <v>19</v>
      </c>
      <c r="X61" s="3">
        <v>38.9</v>
      </c>
      <c r="Y61" s="3">
        <v>26.7</v>
      </c>
      <c r="Z61" s="3">
        <v>89</v>
      </c>
      <c r="AA61" s="3" t="s">
        <v>50</v>
      </c>
      <c r="AB61" s="3" t="s">
        <v>51</v>
      </c>
      <c r="AC61" s="3" t="s">
        <v>52</v>
      </c>
      <c r="AD61" s="3" t="s">
        <v>53</v>
      </c>
      <c r="AE61" s="3" t="s">
        <v>54</v>
      </c>
      <c r="AF61" s="3" t="s">
        <v>55</v>
      </c>
      <c r="AG61" s="3" t="s">
        <v>198</v>
      </c>
    </row>
    <row r="62" spans="1:33" x14ac:dyDescent="0.2">
      <c r="A62" s="2" t="s">
        <v>349</v>
      </c>
      <c r="B62" s="2" t="s">
        <v>354</v>
      </c>
      <c r="C62" s="2" t="s">
        <v>355</v>
      </c>
      <c r="D62" s="2" t="s">
        <v>103</v>
      </c>
      <c r="E62" s="2" t="s">
        <v>96</v>
      </c>
      <c r="F62" s="2" t="s">
        <v>109</v>
      </c>
      <c r="G62" s="2" t="s">
        <v>98</v>
      </c>
      <c r="H62" s="2" t="s">
        <v>352</v>
      </c>
      <c r="I62" s="2">
        <v>23</v>
      </c>
      <c r="J62" s="2" t="s">
        <v>41</v>
      </c>
      <c r="K62" s="2" t="s">
        <v>78</v>
      </c>
      <c r="L62" s="2" t="s">
        <v>141</v>
      </c>
      <c r="M62" s="2" t="s">
        <v>44</v>
      </c>
      <c r="N62" s="2" t="s">
        <v>45</v>
      </c>
      <c r="O62" s="2" t="s">
        <v>283</v>
      </c>
      <c r="P62" s="2" t="s">
        <v>284</v>
      </c>
      <c r="Q62" s="2" t="s">
        <v>69</v>
      </c>
      <c r="R62" s="2" t="s">
        <v>356</v>
      </c>
      <c r="S62" s="2">
        <v>2</v>
      </c>
      <c r="T62" s="2">
        <v>149</v>
      </c>
      <c r="U62" s="2">
        <v>61</v>
      </c>
      <c r="V62" s="2">
        <v>103</v>
      </c>
      <c r="W62" s="2">
        <v>26</v>
      </c>
      <c r="X62" s="2">
        <v>38.1</v>
      </c>
      <c r="Y62" s="2">
        <v>39.4</v>
      </c>
      <c r="Z62" s="2">
        <v>96</v>
      </c>
      <c r="AA62" s="2" t="s">
        <v>50</v>
      </c>
      <c r="AB62" s="2" t="s">
        <v>51</v>
      </c>
      <c r="AC62" s="2" t="s">
        <v>52</v>
      </c>
      <c r="AD62" s="2" t="s">
        <v>53</v>
      </c>
      <c r="AE62" s="2" t="s">
        <v>54</v>
      </c>
      <c r="AF62" s="2" t="s">
        <v>55</v>
      </c>
      <c r="AG62" s="2" t="s">
        <v>202</v>
      </c>
    </row>
    <row r="63" spans="1:33" x14ac:dyDescent="0.2">
      <c r="A63" s="3" t="s">
        <v>349</v>
      </c>
      <c r="B63" s="3" t="s">
        <v>357</v>
      </c>
      <c r="C63" s="3" t="s">
        <v>326</v>
      </c>
      <c r="D63" s="3" t="s">
        <v>60</v>
      </c>
      <c r="E63" s="3" t="s">
        <v>96</v>
      </c>
      <c r="F63" s="3" t="s">
        <v>122</v>
      </c>
      <c r="G63" s="3" t="s">
        <v>76</v>
      </c>
      <c r="H63" s="3" t="s">
        <v>352</v>
      </c>
      <c r="I63" s="3">
        <v>23</v>
      </c>
      <c r="J63" s="3" t="s">
        <v>41</v>
      </c>
      <c r="K63" s="3" t="s">
        <v>66</v>
      </c>
      <c r="L63" s="3" t="s">
        <v>141</v>
      </c>
      <c r="M63" s="3" t="s">
        <v>44</v>
      </c>
      <c r="N63" s="3" t="s">
        <v>45</v>
      </c>
      <c r="O63" s="3" t="s">
        <v>283</v>
      </c>
      <c r="P63" s="3" t="s">
        <v>284</v>
      </c>
      <c r="Q63" s="3" t="s">
        <v>69</v>
      </c>
      <c r="R63" s="3" t="s">
        <v>176</v>
      </c>
      <c r="S63" s="3">
        <v>1</v>
      </c>
      <c r="T63" s="3">
        <v>161</v>
      </c>
      <c r="U63" s="3">
        <v>74</v>
      </c>
      <c r="V63" s="3">
        <v>73</v>
      </c>
      <c r="W63" s="3">
        <v>16</v>
      </c>
      <c r="X63" s="3">
        <v>39.1</v>
      </c>
      <c r="Y63" s="3">
        <v>37.1</v>
      </c>
      <c r="Z63" s="3">
        <v>93</v>
      </c>
      <c r="AA63" s="3" t="s">
        <v>50</v>
      </c>
      <c r="AB63" s="3" t="s">
        <v>51</v>
      </c>
      <c r="AC63" s="3" t="s">
        <v>52</v>
      </c>
      <c r="AD63" s="3" t="s">
        <v>53</v>
      </c>
      <c r="AE63" s="3" t="s">
        <v>54</v>
      </c>
      <c r="AF63" s="3" t="s">
        <v>55</v>
      </c>
      <c r="AG63" s="3" t="s">
        <v>206</v>
      </c>
    </row>
    <row r="64" spans="1:33" x14ac:dyDescent="0.2">
      <c r="A64" s="2" t="s">
        <v>358</v>
      </c>
      <c r="B64" s="2" t="s">
        <v>359</v>
      </c>
      <c r="C64" s="2" t="s">
        <v>360</v>
      </c>
      <c r="D64" s="2" t="s">
        <v>60</v>
      </c>
      <c r="E64" s="2" t="s">
        <v>167</v>
      </c>
      <c r="F64" s="2" t="s">
        <v>148</v>
      </c>
      <c r="G64" s="2" t="s">
        <v>76</v>
      </c>
      <c r="H64" s="2" t="s">
        <v>361</v>
      </c>
      <c r="I64" s="2">
        <v>25</v>
      </c>
      <c r="J64" s="2" t="s">
        <v>41</v>
      </c>
      <c r="K64" s="2" t="s">
        <v>110</v>
      </c>
      <c r="L64" s="2" t="s">
        <v>45</v>
      </c>
      <c r="M64" s="2"/>
      <c r="N64" s="2" t="s">
        <v>81</v>
      </c>
      <c r="O64" s="2" t="s">
        <v>67</v>
      </c>
      <c r="P64" s="2" t="s">
        <v>68</v>
      </c>
      <c r="Q64" s="2" t="s">
        <v>69</v>
      </c>
      <c r="R64" s="2" t="s">
        <v>362</v>
      </c>
      <c r="S64" s="2">
        <v>2</v>
      </c>
      <c r="T64" s="2">
        <v>133</v>
      </c>
      <c r="U64" s="2">
        <v>110</v>
      </c>
      <c r="V64" s="2">
        <v>54</v>
      </c>
      <c r="W64" s="2">
        <v>17</v>
      </c>
      <c r="X64" s="2">
        <v>37</v>
      </c>
      <c r="Y64" s="2">
        <v>20.5</v>
      </c>
      <c r="Z64" s="2">
        <v>94</v>
      </c>
      <c r="AA64" s="2" t="s">
        <v>50</v>
      </c>
      <c r="AB64" s="2" t="s">
        <v>51</v>
      </c>
      <c r="AC64" s="2" t="s">
        <v>52</v>
      </c>
      <c r="AD64" s="2" t="s">
        <v>53</v>
      </c>
      <c r="AE64" s="2" t="s">
        <v>54</v>
      </c>
      <c r="AF64" s="2" t="s">
        <v>55</v>
      </c>
      <c r="AG64" s="2" t="s">
        <v>85</v>
      </c>
    </row>
    <row r="65" spans="1:33" x14ac:dyDescent="0.2">
      <c r="A65" s="3" t="s">
        <v>358</v>
      </c>
      <c r="B65" s="3" t="s">
        <v>363</v>
      </c>
      <c r="C65" s="3" t="s">
        <v>108</v>
      </c>
      <c r="D65" s="3" t="s">
        <v>36</v>
      </c>
      <c r="E65" s="3" t="s">
        <v>37</v>
      </c>
      <c r="F65" s="3" t="s">
        <v>38</v>
      </c>
      <c r="G65" s="3" t="s">
        <v>104</v>
      </c>
      <c r="H65" s="3" t="s">
        <v>361</v>
      </c>
      <c r="I65" s="3">
        <v>25</v>
      </c>
      <c r="J65" s="3" t="s">
        <v>41</v>
      </c>
      <c r="K65" s="3" t="s">
        <v>116</v>
      </c>
      <c r="L65" s="3" t="s">
        <v>45</v>
      </c>
      <c r="M65" s="3"/>
      <c r="N65" s="3" t="s">
        <v>81</v>
      </c>
      <c r="O65" s="3" t="s">
        <v>67</v>
      </c>
      <c r="P65" s="3" t="s">
        <v>68</v>
      </c>
      <c r="Q65" s="3" t="s">
        <v>69</v>
      </c>
      <c r="R65" s="3" t="s">
        <v>45</v>
      </c>
      <c r="S65" s="3">
        <v>1</v>
      </c>
      <c r="T65" s="3">
        <v>120</v>
      </c>
      <c r="U65" s="3">
        <v>69</v>
      </c>
      <c r="V65" s="3">
        <v>82</v>
      </c>
      <c r="W65" s="3">
        <v>21</v>
      </c>
      <c r="X65" s="3">
        <v>38.5</v>
      </c>
      <c r="Y65" s="3">
        <v>35.200000000000003</v>
      </c>
      <c r="Z65" s="3">
        <v>96</v>
      </c>
      <c r="AA65" s="3" t="s">
        <v>50</v>
      </c>
      <c r="AB65" s="3" t="s">
        <v>51</v>
      </c>
      <c r="AC65" s="3" t="s">
        <v>52</v>
      </c>
      <c r="AD65" s="3" t="s">
        <v>53</v>
      </c>
      <c r="AE65" s="3" t="s">
        <v>54</v>
      </c>
      <c r="AF65" s="3" t="s">
        <v>55</v>
      </c>
      <c r="AG65" s="3" t="s">
        <v>92</v>
      </c>
    </row>
    <row r="66" spans="1:33" x14ac:dyDescent="0.2">
      <c r="A66" s="2" t="s">
        <v>358</v>
      </c>
      <c r="B66" s="2" t="s">
        <v>364</v>
      </c>
      <c r="C66" s="2" t="s">
        <v>108</v>
      </c>
      <c r="D66" s="2" t="s">
        <v>88</v>
      </c>
      <c r="E66" s="2" t="s">
        <v>61</v>
      </c>
      <c r="F66" s="2" t="s">
        <v>132</v>
      </c>
      <c r="G66" s="2" t="s">
        <v>39</v>
      </c>
      <c r="H66" s="2" t="s">
        <v>361</v>
      </c>
      <c r="I66" s="2">
        <v>25</v>
      </c>
      <c r="J66" s="2" t="s">
        <v>41</v>
      </c>
      <c r="K66" s="2" t="s">
        <v>78</v>
      </c>
      <c r="L66" s="2" t="s">
        <v>45</v>
      </c>
      <c r="M66" s="2"/>
      <c r="N66" s="2" t="s">
        <v>81</v>
      </c>
      <c r="O66" s="2" t="s">
        <v>67</v>
      </c>
      <c r="P66" s="2" t="s">
        <v>68</v>
      </c>
      <c r="Q66" s="2" t="s">
        <v>69</v>
      </c>
      <c r="R66" s="2" t="s">
        <v>176</v>
      </c>
      <c r="S66" s="2">
        <v>1</v>
      </c>
      <c r="T66" s="2">
        <v>123</v>
      </c>
      <c r="U66" s="2">
        <v>75</v>
      </c>
      <c r="V66" s="2">
        <v>50</v>
      </c>
      <c r="W66" s="2">
        <v>26</v>
      </c>
      <c r="X66" s="2">
        <v>37.799999999999997</v>
      </c>
      <c r="Y66" s="2">
        <v>28.9</v>
      </c>
      <c r="Z66" s="2">
        <v>89</v>
      </c>
      <c r="AA66" s="2" t="s">
        <v>50</v>
      </c>
      <c r="AB66" s="2" t="s">
        <v>51</v>
      </c>
      <c r="AC66" s="2" t="s">
        <v>52</v>
      </c>
      <c r="AD66" s="2" t="s">
        <v>53</v>
      </c>
      <c r="AE66" s="2" t="s">
        <v>54</v>
      </c>
      <c r="AF66" s="2" t="s">
        <v>55</v>
      </c>
      <c r="AG66" s="2" t="s">
        <v>100</v>
      </c>
    </row>
    <row r="67" spans="1:33" x14ac:dyDescent="0.2">
      <c r="A67" s="3" t="s">
        <v>358</v>
      </c>
      <c r="B67" s="3" t="s">
        <v>365</v>
      </c>
      <c r="C67" s="3" t="s">
        <v>366</v>
      </c>
      <c r="D67" s="3" t="s">
        <v>36</v>
      </c>
      <c r="E67" s="3" t="s">
        <v>96</v>
      </c>
      <c r="F67" s="3" t="s">
        <v>132</v>
      </c>
      <c r="G67" s="3" t="s">
        <v>98</v>
      </c>
      <c r="H67" s="3" t="s">
        <v>361</v>
      </c>
      <c r="I67" s="3">
        <v>25</v>
      </c>
      <c r="J67" s="3" t="s">
        <v>41</v>
      </c>
      <c r="K67" s="3" t="s">
        <v>90</v>
      </c>
      <c r="L67" s="3" t="s">
        <v>45</v>
      </c>
      <c r="M67" s="3"/>
      <c r="N67" s="3" t="s">
        <v>81</v>
      </c>
      <c r="O67" s="3" t="s">
        <v>67</v>
      </c>
      <c r="P67" s="3" t="s">
        <v>68</v>
      </c>
      <c r="Q67" s="3" t="s">
        <v>69</v>
      </c>
      <c r="R67" s="3" t="s">
        <v>176</v>
      </c>
      <c r="S67" s="3">
        <v>1</v>
      </c>
      <c r="T67" s="3">
        <v>109</v>
      </c>
      <c r="U67" s="3">
        <v>74</v>
      </c>
      <c r="V67" s="3">
        <v>74</v>
      </c>
      <c r="W67" s="3">
        <v>27</v>
      </c>
      <c r="X67" s="3">
        <v>37.9</v>
      </c>
      <c r="Y67" s="3">
        <v>42.7</v>
      </c>
      <c r="Z67" s="3">
        <v>89</v>
      </c>
      <c r="AA67" s="3" t="s">
        <v>50</v>
      </c>
      <c r="AB67" s="3" t="s">
        <v>51</v>
      </c>
      <c r="AC67" s="3" t="s">
        <v>52</v>
      </c>
      <c r="AD67" s="3" t="s">
        <v>53</v>
      </c>
      <c r="AE67" s="3" t="s">
        <v>54</v>
      </c>
      <c r="AF67" s="3" t="s">
        <v>55</v>
      </c>
      <c r="AG67" s="3" t="s">
        <v>106</v>
      </c>
    </row>
    <row r="68" spans="1:33" x14ac:dyDescent="0.2">
      <c r="A68" s="2" t="s">
        <v>358</v>
      </c>
      <c r="B68" s="2" t="s">
        <v>367</v>
      </c>
      <c r="C68" s="2" t="s">
        <v>368</v>
      </c>
      <c r="D68" s="2" t="s">
        <v>88</v>
      </c>
      <c r="E68" s="2" t="s">
        <v>37</v>
      </c>
      <c r="F68" s="2" t="s">
        <v>75</v>
      </c>
      <c r="G68" s="2" t="s">
        <v>138</v>
      </c>
      <c r="H68" s="2" t="s">
        <v>361</v>
      </c>
      <c r="I68" s="2">
        <v>25</v>
      </c>
      <c r="J68" s="2" t="s">
        <v>41</v>
      </c>
      <c r="K68" s="2" t="s">
        <v>42</v>
      </c>
      <c r="L68" s="2" t="s">
        <v>45</v>
      </c>
      <c r="M68" s="2"/>
      <c r="N68" s="2" t="s">
        <v>81</v>
      </c>
      <c r="O68" s="2" t="s">
        <v>67</v>
      </c>
      <c r="P68" s="2" t="s">
        <v>68</v>
      </c>
      <c r="Q68" s="2" t="s">
        <v>69</v>
      </c>
      <c r="R68" s="2" t="s">
        <v>369</v>
      </c>
      <c r="S68" s="2">
        <v>3</v>
      </c>
      <c r="T68" s="2">
        <v>132</v>
      </c>
      <c r="U68" s="2">
        <v>68</v>
      </c>
      <c r="V68" s="2">
        <v>88</v>
      </c>
      <c r="W68" s="2">
        <v>18</v>
      </c>
      <c r="X68" s="2">
        <v>36.4</v>
      </c>
      <c r="Y68" s="2">
        <v>36.799999999999997</v>
      </c>
      <c r="Z68" s="2">
        <v>95</v>
      </c>
      <c r="AA68" s="2" t="s">
        <v>50</v>
      </c>
      <c r="AB68" s="2" t="s">
        <v>51</v>
      </c>
      <c r="AC68" s="2" t="s">
        <v>52</v>
      </c>
      <c r="AD68" s="2" t="s">
        <v>53</v>
      </c>
      <c r="AE68" s="2" t="s">
        <v>54</v>
      </c>
      <c r="AF68" s="2" t="s">
        <v>55</v>
      </c>
      <c r="AG68" s="2" t="s">
        <v>112</v>
      </c>
    </row>
    <row r="69" spans="1:33" x14ac:dyDescent="0.2">
      <c r="A69" s="3" t="s">
        <v>358</v>
      </c>
      <c r="B69" s="3" t="s">
        <v>370</v>
      </c>
      <c r="C69" s="3" t="s">
        <v>371</v>
      </c>
      <c r="D69" s="3" t="s">
        <v>36</v>
      </c>
      <c r="E69" s="3" t="s">
        <v>37</v>
      </c>
      <c r="F69" s="3" t="s">
        <v>132</v>
      </c>
      <c r="G69" s="3" t="s">
        <v>123</v>
      </c>
      <c r="H69" s="3" t="s">
        <v>361</v>
      </c>
      <c r="I69" s="3">
        <v>25</v>
      </c>
      <c r="J69" s="3" t="s">
        <v>41</v>
      </c>
      <c r="K69" s="3" t="s">
        <v>78</v>
      </c>
      <c r="L69" s="3" t="s">
        <v>45</v>
      </c>
      <c r="M69" s="3"/>
      <c r="N69" s="3" t="s">
        <v>81</v>
      </c>
      <c r="O69" s="3" t="s">
        <v>67</v>
      </c>
      <c r="P69" s="3" t="s">
        <v>68</v>
      </c>
      <c r="Q69" s="3" t="s">
        <v>69</v>
      </c>
      <c r="R69" s="3" t="s">
        <v>372</v>
      </c>
      <c r="S69" s="3">
        <v>2</v>
      </c>
      <c r="T69" s="3">
        <v>164</v>
      </c>
      <c r="U69" s="3">
        <v>101</v>
      </c>
      <c r="V69" s="3">
        <v>72</v>
      </c>
      <c r="W69" s="3">
        <v>14</v>
      </c>
      <c r="X69" s="3">
        <v>37.6</v>
      </c>
      <c r="Y69" s="3">
        <v>29.8</v>
      </c>
      <c r="Z69" s="3">
        <v>89</v>
      </c>
      <c r="AA69" s="3" t="s">
        <v>50</v>
      </c>
      <c r="AB69" s="3" t="s">
        <v>51</v>
      </c>
      <c r="AC69" s="3" t="s">
        <v>52</v>
      </c>
      <c r="AD69" s="3" t="s">
        <v>53</v>
      </c>
      <c r="AE69" s="3" t="s">
        <v>54</v>
      </c>
      <c r="AF69" s="3" t="s">
        <v>55</v>
      </c>
      <c r="AG69" s="3" t="s">
        <v>118</v>
      </c>
    </row>
    <row r="70" spans="1:33" x14ac:dyDescent="0.2">
      <c r="A70" s="2" t="s">
        <v>373</v>
      </c>
      <c r="B70" s="2" t="s">
        <v>374</v>
      </c>
      <c r="C70" s="2" t="s">
        <v>375</v>
      </c>
      <c r="D70" s="2" t="s">
        <v>95</v>
      </c>
      <c r="E70" s="2" t="s">
        <v>89</v>
      </c>
      <c r="F70" s="2" t="s">
        <v>132</v>
      </c>
      <c r="G70" s="2" t="s">
        <v>63</v>
      </c>
      <c r="H70" s="2" t="s">
        <v>376</v>
      </c>
      <c r="I70" s="2">
        <v>76</v>
      </c>
      <c r="J70" s="2" t="s">
        <v>41</v>
      </c>
      <c r="K70" s="2" t="s">
        <v>78</v>
      </c>
      <c r="L70" s="2" t="s">
        <v>141</v>
      </c>
      <c r="M70" s="2"/>
      <c r="N70" s="2"/>
      <c r="O70" s="2" t="s">
        <v>67</v>
      </c>
      <c r="P70" s="2" t="s">
        <v>68</v>
      </c>
      <c r="Q70" s="2" t="s">
        <v>69</v>
      </c>
      <c r="R70" s="2" t="s">
        <v>320</v>
      </c>
      <c r="S70" s="2">
        <v>1</v>
      </c>
      <c r="T70" s="2">
        <v>97</v>
      </c>
      <c r="U70" s="2">
        <v>74</v>
      </c>
      <c r="V70" s="2">
        <v>110</v>
      </c>
      <c r="W70" s="2">
        <v>22</v>
      </c>
      <c r="X70" s="2">
        <v>38.700000000000003</v>
      </c>
      <c r="Y70" s="2">
        <v>43.7</v>
      </c>
      <c r="Z70" s="2">
        <v>88</v>
      </c>
      <c r="AA70" s="2" t="s">
        <v>50</v>
      </c>
      <c r="AB70" s="2" t="s">
        <v>51</v>
      </c>
      <c r="AC70" s="2" t="s">
        <v>52</v>
      </c>
      <c r="AD70" s="2" t="s">
        <v>53</v>
      </c>
      <c r="AE70" s="2" t="s">
        <v>54</v>
      </c>
      <c r="AF70" s="2" t="s">
        <v>55</v>
      </c>
      <c r="AG70" s="2" t="s">
        <v>160</v>
      </c>
    </row>
    <row r="71" spans="1:33" x14ac:dyDescent="0.2">
      <c r="A71" s="3" t="s">
        <v>373</v>
      </c>
      <c r="B71" s="3" t="s">
        <v>377</v>
      </c>
      <c r="C71" s="3" t="s">
        <v>378</v>
      </c>
      <c r="D71" s="3" t="s">
        <v>60</v>
      </c>
      <c r="E71" s="3" t="s">
        <v>61</v>
      </c>
      <c r="F71" s="3" t="s">
        <v>62</v>
      </c>
      <c r="G71" s="3" t="s">
        <v>138</v>
      </c>
      <c r="H71" s="3" t="s">
        <v>376</v>
      </c>
      <c r="I71" s="3">
        <v>76</v>
      </c>
      <c r="J71" s="3" t="s">
        <v>41</v>
      </c>
      <c r="K71" s="3" t="s">
        <v>140</v>
      </c>
      <c r="L71" s="3" t="s">
        <v>141</v>
      </c>
      <c r="M71" s="3"/>
      <c r="N71" s="3"/>
      <c r="O71" s="3" t="s">
        <v>67</v>
      </c>
      <c r="P71" s="3" t="s">
        <v>68</v>
      </c>
      <c r="Q71" s="3" t="s">
        <v>69</v>
      </c>
      <c r="R71" s="3" t="s">
        <v>379</v>
      </c>
      <c r="S71" s="3">
        <v>3</v>
      </c>
      <c r="T71" s="3">
        <v>162</v>
      </c>
      <c r="U71" s="3">
        <v>68</v>
      </c>
      <c r="V71" s="3">
        <v>108</v>
      </c>
      <c r="W71" s="3">
        <v>13</v>
      </c>
      <c r="X71" s="3">
        <v>38</v>
      </c>
      <c r="Y71" s="3">
        <v>32.6</v>
      </c>
      <c r="Z71" s="3">
        <v>90</v>
      </c>
      <c r="AA71" s="3" t="s">
        <v>50</v>
      </c>
      <c r="AB71" s="3" t="s">
        <v>51</v>
      </c>
      <c r="AC71" s="3" t="s">
        <v>52</v>
      </c>
      <c r="AD71" s="3" t="s">
        <v>53</v>
      </c>
      <c r="AE71" s="3" t="s">
        <v>54</v>
      </c>
      <c r="AF71" s="3" t="s">
        <v>55</v>
      </c>
      <c r="AG71" s="3" t="s">
        <v>164</v>
      </c>
    </row>
    <row r="72" spans="1:33" x14ac:dyDescent="0.2">
      <c r="A72" s="2" t="s">
        <v>373</v>
      </c>
      <c r="B72" s="2" t="s">
        <v>380</v>
      </c>
      <c r="C72" s="2" t="s">
        <v>381</v>
      </c>
      <c r="D72" s="2" t="s">
        <v>95</v>
      </c>
      <c r="E72" s="2" t="s">
        <v>37</v>
      </c>
      <c r="F72" s="2" t="s">
        <v>219</v>
      </c>
      <c r="G72" s="2" t="s">
        <v>98</v>
      </c>
      <c r="H72" s="2" t="s">
        <v>376</v>
      </c>
      <c r="I72" s="2">
        <v>76</v>
      </c>
      <c r="J72" s="2" t="s">
        <v>41</v>
      </c>
      <c r="K72" s="2" t="s">
        <v>116</v>
      </c>
      <c r="L72" s="2" t="s">
        <v>141</v>
      </c>
      <c r="M72" s="2"/>
      <c r="N72" s="2"/>
      <c r="O72" s="2" t="s">
        <v>67</v>
      </c>
      <c r="P72" s="2" t="s">
        <v>68</v>
      </c>
      <c r="Q72" s="2" t="s">
        <v>69</v>
      </c>
      <c r="R72" s="2" t="s">
        <v>382</v>
      </c>
      <c r="S72" s="2">
        <v>4</v>
      </c>
      <c r="T72" s="2">
        <v>109</v>
      </c>
      <c r="U72" s="2">
        <v>101</v>
      </c>
      <c r="V72" s="2">
        <v>56</v>
      </c>
      <c r="W72" s="2">
        <v>27</v>
      </c>
      <c r="X72" s="2">
        <v>38</v>
      </c>
      <c r="Y72" s="2">
        <v>30.7</v>
      </c>
      <c r="Z72" s="2">
        <v>94</v>
      </c>
      <c r="AA72" s="2" t="s">
        <v>50</v>
      </c>
      <c r="AB72" s="2" t="s">
        <v>51</v>
      </c>
      <c r="AC72" s="2" t="s">
        <v>52</v>
      </c>
      <c r="AD72" s="2" t="s">
        <v>53</v>
      </c>
      <c r="AE72" s="2" t="s">
        <v>54</v>
      </c>
      <c r="AF72" s="2" t="s">
        <v>55</v>
      </c>
      <c r="AG72" s="2" t="s">
        <v>169</v>
      </c>
    </row>
    <row r="73" spans="1:33" x14ac:dyDescent="0.2">
      <c r="A73" s="3" t="s">
        <v>373</v>
      </c>
      <c r="B73" s="3" t="s">
        <v>383</v>
      </c>
      <c r="C73" s="3" t="s">
        <v>384</v>
      </c>
      <c r="D73" s="3" t="s">
        <v>95</v>
      </c>
      <c r="E73" s="3" t="s">
        <v>96</v>
      </c>
      <c r="F73" s="3" t="s">
        <v>97</v>
      </c>
      <c r="G73" s="3" t="s">
        <v>123</v>
      </c>
      <c r="H73" s="3" t="s">
        <v>376</v>
      </c>
      <c r="I73" s="3">
        <v>76</v>
      </c>
      <c r="J73" s="3" t="s">
        <v>41</v>
      </c>
      <c r="K73" s="3" t="s">
        <v>78</v>
      </c>
      <c r="L73" s="3" t="s">
        <v>141</v>
      </c>
      <c r="M73" s="3"/>
      <c r="N73" s="3"/>
      <c r="O73" s="3" t="s">
        <v>67</v>
      </c>
      <c r="P73" s="3" t="s">
        <v>68</v>
      </c>
      <c r="Q73" s="3" t="s">
        <v>69</v>
      </c>
      <c r="R73" s="3" t="s">
        <v>385</v>
      </c>
      <c r="S73" s="3">
        <v>3</v>
      </c>
      <c r="T73" s="3">
        <v>167</v>
      </c>
      <c r="U73" s="3">
        <v>90</v>
      </c>
      <c r="V73" s="3">
        <v>76</v>
      </c>
      <c r="W73" s="3">
        <v>13</v>
      </c>
      <c r="X73" s="3">
        <v>37.5</v>
      </c>
      <c r="Y73" s="3">
        <v>18.600000000000001</v>
      </c>
      <c r="Z73" s="3">
        <v>92</v>
      </c>
      <c r="AA73" s="3" t="s">
        <v>50</v>
      </c>
      <c r="AB73" s="3" t="s">
        <v>51</v>
      </c>
      <c r="AC73" s="3" t="s">
        <v>52</v>
      </c>
      <c r="AD73" s="3" t="s">
        <v>53</v>
      </c>
      <c r="AE73" s="3" t="s">
        <v>54</v>
      </c>
      <c r="AF73" s="3" t="s">
        <v>55</v>
      </c>
      <c r="AG73" s="3" t="s">
        <v>173</v>
      </c>
    </row>
    <row r="74" spans="1:33" x14ac:dyDescent="0.2">
      <c r="A74" s="2" t="s">
        <v>373</v>
      </c>
      <c r="B74" s="2" t="s">
        <v>386</v>
      </c>
      <c r="C74" s="2" t="s">
        <v>387</v>
      </c>
      <c r="D74" s="2" t="s">
        <v>60</v>
      </c>
      <c r="E74" s="2" t="s">
        <v>61</v>
      </c>
      <c r="F74" s="2" t="s">
        <v>219</v>
      </c>
      <c r="G74" s="2" t="s">
        <v>98</v>
      </c>
      <c r="H74" s="2" t="s">
        <v>376</v>
      </c>
      <c r="I74" s="2">
        <v>76</v>
      </c>
      <c r="J74" s="2" t="s">
        <v>41</v>
      </c>
      <c r="K74" s="2" t="s">
        <v>90</v>
      </c>
      <c r="L74" s="2" t="s">
        <v>141</v>
      </c>
      <c r="M74" s="2"/>
      <c r="N74" s="2"/>
      <c r="O74" s="2" t="s">
        <v>67</v>
      </c>
      <c r="P74" s="2" t="s">
        <v>68</v>
      </c>
      <c r="Q74" s="2" t="s">
        <v>69</v>
      </c>
      <c r="R74" s="2" t="s">
        <v>388</v>
      </c>
      <c r="S74" s="2">
        <v>3</v>
      </c>
      <c r="T74" s="2">
        <v>154</v>
      </c>
      <c r="U74" s="2">
        <v>74</v>
      </c>
      <c r="V74" s="2">
        <v>86</v>
      </c>
      <c r="W74" s="2">
        <v>14</v>
      </c>
      <c r="X74" s="2">
        <v>36.200000000000003</v>
      </c>
      <c r="Y74" s="2">
        <v>20.399999999999999</v>
      </c>
      <c r="Z74" s="2">
        <v>99</v>
      </c>
      <c r="AA74" s="2" t="s">
        <v>50</v>
      </c>
      <c r="AB74" s="2" t="s">
        <v>51</v>
      </c>
      <c r="AC74" s="2" t="s">
        <v>52</v>
      </c>
      <c r="AD74" s="2" t="s">
        <v>53</v>
      </c>
      <c r="AE74" s="2" t="s">
        <v>54</v>
      </c>
      <c r="AF74" s="2" t="s">
        <v>55</v>
      </c>
      <c r="AG74" s="2" t="s">
        <v>177</v>
      </c>
    </row>
    <row r="75" spans="1:33" x14ac:dyDescent="0.2">
      <c r="A75" s="3" t="s">
        <v>389</v>
      </c>
      <c r="B75" s="3" t="s">
        <v>390</v>
      </c>
      <c r="C75" s="3" t="s">
        <v>391</v>
      </c>
      <c r="D75" s="3" t="s">
        <v>103</v>
      </c>
      <c r="E75" s="3" t="s">
        <v>167</v>
      </c>
      <c r="F75" s="3" t="s">
        <v>62</v>
      </c>
      <c r="G75" s="3" t="s">
        <v>39</v>
      </c>
      <c r="H75" s="3" t="s">
        <v>392</v>
      </c>
      <c r="I75" s="3">
        <v>64</v>
      </c>
      <c r="J75" s="3" t="s">
        <v>41</v>
      </c>
      <c r="K75" s="3" t="s">
        <v>140</v>
      </c>
      <c r="L75" s="3" t="s">
        <v>79</v>
      </c>
      <c r="M75" s="3" t="s">
        <v>44</v>
      </c>
      <c r="N75" s="3" t="s">
        <v>81</v>
      </c>
      <c r="O75" s="3" t="s">
        <v>150</v>
      </c>
      <c r="P75" s="3" t="s">
        <v>151</v>
      </c>
      <c r="Q75" s="3" t="s">
        <v>69</v>
      </c>
      <c r="R75" s="3" t="s">
        <v>393</v>
      </c>
      <c r="S75" s="3">
        <v>1</v>
      </c>
      <c r="T75" s="3">
        <v>145</v>
      </c>
      <c r="U75" s="3">
        <v>78</v>
      </c>
      <c r="V75" s="3">
        <v>69</v>
      </c>
      <c r="W75" s="3">
        <v>26</v>
      </c>
      <c r="X75" s="3">
        <v>39.1</v>
      </c>
      <c r="Y75" s="3">
        <v>34.700000000000003</v>
      </c>
      <c r="Z75" s="3">
        <v>89</v>
      </c>
      <c r="AA75" s="3" t="s">
        <v>50</v>
      </c>
      <c r="AB75" s="3" t="s">
        <v>51</v>
      </c>
      <c r="AC75" s="3" t="s">
        <v>52</v>
      </c>
      <c r="AD75" s="3" t="s">
        <v>53</v>
      </c>
      <c r="AE75" s="3" t="s">
        <v>54</v>
      </c>
      <c r="AF75" s="3" t="s">
        <v>55</v>
      </c>
      <c r="AG75" s="3" t="s">
        <v>394</v>
      </c>
    </row>
    <row r="76" spans="1:33" x14ac:dyDescent="0.2">
      <c r="A76" s="2" t="s">
        <v>389</v>
      </c>
      <c r="B76" s="2" t="s">
        <v>395</v>
      </c>
      <c r="C76" s="4" t="s">
        <v>396</v>
      </c>
      <c r="D76" s="2" t="s">
        <v>103</v>
      </c>
      <c r="E76" s="2" t="s">
        <v>61</v>
      </c>
      <c r="F76" s="2" t="s">
        <v>109</v>
      </c>
      <c r="G76" s="2" t="s">
        <v>98</v>
      </c>
      <c r="H76" s="2" t="s">
        <v>392</v>
      </c>
      <c r="I76" s="4"/>
      <c r="J76" s="2" t="s">
        <v>41</v>
      </c>
      <c r="K76" s="2" t="s">
        <v>140</v>
      </c>
      <c r="L76" s="2" t="s">
        <v>79</v>
      </c>
      <c r="M76" s="2" t="s">
        <v>44</v>
      </c>
      <c r="N76" s="2" t="s">
        <v>81</v>
      </c>
      <c r="O76" s="2" t="s">
        <v>150</v>
      </c>
      <c r="P76" s="2" t="s">
        <v>151</v>
      </c>
      <c r="Q76" s="2" t="s">
        <v>69</v>
      </c>
      <c r="R76" s="2" t="s">
        <v>397</v>
      </c>
      <c r="S76" s="2">
        <v>3</v>
      </c>
      <c r="T76" s="4"/>
      <c r="U76" s="4"/>
      <c r="V76" s="2">
        <v>105</v>
      </c>
      <c r="W76" s="2">
        <v>23</v>
      </c>
      <c r="X76" s="2">
        <v>37.700000000000003</v>
      </c>
      <c r="Y76" s="4">
        <v>-9</v>
      </c>
      <c r="Z76" s="2">
        <v>93</v>
      </c>
      <c r="AA76" s="2" t="s">
        <v>50</v>
      </c>
      <c r="AB76" s="2" t="s">
        <v>51</v>
      </c>
      <c r="AC76" s="2" t="s">
        <v>52</v>
      </c>
      <c r="AD76" s="2" t="s">
        <v>53</v>
      </c>
      <c r="AE76" s="2" t="s">
        <v>54</v>
      </c>
      <c r="AF76" s="2" t="s">
        <v>398</v>
      </c>
      <c r="AG76" s="2" t="s">
        <v>399</v>
      </c>
    </row>
    <row r="77" spans="1:33" x14ac:dyDescent="0.2">
      <c r="A77" s="3" t="s">
        <v>389</v>
      </c>
      <c r="B77" s="3" t="s">
        <v>400</v>
      </c>
      <c r="C77" s="3" t="s">
        <v>401</v>
      </c>
      <c r="D77" s="3" t="s">
        <v>88</v>
      </c>
      <c r="E77" s="3" t="s">
        <v>61</v>
      </c>
      <c r="F77" s="3" t="s">
        <v>219</v>
      </c>
      <c r="G77" s="3" t="s">
        <v>123</v>
      </c>
      <c r="H77" s="3" t="s">
        <v>392</v>
      </c>
      <c r="I77" s="3">
        <v>64</v>
      </c>
      <c r="J77" s="3" t="s">
        <v>41</v>
      </c>
      <c r="K77" s="3" t="s">
        <v>78</v>
      </c>
      <c r="L77" s="3" t="s">
        <v>79</v>
      </c>
      <c r="M77" s="3" t="s">
        <v>44</v>
      </c>
      <c r="N77" s="3" t="s">
        <v>81</v>
      </c>
      <c r="O77" s="3" t="s">
        <v>150</v>
      </c>
      <c r="P77" s="3" t="s">
        <v>151</v>
      </c>
      <c r="Q77" s="3" t="s">
        <v>69</v>
      </c>
      <c r="R77" s="3" t="s">
        <v>402</v>
      </c>
      <c r="S77" s="3">
        <v>2</v>
      </c>
      <c r="T77" s="3"/>
      <c r="U77" s="3">
        <v>99</v>
      </c>
      <c r="V77" s="3">
        <v>89</v>
      </c>
      <c r="W77" s="3">
        <v>23</v>
      </c>
      <c r="X77" s="3">
        <v>38.799999999999997</v>
      </c>
      <c r="Y77" s="3">
        <v>35.1</v>
      </c>
      <c r="Z77" s="3">
        <v>95</v>
      </c>
      <c r="AA77" s="3" t="s">
        <v>50</v>
      </c>
      <c r="AB77" s="3" t="s">
        <v>51</v>
      </c>
      <c r="AC77" s="3" t="s">
        <v>52</v>
      </c>
      <c r="AD77" s="3" t="s">
        <v>53</v>
      </c>
      <c r="AE77" s="3" t="s">
        <v>54</v>
      </c>
      <c r="AF77" s="3" t="s">
        <v>55</v>
      </c>
      <c r="AG77" s="3" t="s">
        <v>403</v>
      </c>
    </row>
    <row r="78" spans="1:33" x14ac:dyDescent="0.2">
      <c r="A78" s="2" t="s">
        <v>389</v>
      </c>
      <c r="B78" s="2" t="s">
        <v>404</v>
      </c>
      <c r="C78" s="4" t="s">
        <v>405</v>
      </c>
      <c r="D78" s="2" t="s">
        <v>88</v>
      </c>
      <c r="E78" s="2" t="s">
        <v>96</v>
      </c>
      <c r="F78" s="2" t="s">
        <v>38</v>
      </c>
      <c r="G78" s="2" t="s">
        <v>138</v>
      </c>
      <c r="H78" s="2" t="s">
        <v>392</v>
      </c>
      <c r="I78" s="4"/>
      <c r="J78" s="2" t="s">
        <v>41</v>
      </c>
      <c r="K78" s="2" t="s">
        <v>66</v>
      </c>
      <c r="L78" s="2" t="s">
        <v>79</v>
      </c>
      <c r="M78" s="2" t="s">
        <v>44</v>
      </c>
      <c r="N78" s="2" t="s">
        <v>81</v>
      </c>
      <c r="O78" s="2" t="s">
        <v>150</v>
      </c>
      <c r="P78" s="2" t="s">
        <v>151</v>
      </c>
      <c r="Q78" s="2" t="s">
        <v>69</v>
      </c>
      <c r="R78" s="2" t="s">
        <v>406</v>
      </c>
      <c r="S78" s="2">
        <v>4</v>
      </c>
      <c r="T78" s="4">
        <v>135</v>
      </c>
      <c r="U78" s="4">
        <v>87</v>
      </c>
      <c r="V78" s="2">
        <v>73</v>
      </c>
      <c r="W78" s="2">
        <v>25</v>
      </c>
      <c r="X78" s="2">
        <v>37.5</v>
      </c>
      <c r="Y78" s="4">
        <v>41.3</v>
      </c>
      <c r="Z78" s="2">
        <v>92</v>
      </c>
      <c r="AA78" s="2" t="s">
        <v>50</v>
      </c>
      <c r="AB78" s="2" t="s">
        <v>51</v>
      </c>
      <c r="AC78" s="2" t="s">
        <v>52</v>
      </c>
      <c r="AD78" s="2" t="s">
        <v>53</v>
      </c>
      <c r="AE78" s="2" t="s">
        <v>54</v>
      </c>
      <c r="AF78" s="2" t="s">
        <v>407</v>
      </c>
      <c r="AG78" s="2" t="s">
        <v>408</v>
      </c>
    </row>
    <row r="79" spans="1:33" x14ac:dyDescent="0.2">
      <c r="A79" s="3" t="s">
        <v>409</v>
      </c>
      <c r="B79" s="3" t="s">
        <v>410</v>
      </c>
      <c r="C79" s="3" t="s">
        <v>411</v>
      </c>
      <c r="D79" s="3" t="s">
        <v>36</v>
      </c>
      <c r="E79" s="3" t="s">
        <v>61</v>
      </c>
      <c r="F79" s="3" t="s">
        <v>75</v>
      </c>
      <c r="G79" s="3" t="s">
        <v>76</v>
      </c>
      <c r="H79" s="3" t="s">
        <v>412</v>
      </c>
      <c r="I79" s="3">
        <v>84</v>
      </c>
      <c r="J79" s="3" t="s">
        <v>41</v>
      </c>
      <c r="K79" s="3" t="s">
        <v>110</v>
      </c>
      <c r="L79" s="3" t="s">
        <v>79</v>
      </c>
      <c r="M79" s="3"/>
      <c r="N79" s="3" t="s">
        <v>182</v>
      </c>
      <c r="O79" s="3" t="s">
        <v>195</v>
      </c>
      <c r="P79" s="3" t="s">
        <v>196</v>
      </c>
      <c r="Q79" s="3" t="s">
        <v>69</v>
      </c>
      <c r="R79" s="3" t="s">
        <v>413</v>
      </c>
      <c r="S79" s="3">
        <v>2</v>
      </c>
      <c r="T79" s="3">
        <v>180</v>
      </c>
      <c r="U79" s="3">
        <v>68</v>
      </c>
      <c r="V79" s="3">
        <v>84</v>
      </c>
      <c r="W79" s="3">
        <v>18</v>
      </c>
      <c r="X79" s="3">
        <v>36.1</v>
      </c>
      <c r="Y79" s="3">
        <v>19</v>
      </c>
      <c r="Z79" s="3">
        <v>94</v>
      </c>
      <c r="AA79" s="3" t="s">
        <v>50</v>
      </c>
      <c r="AB79" s="3" t="s">
        <v>51</v>
      </c>
      <c r="AC79" s="3" t="s">
        <v>52</v>
      </c>
      <c r="AD79" s="3" t="s">
        <v>53</v>
      </c>
      <c r="AE79" s="3" t="s">
        <v>54</v>
      </c>
      <c r="AF79" s="3" t="s">
        <v>55</v>
      </c>
      <c r="AG79" s="3" t="s">
        <v>129</v>
      </c>
    </row>
    <row r="80" spans="1:33" x14ac:dyDescent="0.2">
      <c r="A80" s="2" t="s">
        <v>409</v>
      </c>
      <c r="B80" s="2" t="s">
        <v>414</v>
      </c>
      <c r="C80" s="2" t="s">
        <v>415</v>
      </c>
      <c r="D80" s="2" t="s">
        <v>36</v>
      </c>
      <c r="E80" s="2" t="s">
        <v>61</v>
      </c>
      <c r="F80" s="2" t="s">
        <v>38</v>
      </c>
      <c r="G80" s="2" t="s">
        <v>39</v>
      </c>
      <c r="H80" s="2" t="s">
        <v>412</v>
      </c>
      <c r="I80" s="2">
        <v>84</v>
      </c>
      <c r="J80" s="2" t="s">
        <v>41</v>
      </c>
      <c r="K80" s="2" t="s">
        <v>110</v>
      </c>
      <c r="L80" s="2" t="s">
        <v>79</v>
      </c>
      <c r="M80" s="2"/>
      <c r="N80" s="2" t="s">
        <v>182</v>
      </c>
      <c r="O80" s="2" t="s">
        <v>195</v>
      </c>
      <c r="P80" s="2" t="s">
        <v>196</v>
      </c>
      <c r="Q80" s="2" t="s">
        <v>69</v>
      </c>
      <c r="R80" s="2" t="s">
        <v>416</v>
      </c>
      <c r="S80" s="2">
        <v>4</v>
      </c>
      <c r="T80" s="2">
        <v>153</v>
      </c>
      <c r="U80" s="2">
        <v>102</v>
      </c>
      <c r="V80" s="2">
        <v>60</v>
      </c>
      <c r="W80" s="2">
        <v>17</v>
      </c>
      <c r="X80" s="2">
        <v>38.700000000000003</v>
      </c>
      <c r="Y80" s="2">
        <v>37.299999999999997</v>
      </c>
      <c r="Z80" s="2">
        <v>89</v>
      </c>
      <c r="AA80" s="2" t="s">
        <v>50</v>
      </c>
      <c r="AB80" s="2" t="s">
        <v>51</v>
      </c>
      <c r="AC80" s="2" t="s">
        <v>52</v>
      </c>
      <c r="AD80" s="2" t="s">
        <v>53</v>
      </c>
      <c r="AE80" s="2" t="s">
        <v>54</v>
      </c>
      <c r="AF80" s="2" t="s">
        <v>55</v>
      </c>
      <c r="AG80" s="2" t="s">
        <v>134</v>
      </c>
    </row>
    <row r="81" spans="1:33" x14ac:dyDescent="0.2">
      <c r="A81" s="3" t="s">
        <v>417</v>
      </c>
      <c r="B81" s="3" t="s">
        <v>418</v>
      </c>
      <c r="C81" s="4" t="s">
        <v>419</v>
      </c>
      <c r="D81" s="3" t="s">
        <v>103</v>
      </c>
      <c r="E81" s="3" t="s">
        <v>37</v>
      </c>
      <c r="F81" s="3" t="s">
        <v>148</v>
      </c>
      <c r="G81" s="3" t="s">
        <v>76</v>
      </c>
      <c r="H81" s="3" t="s">
        <v>420</v>
      </c>
      <c r="I81" s="4">
        <v>48</v>
      </c>
      <c r="J81" s="3" t="s">
        <v>65</v>
      </c>
      <c r="K81" s="3" t="s">
        <v>110</v>
      </c>
      <c r="L81" s="3" t="s">
        <v>141</v>
      </c>
      <c r="M81" s="3"/>
      <c r="N81" s="3" t="s">
        <v>45</v>
      </c>
      <c r="O81" s="3" t="s">
        <v>315</v>
      </c>
      <c r="P81" s="3" t="s">
        <v>316</v>
      </c>
      <c r="Q81" s="3" t="s">
        <v>69</v>
      </c>
      <c r="R81" s="3" t="s">
        <v>421</v>
      </c>
      <c r="S81" s="3">
        <v>2</v>
      </c>
      <c r="T81" s="4">
        <v>149</v>
      </c>
      <c r="U81" s="4">
        <v>56</v>
      </c>
      <c r="V81" s="3">
        <v>89</v>
      </c>
      <c r="W81" s="3">
        <v>16</v>
      </c>
      <c r="X81" s="3">
        <v>36.5</v>
      </c>
      <c r="Y81" s="4">
        <v>-9</v>
      </c>
      <c r="Z81" s="3">
        <v>95</v>
      </c>
      <c r="AA81" s="3" t="s">
        <v>50</v>
      </c>
      <c r="AB81" s="3" t="s">
        <v>51</v>
      </c>
      <c r="AC81" s="3" t="s">
        <v>52</v>
      </c>
      <c r="AD81" s="3" t="s">
        <v>53</v>
      </c>
      <c r="AE81" s="3" t="s">
        <v>54</v>
      </c>
      <c r="AF81" s="3" t="s">
        <v>422</v>
      </c>
      <c r="AG81" s="3" t="s">
        <v>129</v>
      </c>
    </row>
    <row r="82" spans="1:33" x14ac:dyDescent="0.2">
      <c r="A82" s="2" t="s">
        <v>417</v>
      </c>
      <c r="B82" s="2" t="s">
        <v>423</v>
      </c>
      <c r="C82" s="2" t="s">
        <v>424</v>
      </c>
      <c r="D82" s="2" t="s">
        <v>36</v>
      </c>
      <c r="E82" s="2" t="s">
        <v>61</v>
      </c>
      <c r="F82" s="2" t="s">
        <v>75</v>
      </c>
      <c r="G82" s="2" t="s">
        <v>76</v>
      </c>
      <c r="H82" s="2" t="s">
        <v>420</v>
      </c>
      <c r="I82" s="2">
        <v>48</v>
      </c>
      <c r="J82" s="2" t="s">
        <v>65</v>
      </c>
      <c r="K82" s="2" t="s">
        <v>90</v>
      </c>
      <c r="L82" s="2" t="s">
        <v>141</v>
      </c>
      <c r="M82" s="2"/>
      <c r="N82" s="2" t="s">
        <v>45</v>
      </c>
      <c r="O82" s="2" t="s">
        <v>315</v>
      </c>
      <c r="P82" s="2" t="s">
        <v>316</v>
      </c>
      <c r="Q82" s="2" t="s">
        <v>69</v>
      </c>
      <c r="R82" s="2" t="s">
        <v>393</v>
      </c>
      <c r="S82" s="2">
        <v>1</v>
      </c>
      <c r="T82" s="2"/>
      <c r="U82" s="2">
        <v>78</v>
      </c>
      <c r="V82" s="2">
        <v>78</v>
      </c>
      <c r="W82" s="2">
        <v>24</v>
      </c>
      <c r="X82" s="2">
        <v>37.1</v>
      </c>
      <c r="Y82" s="2">
        <v>19.399999999999999</v>
      </c>
      <c r="Z82" s="2">
        <v>90</v>
      </c>
      <c r="AA82" s="2" t="s">
        <v>50</v>
      </c>
      <c r="AB82" s="2" t="s">
        <v>51</v>
      </c>
      <c r="AC82" s="2" t="s">
        <v>52</v>
      </c>
      <c r="AD82" s="2" t="s">
        <v>53</v>
      </c>
      <c r="AE82" s="2" t="s">
        <v>54</v>
      </c>
      <c r="AF82" s="2" t="s">
        <v>55</v>
      </c>
      <c r="AG82" s="2" t="s">
        <v>134</v>
      </c>
    </row>
    <row r="83" spans="1:33" x14ac:dyDescent="0.2">
      <c r="A83" s="3" t="s">
        <v>425</v>
      </c>
      <c r="B83" s="3" t="s">
        <v>426</v>
      </c>
      <c r="C83" s="3" t="s">
        <v>427</v>
      </c>
      <c r="D83" s="3" t="s">
        <v>36</v>
      </c>
      <c r="E83" s="3" t="s">
        <v>37</v>
      </c>
      <c r="F83" s="3" t="s">
        <v>109</v>
      </c>
      <c r="G83" s="3" t="s">
        <v>39</v>
      </c>
      <c r="H83" s="3" t="s">
        <v>428</v>
      </c>
      <c r="I83" s="3">
        <v>41</v>
      </c>
      <c r="J83" s="3" t="s">
        <v>65</v>
      </c>
      <c r="K83" s="3" t="s">
        <v>78</v>
      </c>
      <c r="L83" s="3" t="s">
        <v>79</v>
      </c>
      <c r="M83" s="3" t="s">
        <v>80</v>
      </c>
      <c r="N83" s="3" t="s">
        <v>45</v>
      </c>
      <c r="O83" s="3" t="s">
        <v>82</v>
      </c>
      <c r="P83" s="3" t="s">
        <v>83</v>
      </c>
      <c r="Q83" s="3" t="s">
        <v>69</v>
      </c>
      <c r="R83" s="3" t="s">
        <v>429</v>
      </c>
      <c r="S83" s="3">
        <v>3</v>
      </c>
      <c r="T83" s="3">
        <v>123</v>
      </c>
      <c r="U83" s="3">
        <v>74</v>
      </c>
      <c r="V83" s="3">
        <v>80</v>
      </c>
      <c r="W83" s="3">
        <v>25</v>
      </c>
      <c r="X83" s="3">
        <v>37.5</v>
      </c>
      <c r="Y83" s="3">
        <v>18.5</v>
      </c>
      <c r="Z83" s="3">
        <v>95</v>
      </c>
      <c r="AA83" s="3" t="s">
        <v>50</v>
      </c>
      <c r="AB83" s="3" t="s">
        <v>51</v>
      </c>
      <c r="AC83" s="3" t="s">
        <v>52</v>
      </c>
      <c r="AD83" s="3" t="s">
        <v>53</v>
      </c>
      <c r="AE83" s="3" t="s">
        <v>54</v>
      </c>
      <c r="AF83" s="3" t="s">
        <v>55</v>
      </c>
      <c r="AG83" s="3" t="s">
        <v>71</v>
      </c>
    </row>
    <row r="84" spans="1:33" x14ac:dyDescent="0.2">
      <c r="A84" s="2" t="s">
        <v>430</v>
      </c>
      <c r="B84" s="2" t="s">
        <v>431</v>
      </c>
      <c r="C84" s="2" t="s">
        <v>432</v>
      </c>
      <c r="D84" s="2" t="s">
        <v>103</v>
      </c>
      <c r="E84" s="2" t="s">
        <v>96</v>
      </c>
      <c r="F84" s="2" t="s">
        <v>109</v>
      </c>
      <c r="G84" s="2" t="s">
        <v>98</v>
      </c>
      <c r="H84" s="2" t="s">
        <v>433</v>
      </c>
      <c r="I84" s="2">
        <v>67</v>
      </c>
      <c r="J84" s="2" t="s">
        <v>65</v>
      </c>
      <c r="K84" s="2" t="s">
        <v>110</v>
      </c>
      <c r="L84" s="2" t="s">
        <v>141</v>
      </c>
      <c r="M84" s="2" t="s">
        <v>125</v>
      </c>
      <c r="N84" s="2" t="s">
        <v>81</v>
      </c>
      <c r="O84" s="2" t="s">
        <v>157</v>
      </c>
      <c r="P84" s="2" t="s">
        <v>158</v>
      </c>
      <c r="Q84" s="2" t="s">
        <v>69</v>
      </c>
      <c r="R84" s="2" t="s">
        <v>434</v>
      </c>
      <c r="S84" s="2">
        <v>3</v>
      </c>
      <c r="T84" s="2">
        <v>133</v>
      </c>
      <c r="U84" s="2">
        <v>81</v>
      </c>
      <c r="V84" s="2">
        <v>125</v>
      </c>
      <c r="W84" s="2">
        <v>15</v>
      </c>
      <c r="X84" s="2">
        <v>36.9</v>
      </c>
      <c r="Y84" s="2">
        <v>20.399999999999999</v>
      </c>
      <c r="Z84" s="2">
        <v>91</v>
      </c>
      <c r="AA84" s="2" t="s">
        <v>50</v>
      </c>
      <c r="AB84" s="2" t="s">
        <v>51</v>
      </c>
      <c r="AC84" s="2" t="s">
        <v>52</v>
      </c>
      <c r="AD84" s="2" t="s">
        <v>53</v>
      </c>
      <c r="AE84" s="2" t="s">
        <v>54</v>
      </c>
      <c r="AF84" s="2" t="s">
        <v>55</v>
      </c>
      <c r="AG84" s="2" t="s">
        <v>85</v>
      </c>
    </row>
    <row r="85" spans="1:33" x14ac:dyDescent="0.2">
      <c r="A85" s="3" t="s">
        <v>430</v>
      </c>
      <c r="B85" s="3" t="s">
        <v>435</v>
      </c>
      <c r="C85" s="3" t="s">
        <v>432</v>
      </c>
      <c r="D85" s="3" t="s">
        <v>103</v>
      </c>
      <c r="E85" s="3" t="s">
        <v>89</v>
      </c>
      <c r="F85" s="3" t="s">
        <v>219</v>
      </c>
      <c r="G85" s="3" t="s">
        <v>123</v>
      </c>
      <c r="H85" s="3" t="s">
        <v>433</v>
      </c>
      <c r="I85" s="3">
        <v>67</v>
      </c>
      <c r="J85" s="3" t="s">
        <v>65</v>
      </c>
      <c r="K85" s="3" t="s">
        <v>140</v>
      </c>
      <c r="L85" s="3" t="s">
        <v>141</v>
      </c>
      <c r="M85" s="3" t="s">
        <v>125</v>
      </c>
      <c r="N85" s="3" t="s">
        <v>81</v>
      </c>
      <c r="O85" s="3" t="s">
        <v>157</v>
      </c>
      <c r="P85" s="3" t="s">
        <v>158</v>
      </c>
      <c r="Q85" s="3" t="s">
        <v>69</v>
      </c>
      <c r="R85" s="3" t="s">
        <v>436</v>
      </c>
      <c r="S85" s="3">
        <v>4</v>
      </c>
      <c r="T85" s="3">
        <v>173</v>
      </c>
      <c r="U85" s="3">
        <v>76</v>
      </c>
      <c r="V85" s="3">
        <v>125</v>
      </c>
      <c r="W85" s="3">
        <v>16</v>
      </c>
      <c r="X85" s="3">
        <v>39.1</v>
      </c>
      <c r="Y85" s="3">
        <v>44.5</v>
      </c>
      <c r="Z85" s="3">
        <v>88</v>
      </c>
      <c r="AA85" s="3" t="s">
        <v>50</v>
      </c>
      <c r="AB85" s="3" t="s">
        <v>51</v>
      </c>
      <c r="AC85" s="3" t="s">
        <v>52</v>
      </c>
      <c r="AD85" s="3" t="s">
        <v>53</v>
      </c>
      <c r="AE85" s="3" t="s">
        <v>54</v>
      </c>
      <c r="AF85" s="3" t="s">
        <v>55</v>
      </c>
      <c r="AG85" s="3" t="s">
        <v>92</v>
      </c>
    </row>
    <row r="86" spans="1:33" x14ac:dyDescent="0.2">
      <c r="A86" s="2" t="s">
        <v>430</v>
      </c>
      <c r="B86" s="2" t="s">
        <v>437</v>
      </c>
      <c r="C86" s="2" t="s">
        <v>438</v>
      </c>
      <c r="D86" s="2" t="s">
        <v>88</v>
      </c>
      <c r="E86" s="2" t="s">
        <v>61</v>
      </c>
      <c r="F86" s="2" t="s">
        <v>148</v>
      </c>
      <c r="G86" s="2" t="s">
        <v>76</v>
      </c>
      <c r="H86" s="2" t="s">
        <v>433</v>
      </c>
      <c r="I86" s="2">
        <v>67</v>
      </c>
      <c r="J86" s="2" t="s">
        <v>65</v>
      </c>
      <c r="K86" s="2" t="s">
        <v>78</v>
      </c>
      <c r="L86" s="2" t="s">
        <v>141</v>
      </c>
      <c r="M86" s="2" t="s">
        <v>125</v>
      </c>
      <c r="N86" s="2" t="s">
        <v>81</v>
      </c>
      <c r="O86" s="2" t="s">
        <v>157</v>
      </c>
      <c r="P86" s="2" t="s">
        <v>158</v>
      </c>
      <c r="Q86" s="2" t="s">
        <v>69</v>
      </c>
      <c r="R86" s="2" t="s">
        <v>439</v>
      </c>
      <c r="S86" s="2">
        <v>3</v>
      </c>
      <c r="T86" s="2">
        <v>116</v>
      </c>
      <c r="U86" s="2">
        <v>94</v>
      </c>
      <c r="V86" s="2">
        <v>77</v>
      </c>
      <c r="W86" s="2">
        <v>27</v>
      </c>
      <c r="X86" s="2">
        <v>36.1</v>
      </c>
      <c r="Y86" s="2">
        <v>21.9</v>
      </c>
      <c r="Z86" s="2">
        <v>93</v>
      </c>
      <c r="AA86" s="2" t="s">
        <v>50</v>
      </c>
      <c r="AB86" s="2" t="s">
        <v>51</v>
      </c>
      <c r="AC86" s="2" t="s">
        <v>52</v>
      </c>
      <c r="AD86" s="2" t="s">
        <v>53</v>
      </c>
      <c r="AE86" s="2" t="s">
        <v>54</v>
      </c>
      <c r="AF86" s="2" t="s">
        <v>55</v>
      </c>
      <c r="AG86" s="2" t="s">
        <v>100</v>
      </c>
    </row>
    <row r="87" spans="1:33" x14ac:dyDescent="0.2">
      <c r="A87" s="3" t="s">
        <v>430</v>
      </c>
      <c r="B87" s="3" t="s">
        <v>440</v>
      </c>
      <c r="C87" s="3" t="s">
        <v>441</v>
      </c>
      <c r="D87" s="3" t="s">
        <v>88</v>
      </c>
      <c r="E87" s="3" t="s">
        <v>167</v>
      </c>
      <c r="F87" s="3" t="s">
        <v>219</v>
      </c>
      <c r="G87" s="3" t="s">
        <v>138</v>
      </c>
      <c r="H87" s="3" t="s">
        <v>433</v>
      </c>
      <c r="I87" s="3">
        <v>67</v>
      </c>
      <c r="J87" s="3" t="s">
        <v>65</v>
      </c>
      <c r="K87" s="3" t="s">
        <v>110</v>
      </c>
      <c r="L87" s="3" t="s">
        <v>141</v>
      </c>
      <c r="M87" s="3" t="s">
        <v>125</v>
      </c>
      <c r="N87" s="3" t="s">
        <v>81</v>
      </c>
      <c r="O87" s="3" t="s">
        <v>157</v>
      </c>
      <c r="P87" s="3" t="s">
        <v>158</v>
      </c>
      <c r="Q87" s="3" t="s">
        <v>69</v>
      </c>
      <c r="R87" s="3" t="s">
        <v>442</v>
      </c>
      <c r="S87" s="3">
        <v>3</v>
      </c>
      <c r="T87" s="3">
        <v>153</v>
      </c>
      <c r="U87" s="3">
        <v>70</v>
      </c>
      <c r="V87" s="3">
        <v>59</v>
      </c>
      <c r="W87" s="3">
        <v>24</v>
      </c>
      <c r="X87" s="3">
        <v>37.6</v>
      </c>
      <c r="Y87" s="3">
        <v>28.5</v>
      </c>
      <c r="Z87" s="3">
        <v>94</v>
      </c>
      <c r="AA87" s="3" t="s">
        <v>50</v>
      </c>
      <c r="AB87" s="3" t="s">
        <v>51</v>
      </c>
      <c r="AC87" s="3" t="s">
        <v>52</v>
      </c>
      <c r="AD87" s="3" t="s">
        <v>53</v>
      </c>
      <c r="AE87" s="3" t="s">
        <v>54</v>
      </c>
      <c r="AF87" s="3" t="s">
        <v>55</v>
      </c>
      <c r="AG87" s="3" t="s">
        <v>106</v>
      </c>
    </row>
    <row r="88" spans="1:33" x14ac:dyDescent="0.2">
      <c r="A88" s="2" t="s">
        <v>430</v>
      </c>
      <c r="B88" s="2" t="s">
        <v>443</v>
      </c>
      <c r="C88" s="2" t="s">
        <v>444</v>
      </c>
      <c r="D88" s="2" t="s">
        <v>88</v>
      </c>
      <c r="E88" s="2" t="s">
        <v>167</v>
      </c>
      <c r="F88" s="2" t="s">
        <v>62</v>
      </c>
      <c r="G88" s="2" t="s">
        <v>115</v>
      </c>
      <c r="H88" s="2" t="s">
        <v>433</v>
      </c>
      <c r="I88" s="2">
        <v>67</v>
      </c>
      <c r="J88" s="2" t="s">
        <v>65</v>
      </c>
      <c r="K88" s="2" t="s">
        <v>116</v>
      </c>
      <c r="L88" s="2" t="s">
        <v>141</v>
      </c>
      <c r="M88" s="2" t="s">
        <v>125</v>
      </c>
      <c r="N88" s="2" t="s">
        <v>81</v>
      </c>
      <c r="O88" s="2" t="s">
        <v>157</v>
      </c>
      <c r="P88" s="2" t="s">
        <v>158</v>
      </c>
      <c r="Q88" s="2" t="s">
        <v>69</v>
      </c>
      <c r="R88" s="2" t="s">
        <v>445</v>
      </c>
      <c r="S88" s="2">
        <v>3</v>
      </c>
      <c r="T88" s="2">
        <v>172</v>
      </c>
      <c r="U88" s="2">
        <v>82</v>
      </c>
      <c r="V88" s="2">
        <v>117</v>
      </c>
      <c r="W88" s="2">
        <v>19</v>
      </c>
      <c r="X88" s="2">
        <v>36.299999999999997</v>
      </c>
      <c r="Y88" s="2">
        <v>36.9</v>
      </c>
      <c r="Z88" s="2">
        <v>98</v>
      </c>
      <c r="AA88" s="2" t="s">
        <v>50</v>
      </c>
      <c r="AB88" s="2" t="s">
        <v>51</v>
      </c>
      <c r="AC88" s="2" t="s">
        <v>52</v>
      </c>
      <c r="AD88" s="2" t="s">
        <v>53</v>
      </c>
      <c r="AE88" s="2" t="s">
        <v>54</v>
      </c>
      <c r="AF88" s="2" t="s">
        <v>55</v>
      </c>
      <c r="AG88" s="2" t="s">
        <v>112</v>
      </c>
    </row>
    <row r="89" spans="1:33" x14ac:dyDescent="0.2">
      <c r="A89" s="3" t="s">
        <v>430</v>
      </c>
      <c r="B89" s="3" t="s">
        <v>446</v>
      </c>
      <c r="C89" s="3" t="s">
        <v>447</v>
      </c>
      <c r="D89" s="3" t="s">
        <v>95</v>
      </c>
      <c r="E89" s="3" t="s">
        <v>89</v>
      </c>
      <c r="F89" s="3" t="s">
        <v>38</v>
      </c>
      <c r="G89" s="3" t="s">
        <v>63</v>
      </c>
      <c r="H89" s="3" t="s">
        <v>433</v>
      </c>
      <c r="I89" s="3">
        <v>67</v>
      </c>
      <c r="J89" s="3" t="s">
        <v>65</v>
      </c>
      <c r="K89" s="3" t="s">
        <v>110</v>
      </c>
      <c r="L89" s="3" t="s">
        <v>141</v>
      </c>
      <c r="M89" s="3" t="s">
        <v>125</v>
      </c>
      <c r="N89" s="3" t="s">
        <v>81</v>
      </c>
      <c r="O89" s="3" t="s">
        <v>157</v>
      </c>
      <c r="P89" s="3" t="s">
        <v>158</v>
      </c>
      <c r="Q89" s="3" t="s">
        <v>69</v>
      </c>
      <c r="R89" s="3" t="s">
        <v>448</v>
      </c>
      <c r="S89" s="3">
        <v>4</v>
      </c>
      <c r="T89" s="3">
        <v>178</v>
      </c>
      <c r="U89" s="3">
        <v>93</v>
      </c>
      <c r="V89" s="3">
        <v>110</v>
      </c>
      <c r="W89" s="3">
        <v>20</v>
      </c>
      <c r="X89" s="3">
        <v>36.4</v>
      </c>
      <c r="Y89" s="3">
        <v>23.2</v>
      </c>
      <c r="Z89" s="3">
        <v>89</v>
      </c>
      <c r="AA89" s="3" t="s">
        <v>50</v>
      </c>
      <c r="AB89" s="3" t="s">
        <v>51</v>
      </c>
      <c r="AC89" s="3" t="s">
        <v>52</v>
      </c>
      <c r="AD89" s="3" t="s">
        <v>53</v>
      </c>
      <c r="AE89" s="3" t="s">
        <v>54</v>
      </c>
      <c r="AF89" s="3" t="s">
        <v>55</v>
      </c>
      <c r="AG89" s="3" t="s">
        <v>118</v>
      </c>
    </row>
    <row r="90" spans="1:33" x14ac:dyDescent="0.2">
      <c r="A90" s="2" t="s">
        <v>449</v>
      </c>
      <c r="B90" s="2" t="s">
        <v>450</v>
      </c>
      <c r="C90" s="2" t="s">
        <v>451</v>
      </c>
      <c r="D90" s="2" t="s">
        <v>88</v>
      </c>
      <c r="E90" s="2" t="s">
        <v>37</v>
      </c>
      <c r="F90" s="2" t="s">
        <v>122</v>
      </c>
      <c r="G90" s="2" t="s">
        <v>115</v>
      </c>
      <c r="H90" s="2" t="s">
        <v>452</v>
      </c>
      <c r="I90" s="2">
        <v>68</v>
      </c>
      <c r="J90" s="2" t="s">
        <v>65</v>
      </c>
      <c r="K90" s="2" t="s">
        <v>42</v>
      </c>
      <c r="L90" s="2" t="s">
        <v>141</v>
      </c>
      <c r="M90" s="2"/>
      <c r="N90" s="2" t="s">
        <v>45</v>
      </c>
      <c r="O90" s="2" t="s">
        <v>157</v>
      </c>
      <c r="P90" s="2" t="s">
        <v>158</v>
      </c>
      <c r="Q90" s="2" t="s">
        <v>69</v>
      </c>
      <c r="R90" s="2" t="s">
        <v>453</v>
      </c>
      <c r="S90" s="2">
        <v>2</v>
      </c>
      <c r="T90" s="2"/>
      <c r="U90" s="2"/>
      <c r="V90" s="2">
        <v>101</v>
      </c>
      <c r="W90" s="2">
        <v>18</v>
      </c>
      <c r="X90" s="2">
        <v>38.799999999999997</v>
      </c>
      <c r="Y90" s="2">
        <v>39.700000000000003</v>
      </c>
      <c r="Z90" s="2">
        <v>95</v>
      </c>
      <c r="AA90" s="2" t="s">
        <v>50</v>
      </c>
      <c r="AB90" s="2" t="s">
        <v>51</v>
      </c>
      <c r="AC90" s="2" t="s">
        <v>52</v>
      </c>
      <c r="AD90" s="2" t="s">
        <v>53</v>
      </c>
      <c r="AE90" s="2" t="s">
        <v>54</v>
      </c>
      <c r="AF90" s="2" t="s">
        <v>55</v>
      </c>
      <c r="AG90" s="2" t="s">
        <v>160</v>
      </c>
    </row>
    <row r="91" spans="1:33" x14ac:dyDescent="0.2">
      <c r="A91" s="3" t="s">
        <v>449</v>
      </c>
      <c r="B91" s="3" t="s">
        <v>454</v>
      </c>
      <c r="C91" s="4" t="s">
        <v>313</v>
      </c>
      <c r="D91" s="3" t="s">
        <v>103</v>
      </c>
      <c r="E91" s="3" t="s">
        <v>61</v>
      </c>
      <c r="F91" s="3" t="s">
        <v>97</v>
      </c>
      <c r="G91" s="3" t="s">
        <v>76</v>
      </c>
      <c r="H91" s="3" t="s">
        <v>452</v>
      </c>
      <c r="I91" s="4">
        <v>68</v>
      </c>
      <c r="J91" s="3" t="s">
        <v>65</v>
      </c>
      <c r="K91" s="3" t="s">
        <v>66</v>
      </c>
      <c r="L91" s="3" t="s">
        <v>141</v>
      </c>
      <c r="M91" s="3"/>
      <c r="N91" s="3" t="s">
        <v>45</v>
      </c>
      <c r="O91" s="3" t="s">
        <v>157</v>
      </c>
      <c r="P91" s="3" t="s">
        <v>158</v>
      </c>
      <c r="Q91" s="3" t="s">
        <v>69</v>
      </c>
      <c r="R91" s="3" t="s">
        <v>455</v>
      </c>
      <c r="S91" s="3">
        <v>2</v>
      </c>
      <c r="T91" s="4">
        <v>171</v>
      </c>
      <c r="U91" s="4"/>
      <c r="V91" s="3">
        <v>98</v>
      </c>
      <c r="W91" s="3">
        <v>21</v>
      </c>
      <c r="X91" s="3">
        <v>36.4</v>
      </c>
      <c r="Y91" s="4">
        <v>26.1</v>
      </c>
      <c r="Z91" s="3">
        <v>94</v>
      </c>
      <c r="AA91" s="3" t="s">
        <v>50</v>
      </c>
      <c r="AB91" s="3" t="s">
        <v>51</v>
      </c>
      <c r="AC91" s="3" t="s">
        <v>52</v>
      </c>
      <c r="AD91" s="3" t="s">
        <v>53</v>
      </c>
      <c r="AE91" s="3" t="s">
        <v>54</v>
      </c>
      <c r="AF91" s="3" t="s">
        <v>318</v>
      </c>
      <c r="AG91" s="3" t="s">
        <v>164</v>
      </c>
    </row>
    <row r="92" spans="1:33" x14ac:dyDescent="0.2">
      <c r="A92" s="2" t="s">
        <v>449</v>
      </c>
      <c r="B92" s="2" t="s">
        <v>456</v>
      </c>
      <c r="C92" s="4" t="s">
        <v>313</v>
      </c>
      <c r="D92" s="2" t="s">
        <v>95</v>
      </c>
      <c r="E92" s="2" t="s">
        <v>167</v>
      </c>
      <c r="F92" s="2" t="s">
        <v>219</v>
      </c>
      <c r="G92" s="2" t="s">
        <v>63</v>
      </c>
      <c r="H92" s="2" t="s">
        <v>452</v>
      </c>
      <c r="I92" s="4">
        <v>68</v>
      </c>
      <c r="J92" s="2" t="s">
        <v>65</v>
      </c>
      <c r="K92" s="2" t="s">
        <v>116</v>
      </c>
      <c r="L92" s="2" t="s">
        <v>141</v>
      </c>
      <c r="M92" s="2"/>
      <c r="N92" s="2" t="s">
        <v>45</v>
      </c>
      <c r="O92" s="2" t="s">
        <v>157</v>
      </c>
      <c r="P92" s="2" t="s">
        <v>158</v>
      </c>
      <c r="Q92" s="2" t="s">
        <v>69</v>
      </c>
      <c r="R92" s="2" t="s">
        <v>457</v>
      </c>
      <c r="S92" s="2">
        <v>3</v>
      </c>
      <c r="T92" s="4"/>
      <c r="U92" s="4">
        <v>94</v>
      </c>
      <c r="V92" s="2">
        <v>108</v>
      </c>
      <c r="W92" s="2">
        <v>19</v>
      </c>
      <c r="X92" s="2">
        <v>38</v>
      </c>
      <c r="Y92" s="4">
        <v>31.7</v>
      </c>
      <c r="Z92" s="2">
        <v>95</v>
      </c>
      <c r="AA92" s="2" t="s">
        <v>50</v>
      </c>
      <c r="AB92" s="2" t="s">
        <v>51</v>
      </c>
      <c r="AC92" s="2" t="s">
        <v>52</v>
      </c>
      <c r="AD92" s="2" t="s">
        <v>53</v>
      </c>
      <c r="AE92" s="2" t="s">
        <v>54</v>
      </c>
      <c r="AF92" s="2" t="s">
        <v>318</v>
      </c>
      <c r="AG92" s="2" t="s">
        <v>169</v>
      </c>
    </row>
    <row r="93" spans="1:33" x14ac:dyDescent="0.2">
      <c r="A93" s="3" t="s">
        <v>449</v>
      </c>
      <c r="B93" s="3" t="s">
        <v>458</v>
      </c>
      <c r="C93" s="4" t="s">
        <v>459</v>
      </c>
      <c r="D93" s="3" t="s">
        <v>103</v>
      </c>
      <c r="E93" s="3" t="s">
        <v>96</v>
      </c>
      <c r="F93" s="3" t="s">
        <v>122</v>
      </c>
      <c r="G93" s="3" t="s">
        <v>104</v>
      </c>
      <c r="H93" s="3" t="s">
        <v>452</v>
      </c>
      <c r="I93" s="4"/>
      <c r="J93" s="3" t="s">
        <v>65</v>
      </c>
      <c r="K93" s="3" t="s">
        <v>78</v>
      </c>
      <c r="L93" s="3" t="s">
        <v>141</v>
      </c>
      <c r="M93" s="3"/>
      <c r="N93" s="3" t="s">
        <v>45</v>
      </c>
      <c r="O93" s="3" t="s">
        <v>157</v>
      </c>
      <c r="P93" s="3" t="s">
        <v>158</v>
      </c>
      <c r="Q93" s="3" t="s">
        <v>69</v>
      </c>
      <c r="R93" s="3" t="s">
        <v>460</v>
      </c>
      <c r="S93" s="3">
        <v>1</v>
      </c>
      <c r="T93" s="4"/>
      <c r="U93" s="4"/>
      <c r="V93" s="3">
        <v>124</v>
      </c>
      <c r="W93" s="3">
        <v>18</v>
      </c>
      <c r="X93" s="3">
        <v>37.299999999999997</v>
      </c>
      <c r="Y93" s="4">
        <v>39.200000000000003</v>
      </c>
      <c r="Z93" s="3">
        <v>94</v>
      </c>
      <c r="AA93" s="3" t="s">
        <v>50</v>
      </c>
      <c r="AB93" s="3" t="s">
        <v>51</v>
      </c>
      <c r="AC93" s="3" t="s">
        <v>52</v>
      </c>
      <c r="AD93" s="3" t="s">
        <v>53</v>
      </c>
      <c r="AE93" s="3" t="s">
        <v>54</v>
      </c>
      <c r="AF93" s="3" t="s">
        <v>407</v>
      </c>
      <c r="AG93" s="3" t="s">
        <v>173</v>
      </c>
    </row>
    <row r="94" spans="1:33" x14ac:dyDescent="0.2">
      <c r="A94" s="2" t="s">
        <v>449</v>
      </c>
      <c r="B94" s="2" t="s">
        <v>461</v>
      </c>
      <c r="C94" s="4" t="s">
        <v>462</v>
      </c>
      <c r="D94" s="2" t="s">
        <v>60</v>
      </c>
      <c r="E94" s="2" t="s">
        <v>96</v>
      </c>
      <c r="F94" s="2" t="s">
        <v>148</v>
      </c>
      <c r="G94" s="2" t="s">
        <v>98</v>
      </c>
      <c r="H94" s="2" t="s">
        <v>452</v>
      </c>
      <c r="I94" s="4"/>
      <c r="J94" s="2" t="s">
        <v>65</v>
      </c>
      <c r="K94" s="2" t="s">
        <v>140</v>
      </c>
      <c r="L94" s="2" t="s">
        <v>141</v>
      </c>
      <c r="M94" s="2"/>
      <c r="N94" s="2" t="s">
        <v>45</v>
      </c>
      <c r="O94" s="2" t="s">
        <v>157</v>
      </c>
      <c r="P94" s="2" t="s">
        <v>158</v>
      </c>
      <c r="Q94" s="2" t="s">
        <v>69</v>
      </c>
      <c r="R94" s="2" t="s">
        <v>463</v>
      </c>
      <c r="S94" s="2">
        <v>4</v>
      </c>
      <c r="T94" s="4"/>
      <c r="U94" s="4"/>
      <c r="V94" s="2">
        <v>111</v>
      </c>
      <c r="W94" s="2">
        <v>27</v>
      </c>
      <c r="X94" s="2">
        <v>38.299999999999997</v>
      </c>
      <c r="Y94" s="4">
        <v>22.9</v>
      </c>
      <c r="Z94" s="2">
        <v>89</v>
      </c>
      <c r="AA94" s="2" t="s">
        <v>50</v>
      </c>
      <c r="AB94" s="2" t="s">
        <v>51</v>
      </c>
      <c r="AC94" s="2" t="s">
        <v>52</v>
      </c>
      <c r="AD94" s="2" t="s">
        <v>53</v>
      </c>
      <c r="AE94" s="2" t="s">
        <v>54</v>
      </c>
      <c r="AF94" s="2" t="s">
        <v>407</v>
      </c>
      <c r="AG94" s="2" t="s">
        <v>177</v>
      </c>
    </row>
    <row r="95" spans="1:33" x14ac:dyDescent="0.2">
      <c r="A95" s="3" t="s">
        <v>464</v>
      </c>
      <c r="B95" s="3" t="s">
        <v>465</v>
      </c>
      <c r="C95" s="3" t="s">
        <v>466</v>
      </c>
      <c r="D95" s="3" t="s">
        <v>60</v>
      </c>
      <c r="E95" s="3" t="s">
        <v>96</v>
      </c>
      <c r="F95" s="3" t="s">
        <v>109</v>
      </c>
      <c r="G95" s="3" t="s">
        <v>76</v>
      </c>
      <c r="H95" s="3" t="s">
        <v>467</v>
      </c>
      <c r="I95" s="3">
        <v>54</v>
      </c>
      <c r="J95" s="3" t="s">
        <v>65</v>
      </c>
      <c r="K95" s="3" t="s">
        <v>90</v>
      </c>
      <c r="L95" s="3" t="s">
        <v>43</v>
      </c>
      <c r="M95" s="3" t="s">
        <v>125</v>
      </c>
      <c r="N95" s="3" t="s">
        <v>81</v>
      </c>
      <c r="O95" s="3" t="s">
        <v>142</v>
      </c>
      <c r="P95" s="3" t="s">
        <v>143</v>
      </c>
      <c r="Q95" s="3" t="s">
        <v>48</v>
      </c>
      <c r="R95" s="3" t="s">
        <v>468</v>
      </c>
      <c r="S95" s="3">
        <v>3</v>
      </c>
      <c r="T95" s="3">
        <v>99</v>
      </c>
      <c r="U95" s="3">
        <v>58</v>
      </c>
      <c r="V95" s="3">
        <v>92</v>
      </c>
      <c r="W95" s="3">
        <v>18</v>
      </c>
      <c r="X95" s="3">
        <v>36.9</v>
      </c>
      <c r="Y95" s="3">
        <v>28.5</v>
      </c>
      <c r="Z95" s="3">
        <v>93</v>
      </c>
      <c r="AA95" s="3" t="s">
        <v>50</v>
      </c>
      <c r="AB95" s="3" t="s">
        <v>51</v>
      </c>
      <c r="AC95" s="3" t="s">
        <v>52</v>
      </c>
      <c r="AD95" s="3" t="s">
        <v>53</v>
      </c>
      <c r="AE95" s="3" t="s">
        <v>54</v>
      </c>
      <c r="AF95" s="3" t="s">
        <v>55</v>
      </c>
      <c r="AG95" s="3" t="s">
        <v>186</v>
      </c>
    </row>
    <row r="96" spans="1:33" x14ac:dyDescent="0.2">
      <c r="A96" s="2" t="s">
        <v>464</v>
      </c>
      <c r="B96" s="2" t="s">
        <v>469</v>
      </c>
      <c r="C96" s="2" t="s">
        <v>466</v>
      </c>
      <c r="D96" s="2" t="s">
        <v>103</v>
      </c>
      <c r="E96" s="2" t="s">
        <v>167</v>
      </c>
      <c r="F96" s="2" t="s">
        <v>97</v>
      </c>
      <c r="G96" s="2" t="s">
        <v>76</v>
      </c>
      <c r="H96" s="2" t="s">
        <v>467</v>
      </c>
      <c r="I96" s="2">
        <v>54</v>
      </c>
      <c r="J96" s="2" t="s">
        <v>65</v>
      </c>
      <c r="K96" s="2" t="s">
        <v>140</v>
      </c>
      <c r="L96" s="2" t="s">
        <v>43</v>
      </c>
      <c r="M96" s="2" t="s">
        <v>125</v>
      </c>
      <c r="N96" s="2" t="s">
        <v>81</v>
      </c>
      <c r="O96" s="2" t="s">
        <v>142</v>
      </c>
      <c r="P96" s="2" t="s">
        <v>143</v>
      </c>
      <c r="Q96" s="2" t="s">
        <v>48</v>
      </c>
      <c r="R96" s="2" t="s">
        <v>470</v>
      </c>
      <c r="S96" s="2">
        <v>4</v>
      </c>
      <c r="T96" s="2">
        <v>163</v>
      </c>
      <c r="U96" s="2">
        <v>67</v>
      </c>
      <c r="V96" s="2">
        <v>88</v>
      </c>
      <c r="W96" s="2">
        <v>20</v>
      </c>
      <c r="X96" s="2">
        <v>36.1</v>
      </c>
      <c r="Y96" s="2">
        <v>21.4</v>
      </c>
      <c r="Z96" s="2">
        <v>91</v>
      </c>
      <c r="AA96" s="2" t="s">
        <v>50</v>
      </c>
      <c r="AB96" s="2" t="s">
        <v>51</v>
      </c>
      <c r="AC96" s="2" t="s">
        <v>52</v>
      </c>
      <c r="AD96" s="2" t="s">
        <v>53</v>
      </c>
      <c r="AE96" s="2" t="s">
        <v>54</v>
      </c>
      <c r="AF96" s="2" t="s">
        <v>55</v>
      </c>
      <c r="AG96" s="2" t="s">
        <v>191</v>
      </c>
    </row>
    <row r="97" spans="1:33" x14ac:dyDescent="0.2">
      <c r="A97" s="3" t="s">
        <v>471</v>
      </c>
      <c r="B97" s="3" t="s">
        <v>472</v>
      </c>
      <c r="C97" s="3" t="s">
        <v>473</v>
      </c>
      <c r="D97" s="3" t="s">
        <v>88</v>
      </c>
      <c r="E97" s="3" t="s">
        <v>96</v>
      </c>
      <c r="F97" s="3" t="s">
        <v>38</v>
      </c>
      <c r="G97" s="3" t="s">
        <v>39</v>
      </c>
      <c r="H97" s="3" t="s">
        <v>474</v>
      </c>
      <c r="I97" s="3">
        <v>56</v>
      </c>
      <c r="J97" s="3" t="s">
        <v>65</v>
      </c>
      <c r="K97" s="3" t="s">
        <v>140</v>
      </c>
      <c r="L97" s="3" t="s">
        <v>141</v>
      </c>
      <c r="M97" s="3" t="s">
        <v>125</v>
      </c>
      <c r="N97" s="3"/>
      <c r="O97" s="3" t="s">
        <v>283</v>
      </c>
      <c r="P97" s="3" t="s">
        <v>284</v>
      </c>
      <c r="Q97" s="3" t="s">
        <v>69</v>
      </c>
      <c r="R97" s="3" t="s">
        <v>475</v>
      </c>
      <c r="S97" s="3">
        <v>4</v>
      </c>
      <c r="T97" s="3">
        <v>125</v>
      </c>
      <c r="U97" s="3">
        <v>62</v>
      </c>
      <c r="V97" s="3">
        <v>81</v>
      </c>
      <c r="W97" s="3">
        <v>17</v>
      </c>
      <c r="X97" s="3">
        <v>38.9</v>
      </c>
      <c r="Y97" s="3">
        <v>42.4</v>
      </c>
      <c r="Z97" s="3">
        <v>95</v>
      </c>
      <c r="AA97" s="3" t="s">
        <v>50</v>
      </c>
      <c r="AB97" s="3" t="s">
        <v>51</v>
      </c>
      <c r="AC97" s="3" t="s">
        <v>52</v>
      </c>
      <c r="AD97" s="3" t="s">
        <v>53</v>
      </c>
      <c r="AE97" s="3" t="s">
        <v>54</v>
      </c>
      <c r="AF97" s="3" t="s">
        <v>55</v>
      </c>
      <c r="AG97" s="3" t="s">
        <v>160</v>
      </c>
    </row>
    <row r="98" spans="1:33" x14ac:dyDescent="0.2">
      <c r="A98" s="2" t="s">
        <v>471</v>
      </c>
      <c r="B98" s="2" t="s">
        <v>476</v>
      </c>
      <c r="C98" s="2" t="s">
        <v>477</v>
      </c>
      <c r="D98" s="2" t="s">
        <v>88</v>
      </c>
      <c r="E98" s="2" t="s">
        <v>96</v>
      </c>
      <c r="F98" s="2" t="s">
        <v>75</v>
      </c>
      <c r="G98" s="2" t="s">
        <v>115</v>
      </c>
      <c r="H98" s="2" t="s">
        <v>474</v>
      </c>
      <c r="I98" s="2">
        <v>56</v>
      </c>
      <c r="J98" s="2" t="s">
        <v>65</v>
      </c>
      <c r="K98" s="2" t="s">
        <v>90</v>
      </c>
      <c r="L98" s="2" t="s">
        <v>141</v>
      </c>
      <c r="M98" s="2" t="s">
        <v>125</v>
      </c>
      <c r="N98" s="2"/>
      <c r="O98" s="2" t="s">
        <v>283</v>
      </c>
      <c r="P98" s="2" t="s">
        <v>284</v>
      </c>
      <c r="Q98" s="2" t="s">
        <v>69</v>
      </c>
      <c r="R98" s="2" t="s">
        <v>478</v>
      </c>
      <c r="S98" s="2">
        <v>2</v>
      </c>
      <c r="T98" s="2">
        <v>117</v>
      </c>
      <c r="U98" s="2">
        <v>89</v>
      </c>
      <c r="V98" s="2">
        <v>103</v>
      </c>
      <c r="W98" s="2">
        <v>15</v>
      </c>
      <c r="X98" s="2">
        <v>37.4</v>
      </c>
      <c r="Y98" s="2">
        <v>29.4</v>
      </c>
      <c r="Z98" s="2">
        <v>92</v>
      </c>
      <c r="AA98" s="2" t="s">
        <v>50</v>
      </c>
      <c r="AB98" s="2" t="s">
        <v>51</v>
      </c>
      <c r="AC98" s="2" t="s">
        <v>52</v>
      </c>
      <c r="AD98" s="2" t="s">
        <v>53</v>
      </c>
      <c r="AE98" s="2" t="s">
        <v>54</v>
      </c>
      <c r="AF98" s="2" t="s">
        <v>55</v>
      </c>
      <c r="AG98" s="2" t="s">
        <v>164</v>
      </c>
    </row>
    <row r="99" spans="1:33" x14ac:dyDescent="0.2">
      <c r="A99" s="3" t="s">
        <v>471</v>
      </c>
      <c r="B99" s="3" t="s">
        <v>479</v>
      </c>
      <c r="C99" s="3" t="s">
        <v>480</v>
      </c>
      <c r="D99" s="3" t="s">
        <v>103</v>
      </c>
      <c r="E99" s="3" t="s">
        <v>167</v>
      </c>
      <c r="F99" s="3" t="s">
        <v>148</v>
      </c>
      <c r="G99" s="3" t="s">
        <v>104</v>
      </c>
      <c r="H99" s="3" t="s">
        <v>474</v>
      </c>
      <c r="I99" s="3">
        <v>56</v>
      </c>
      <c r="J99" s="3" t="s">
        <v>65</v>
      </c>
      <c r="K99" s="3" t="s">
        <v>140</v>
      </c>
      <c r="L99" s="3" t="s">
        <v>141</v>
      </c>
      <c r="M99" s="3" t="s">
        <v>125</v>
      </c>
      <c r="N99" s="3"/>
      <c r="O99" s="3" t="s">
        <v>283</v>
      </c>
      <c r="P99" s="3" t="s">
        <v>284</v>
      </c>
      <c r="Q99" s="3" t="s">
        <v>69</v>
      </c>
      <c r="R99" s="3" t="s">
        <v>481</v>
      </c>
      <c r="S99" s="3">
        <v>3</v>
      </c>
      <c r="T99" s="3">
        <v>145</v>
      </c>
      <c r="U99" s="3">
        <v>115</v>
      </c>
      <c r="V99" s="3">
        <v>86</v>
      </c>
      <c r="W99" s="3">
        <v>18</v>
      </c>
      <c r="X99" s="3">
        <v>39.1</v>
      </c>
      <c r="Y99" s="3">
        <v>30.6</v>
      </c>
      <c r="Z99" s="3">
        <v>94</v>
      </c>
      <c r="AA99" s="3" t="s">
        <v>50</v>
      </c>
      <c r="AB99" s="3" t="s">
        <v>51</v>
      </c>
      <c r="AC99" s="3" t="s">
        <v>52</v>
      </c>
      <c r="AD99" s="3" t="s">
        <v>53</v>
      </c>
      <c r="AE99" s="3" t="s">
        <v>54</v>
      </c>
      <c r="AF99" s="3" t="s">
        <v>55</v>
      </c>
      <c r="AG99" s="3" t="s">
        <v>169</v>
      </c>
    </row>
    <row r="100" spans="1:33" x14ac:dyDescent="0.2">
      <c r="A100" s="2" t="s">
        <v>471</v>
      </c>
      <c r="B100" s="2" t="s">
        <v>482</v>
      </c>
      <c r="C100" s="2" t="s">
        <v>483</v>
      </c>
      <c r="D100" s="2" t="s">
        <v>95</v>
      </c>
      <c r="E100" s="2" t="s">
        <v>96</v>
      </c>
      <c r="F100" s="2" t="s">
        <v>109</v>
      </c>
      <c r="G100" s="2" t="s">
        <v>115</v>
      </c>
      <c r="H100" s="2" t="s">
        <v>474</v>
      </c>
      <c r="I100" s="2">
        <v>56</v>
      </c>
      <c r="J100" s="2" t="s">
        <v>65</v>
      </c>
      <c r="K100" s="2" t="s">
        <v>42</v>
      </c>
      <c r="L100" s="2" t="s">
        <v>141</v>
      </c>
      <c r="M100" s="2" t="s">
        <v>125</v>
      </c>
      <c r="N100" s="2"/>
      <c r="O100" s="2" t="s">
        <v>283</v>
      </c>
      <c r="P100" s="2" t="s">
        <v>284</v>
      </c>
      <c r="Q100" s="2" t="s">
        <v>69</v>
      </c>
      <c r="R100" s="2" t="s">
        <v>484</v>
      </c>
      <c r="S100" s="2">
        <v>3</v>
      </c>
      <c r="T100" s="2">
        <v>164</v>
      </c>
      <c r="U100" s="2">
        <v>97</v>
      </c>
      <c r="V100" s="2">
        <v>102</v>
      </c>
      <c r="W100" s="2">
        <v>20</v>
      </c>
      <c r="X100" s="2">
        <v>37.5</v>
      </c>
      <c r="Y100" s="2">
        <v>33.5</v>
      </c>
      <c r="Z100" s="2">
        <v>99</v>
      </c>
      <c r="AA100" s="2" t="s">
        <v>50</v>
      </c>
      <c r="AB100" s="2" t="s">
        <v>51</v>
      </c>
      <c r="AC100" s="2" t="s">
        <v>52</v>
      </c>
      <c r="AD100" s="2" t="s">
        <v>53</v>
      </c>
      <c r="AE100" s="2" t="s">
        <v>54</v>
      </c>
      <c r="AF100" s="2" t="s">
        <v>55</v>
      </c>
      <c r="AG100" s="2" t="s">
        <v>173</v>
      </c>
    </row>
    <row r="101" spans="1:33" x14ac:dyDescent="0.2">
      <c r="A101" s="3" t="s">
        <v>471</v>
      </c>
      <c r="B101" s="3" t="s">
        <v>485</v>
      </c>
      <c r="C101" s="3" t="s">
        <v>486</v>
      </c>
      <c r="D101" s="3" t="s">
        <v>60</v>
      </c>
      <c r="E101" s="3" t="s">
        <v>89</v>
      </c>
      <c r="F101" s="3" t="s">
        <v>97</v>
      </c>
      <c r="G101" s="3" t="s">
        <v>138</v>
      </c>
      <c r="H101" s="3" t="s">
        <v>474</v>
      </c>
      <c r="I101" s="3">
        <v>56</v>
      </c>
      <c r="J101" s="3" t="s">
        <v>65</v>
      </c>
      <c r="K101" s="3" t="s">
        <v>140</v>
      </c>
      <c r="L101" s="3" t="s">
        <v>141</v>
      </c>
      <c r="M101" s="3" t="s">
        <v>125</v>
      </c>
      <c r="N101" s="3"/>
      <c r="O101" s="3" t="s">
        <v>283</v>
      </c>
      <c r="P101" s="3" t="s">
        <v>284</v>
      </c>
      <c r="Q101" s="3" t="s">
        <v>69</v>
      </c>
      <c r="R101" s="3" t="s">
        <v>487</v>
      </c>
      <c r="S101" s="3">
        <v>3</v>
      </c>
      <c r="T101" s="3">
        <v>121</v>
      </c>
      <c r="U101" s="3">
        <v>98</v>
      </c>
      <c r="V101" s="3">
        <v>76</v>
      </c>
      <c r="W101" s="3">
        <v>19</v>
      </c>
      <c r="X101" s="3">
        <v>36.799999999999997</v>
      </c>
      <c r="Y101" s="3">
        <v>31.2</v>
      </c>
      <c r="Z101" s="3">
        <v>90</v>
      </c>
      <c r="AA101" s="3" t="s">
        <v>50</v>
      </c>
      <c r="AB101" s="3" t="s">
        <v>51</v>
      </c>
      <c r="AC101" s="3" t="s">
        <v>52</v>
      </c>
      <c r="AD101" s="3" t="s">
        <v>53</v>
      </c>
      <c r="AE101" s="3" t="s">
        <v>54</v>
      </c>
      <c r="AF101" s="3" t="s">
        <v>55</v>
      </c>
      <c r="AG101" s="3" t="s">
        <v>177</v>
      </c>
    </row>
    <row r="102" spans="1:33" x14ac:dyDescent="0.2">
      <c r="A102" s="2" t="s">
        <v>488</v>
      </c>
      <c r="B102" s="2" t="s">
        <v>489</v>
      </c>
      <c r="C102" s="2" t="s">
        <v>490</v>
      </c>
      <c r="D102" s="2" t="s">
        <v>36</v>
      </c>
      <c r="E102" s="2" t="s">
        <v>37</v>
      </c>
      <c r="F102" s="2" t="s">
        <v>122</v>
      </c>
      <c r="G102" s="2" t="s">
        <v>138</v>
      </c>
      <c r="H102" s="2" t="s">
        <v>491</v>
      </c>
      <c r="I102" s="2">
        <v>85</v>
      </c>
      <c r="J102" s="2" t="s">
        <v>41</v>
      </c>
      <c r="K102" s="2" t="s">
        <v>90</v>
      </c>
      <c r="L102" s="2" t="s">
        <v>45</v>
      </c>
      <c r="M102" s="2"/>
      <c r="N102" s="2" t="s">
        <v>81</v>
      </c>
      <c r="O102" s="2" t="s">
        <v>46</v>
      </c>
      <c r="P102" s="2" t="s">
        <v>47</v>
      </c>
      <c r="Q102" s="2" t="s">
        <v>48</v>
      </c>
      <c r="R102" s="2" t="s">
        <v>492</v>
      </c>
      <c r="S102" s="2">
        <v>4</v>
      </c>
      <c r="T102" s="2">
        <v>156</v>
      </c>
      <c r="U102" s="2">
        <v>63</v>
      </c>
      <c r="V102" s="2">
        <v>122</v>
      </c>
      <c r="W102" s="2">
        <v>28</v>
      </c>
      <c r="X102" s="2">
        <v>36.5</v>
      </c>
      <c r="Y102" s="2">
        <v>36.1</v>
      </c>
      <c r="Z102" s="2">
        <v>98</v>
      </c>
      <c r="AA102" s="2" t="s">
        <v>50</v>
      </c>
      <c r="AB102" s="2" t="s">
        <v>51</v>
      </c>
      <c r="AC102" s="2" t="s">
        <v>52</v>
      </c>
      <c r="AD102" s="2" t="s">
        <v>53</v>
      </c>
      <c r="AE102" s="2" t="s">
        <v>54</v>
      </c>
      <c r="AF102" s="2" t="s">
        <v>55</v>
      </c>
      <c r="AG102" s="2" t="s">
        <v>56</v>
      </c>
    </row>
    <row r="103" spans="1:33" x14ac:dyDescent="0.2">
      <c r="A103" s="3" t="s">
        <v>493</v>
      </c>
      <c r="B103" s="3" t="s">
        <v>494</v>
      </c>
      <c r="C103" s="3" t="s">
        <v>495</v>
      </c>
      <c r="D103" s="3" t="s">
        <v>103</v>
      </c>
      <c r="E103" s="3" t="s">
        <v>37</v>
      </c>
      <c r="F103" s="3" t="s">
        <v>109</v>
      </c>
      <c r="G103" s="3" t="s">
        <v>115</v>
      </c>
      <c r="H103" s="3" t="s">
        <v>496</v>
      </c>
      <c r="I103" s="3">
        <v>40</v>
      </c>
      <c r="J103" s="3" t="s">
        <v>41</v>
      </c>
      <c r="K103" s="3" t="s">
        <v>116</v>
      </c>
      <c r="L103" s="3" t="s">
        <v>141</v>
      </c>
      <c r="M103" s="3"/>
      <c r="N103" s="3" t="s">
        <v>182</v>
      </c>
      <c r="O103" s="3" t="s">
        <v>497</v>
      </c>
      <c r="P103" s="3" t="s">
        <v>498</v>
      </c>
      <c r="Q103" s="3" t="s">
        <v>69</v>
      </c>
      <c r="R103" s="3" t="s">
        <v>499</v>
      </c>
      <c r="S103" s="3">
        <v>4</v>
      </c>
      <c r="T103" s="3">
        <v>174</v>
      </c>
      <c r="U103" s="3">
        <v>56</v>
      </c>
      <c r="V103" s="3">
        <v>93</v>
      </c>
      <c r="W103" s="3">
        <v>14</v>
      </c>
      <c r="X103" s="3">
        <v>39.1</v>
      </c>
      <c r="Y103" s="3">
        <v>25.6</v>
      </c>
      <c r="Z103" s="3">
        <v>100</v>
      </c>
      <c r="AA103" s="3" t="s">
        <v>50</v>
      </c>
      <c r="AB103" s="3" t="s">
        <v>51</v>
      </c>
      <c r="AC103" s="3" t="s">
        <v>52</v>
      </c>
      <c r="AD103" s="3" t="s">
        <v>53</v>
      </c>
      <c r="AE103" s="3" t="s">
        <v>54</v>
      </c>
      <c r="AF103" s="3" t="s">
        <v>55</v>
      </c>
      <c r="AG103" s="3" t="s">
        <v>71</v>
      </c>
    </row>
    <row r="104" spans="1:33" x14ac:dyDescent="0.2">
      <c r="A104" s="2" t="s">
        <v>500</v>
      </c>
      <c r="B104" s="2" t="s">
        <v>501</v>
      </c>
      <c r="C104" s="2" t="s">
        <v>502</v>
      </c>
      <c r="D104" s="2" t="s">
        <v>95</v>
      </c>
      <c r="E104" s="2" t="s">
        <v>61</v>
      </c>
      <c r="F104" s="2" t="s">
        <v>219</v>
      </c>
      <c r="G104" s="2" t="s">
        <v>104</v>
      </c>
      <c r="H104" s="2" t="s">
        <v>503</v>
      </c>
      <c r="I104" s="2">
        <v>50</v>
      </c>
      <c r="J104" s="2" t="s">
        <v>65</v>
      </c>
      <c r="K104" s="2" t="s">
        <v>42</v>
      </c>
      <c r="L104" s="2" t="s">
        <v>79</v>
      </c>
      <c r="M104" s="2" t="s">
        <v>125</v>
      </c>
      <c r="N104" s="2" t="s">
        <v>182</v>
      </c>
      <c r="O104" s="2" t="s">
        <v>504</v>
      </c>
      <c r="P104" s="2" t="s">
        <v>505</v>
      </c>
      <c r="Q104" s="2" t="s">
        <v>69</v>
      </c>
      <c r="R104" s="2" t="s">
        <v>506</v>
      </c>
      <c r="S104" s="2">
        <v>3</v>
      </c>
      <c r="T104" s="2">
        <v>176</v>
      </c>
      <c r="U104" s="2">
        <v>105</v>
      </c>
      <c r="V104" s="2">
        <v>89</v>
      </c>
      <c r="W104" s="2">
        <v>13</v>
      </c>
      <c r="X104" s="2">
        <v>38.1</v>
      </c>
      <c r="Y104" s="2">
        <v>22.8</v>
      </c>
      <c r="Z104" s="2">
        <v>89</v>
      </c>
      <c r="AA104" s="2" t="s">
        <v>50</v>
      </c>
      <c r="AB104" s="2" t="s">
        <v>51</v>
      </c>
      <c r="AC104" s="2" t="s">
        <v>52</v>
      </c>
      <c r="AD104" s="2" t="s">
        <v>53</v>
      </c>
      <c r="AE104" s="2" t="s">
        <v>54</v>
      </c>
      <c r="AF104" s="2" t="s">
        <v>55</v>
      </c>
      <c r="AG104" s="2" t="s">
        <v>85</v>
      </c>
    </row>
    <row r="105" spans="1:33" x14ac:dyDescent="0.2">
      <c r="A105" s="3" t="s">
        <v>500</v>
      </c>
      <c r="B105" s="3" t="s">
        <v>507</v>
      </c>
      <c r="C105" s="3" t="s">
        <v>508</v>
      </c>
      <c r="D105" s="3" t="s">
        <v>36</v>
      </c>
      <c r="E105" s="3" t="s">
        <v>37</v>
      </c>
      <c r="F105" s="3" t="s">
        <v>62</v>
      </c>
      <c r="G105" s="3" t="s">
        <v>76</v>
      </c>
      <c r="H105" s="3" t="s">
        <v>503</v>
      </c>
      <c r="I105" s="3">
        <v>50</v>
      </c>
      <c r="J105" s="3" t="s">
        <v>65</v>
      </c>
      <c r="K105" s="3" t="s">
        <v>90</v>
      </c>
      <c r="L105" s="3" t="s">
        <v>79</v>
      </c>
      <c r="M105" s="3" t="s">
        <v>125</v>
      </c>
      <c r="N105" s="3" t="s">
        <v>182</v>
      </c>
      <c r="O105" s="3" t="s">
        <v>504</v>
      </c>
      <c r="P105" s="3" t="s">
        <v>505</v>
      </c>
      <c r="Q105" s="3" t="s">
        <v>69</v>
      </c>
      <c r="R105" s="3" t="s">
        <v>509</v>
      </c>
      <c r="S105" s="3">
        <v>2</v>
      </c>
      <c r="T105" s="3">
        <v>147</v>
      </c>
      <c r="U105" s="3">
        <v>89</v>
      </c>
      <c r="V105" s="3">
        <v>70</v>
      </c>
      <c r="W105" s="3">
        <v>18</v>
      </c>
      <c r="X105" s="3">
        <v>36.799999999999997</v>
      </c>
      <c r="Y105" s="3">
        <v>36.5</v>
      </c>
      <c r="Z105" s="3">
        <v>93</v>
      </c>
      <c r="AA105" s="3" t="s">
        <v>50</v>
      </c>
      <c r="AB105" s="3" t="s">
        <v>51</v>
      </c>
      <c r="AC105" s="3" t="s">
        <v>52</v>
      </c>
      <c r="AD105" s="3" t="s">
        <v>53</v>
      </c>
      <c r="AE105" s="3" t="s">
        <v>54</v>
      </c>
      <c r="AF105" s="3" t="s">
        <v>55</v>
      </c>
      <c r="AG105" s="3" t="s">
        <v>92</v>
      </c>
    </row>
    <row r="106" spans="1:33" x14ac:dyDescent="0.2">
      <c r="A106" s="2" t="s">
        <v>500</v>
      </c>
      <c r="B106" s="2" t="s">
        <v>510</v>
      </c>
      <c r="C106" s="2" t="s">
        <v>511</v>
      </c>
      <c r="D106" s="2" t="s">
        <v>88</v>
      </c>
      <c r="E106" s="2" t="s">
        <v>96</v>
      </c>
      <c r="F106" s="2" t="s">
        <v>148</v>
      </c>
      <c r="G106" s="2" t="s">
        <v>76</v>
      </c>
      <c r="H106" s="2" t="s">
        <v>503</v>
      </c>
      <c r="I106" s="2">
        <v>50</v>
      </c>
      <c r="J106" s="2" t="s">
        <v>65</v>
      </c>
      <c r="K106" s="2" t="s">
        <v>110</v>
      </c>
      <c r="L106" s="2" t="s">
        <v>79</v>
      </c>
      <c r="M106" s="2" t="s">
        <v>125</v>
      </c>
      <c r="N106" s="2" t="s">
        <v>182</v>
      </c>
      <c r="O106" s="2" t="s">
        <v>504</v>
      </c>
      <c r="P106" s="2" t="s">
        <v>505</v>
      </c>
      <c r="Q106" s="2" t="s">
        <v>69</v>
      </c>
      <c r="R106" s="2" t="s">
        <v>512</v>
      </c>
      <c r="S106" s="2">
        <v>4</v>
      </c>
      <c r="T106" s="2">
        <v>115</v>
      </c>
      <c r="U106" s="2">
        <v>63</v>
      </c>
      <c r="V106" s="2">
        <v>61</v>
      </c>
      <c r="W106" s="2">
        <v>24</v>
      </c>
      <c r="X106" s="2">
        <v>37.9</v>
      </c>
      <c r="Y106" s="2">
        <v>29.4</v>
      </c>
      <c r="Z106" s="2">
        <v>94</v>
      </c>
      <c r="AA106" s="2" t="s">
        <v>50</v>
      </c>
      <c r="AB106" s="2" t="s">
        <v>51</v>
      </c>
      <c r="AC106" s="2" t="s">
        <v>52</v>
      </c>
      <c r="AD106" s="2" t="s">
        <v>53</v>
      </c>
      <c r="AE106" s="2" t="s">
        <v>54</v>
      </c>
      <c r="AF106" s="2" t="s">
        <v>55</v>
      </c>
      <c r="AG106" s="2" t="s">
        <v>100</v>
      </c>
    </row>
    <row r="107" spans="1:33" x14ac:dyDescent="0.2">
      <c r="A107" s="3" t="s">
        <v>500</v>
      </c>
      <c r="B107" s="3" t="s">
        <v>513</v>
      </c>
      <c r="C107" s="3" t="s">
        <v>514</v>
      </c>
      <c r="D107" s="3" t="s">
        <v>88</v>
      </c>
      <c r="E107" s="3" t="s">
        <v>96</v>
      </c>
      <c r="F107" s="3" t="s">
        <v>75</v>
      </c>
      <c r="G107" s="3" t="s">
        <v>98</v>
      </c>
      <c r="H107" s="3" t="s">
        <v>503</v>
      </c>
      <c r="I107" s="3">
        <v>50</v>
      </c>
      <c r="J107" s="3" t="s">
        <v>65</v>
      </c>
      <c r="K107" s="3" t="s">
        <v>140</v>
      </c>
      <c r="L107" s="3" t="s">
        <v>79</v>
      </c>
      <c r="M107" s="3" t="s">
        <v>125</v>
      </c>
      <c r="N107" s="3" t="s">
        <v>182</v>
      </c>
      <c r="O107" s="3" t="s">
        <v>504</v>
      </c>
      <c r="P107" s="3" t="s">
        <v>505</v>
      </c>
      <c r="Q107" s="3" t="s">
        <v>69</v>
      </c>
      <c r="R107" s="3" t="s">
        <v>515</v>
      </c>
      <c r="S107" s="3">
        <v>4</v>
      </c>
      <c r="T107" s="3">
        <v>105</v>
      </c>
      <c r="U107" s="3">
        <v>105</v>
      </c>
      <c r="V107" s="3">
        <v>118</v>
      </c>
      <c r="W107" s="3">
        <v>15</v>
      </c>
      <c r="X107" s="3">
        <v>37.700000000000003</v>
      </c>
      <c r="Y107" s="3">
        <v>22.2</v>
      </c>
      <c r="Z107" s="3">
        <v>98</v>
      </c>
      <c r="AA107" s="3" t="s">
        <v>50</v>
      </c>
      <c r="AB107" s="3" t="s">
        <v>51</v>
      </c>
      <c r="AC107" s="3" t="s">
        <v>52</v>
      </c>
      <c r="AD107" s="3" t="s">
        <v>53</v>
      </c>
      <c r="AE107" s="3" t="s">
        <v>54</v>
      </c>
      <c r="AF107" s="3" t="s">
        <v>55</v>
      </c>
      <c r="AG107" s="3" t="s">
        <v>106</v>
      </c>
    </row>
    <row r="108" spans="1:33" x14ac:dyDescent="0.2">
      <c r="A108" s="2" t="s">
        <v>500</v>
      </c>
      <c r="B108" s="2" t="s">
        <v>516</v>
      </c>
      <c r="C108" s="2" t="s">
        <v>517</v>
      </c>
      <c r="D108" s="2" t="s">
        <v>88</v>
      </c>
      <c r="E108" s="2" t="s">
        <v>37</v>
      </c>
      <c r="F108" s="2" t="s">
        <v>75</v>
      </c>
      <c r="G108" s="2" t="s">
        <v>39</v>
      </c>
      <c r="H108" s="2" t="s">
        <v>503</v>
      </c>
      <c r="I108" s="2">
        <v>50</v>
      </c>
      <c r="J108" s="2" t="s">
        <v>65</v>
      </c>
      <c r="K108" s="2" t="s">
        <v>42</v>
      </c>
      <c r="L108" s="2" t="s">
        <v>79</v>
      </c>
      <c r="M108" s="2" t="s">
        <v>125</v>
      </c>
      <c r="N108" s="2" t="s">
        <v>182</v>
      </c>
      <c r="O108" s="2" t="s">
        <v>504</v>
      </c>
      <c r="P108" s="2" t="s">
        <v>505</v>
      </c>
      <c r="Q108" s="2" t="s">
        <v>69</v>
      </c>
      <c r="R108" s="2" t="s">
        <v>518</v>
      </c>
      <c r="S108" s="2">
        <v>1</v>
      </c>
      <c r="T108" s="2">
        <v>132</v>
      </c>
      <c r="U108" s="2">
        <v>89</v>
      </c>
      <c r="V108" s="2">
        <v>92</v>
      </c>
      <c r="W108" s="2">
        <v>23</v>
      </c>
      <c r="X108" s="2">
        <v>37</v>
      </c>
      <c r="Y108" s="2">
        <v>18.100000000000001</v>
      </c>
      <c r="Z108" s="2">
        <v>90</v>
      </c>
      <c r="AA108" s="2" t="s">
        <v>50</v>
      </c>
      <c r="AB108" s="2" t="s">
        <v>51</v>
      </c>
      <c r="AC108" s="2" t="s">
        <v>52</v>
      </c>
      <c r="AD108" s="2" t="s">
        <v>53</v>
      </c>
      <c r="AE108" s="2" t="s">
        <v>54</v>
      </c>
      <c r="AF108" s="2" t="s">
        <v>55</v>
      </c>
      <c r="AG108" s="2" t="s">
        <v>112</v>
      </c>
    </row>
    <row r="109" spans="1:33" x14ac:dyDescent="0.2">
      <c r="A109" s="3" t="s">
        <v>500</v>
      </c>
      <c r="B109" s="3" t="s">
        <v>519</v>
      </c>
      <c r="C109" s="3" t="s">
        <v>520</v>
      </c>
      <c r="D109" s="3" t="s">
        <v>95</v>
      </c>
      <c r="E109" s="3" t="s">
        <v>96</v>
      </c>
      <c r="F109" s="3" t="s">
        <v>132</v>
      </c>
      <c r="G109" s="3" t="s">
        <v>39</v>
      </c>
      <c r="H109" s="3" t="s">
        <v>503</v>
      </c>
      <c r="I109" s="3">
        <v>50</v>
      </c>
      <c r="J109" s="3" t="s">
        <v>65</v>
      </c>
      <c r="K109" s="3" t="s">
        <v>110</v>
      </c>
      <c r="L109" s="3" t="s">
        <v>79</v>
      </c>
      <c r="M109" s="3" t="s">
        <v>125</v>
      </c>
      <c r="N109" s="3" t="s">
        <v>182</v>
      </c>
      <c r="O109" s="3" t="s">
        <v>504</v>
      </c>
      <c r="P109" s="3" t="s">
        <v>505</v>
      </c>
      <c r="Q109" s="3" t="s">
        <v>69</v>
      </c>
      <c r="R109" s="3" t="s">
        <v>521</v>
      </c>
      <c r="S109" s="3">
        <v>2</v>
      </c>
      <c r="T109" s="3">
        <v>101</v>
      </c>
      <c r="U109" s="3">
        <v>115</v>
      </c>
      <c r="V109" s="3">
        <v>120</v>
      </c>
      <c r="W109" s="3">
        <v>13</v>
      </c>
      <c r="X109" s="3">
        <v>39</v>
      </c>
      <c r="Y109" s="3">
        <v>18.399999999999999</v>
      </c>
      <c r="Z109" s="3">
        <v>92</v>
      </c>
      <c r="AA109" s="3" t="s">
        <v>50</v>
      </c>
      <c r="AB109" s="3" t="s">
        <v>51</v>
      </c>
      <c r="AC109" s="3" t="s">
        <v>52</v>
      </c>
      <c r="AD109" s="3" t="s">
        <v>53</v>
      </c>
      <c r="AE109" s="3" t="s">
        <v>54</v>
      </c>
      <c r="AF109" s="3" t="s">
        <v>55</v>
      </c>
      <c r="AG109" s="3" t="s">
        <v>118</v>
      </c>
    </row>
    <row r="110" spans="1:33" x14ac:dyDescent="0.2">
      <c r="A110" s="2" t="s">
        <v>522</v>
      </c>
      <c r="B110" s="2" t="s">
        <v>523</v>
      </c>
      <c r="C110" s="2" t="s">
        <v>524</v>
      </c>
      <c r="D110" s="2" t="s">
        <v>95</v>
      </c>
      <c r="E110" s="2" t="s">
        <v>89</v>
      </c>
      <c r="F110" s="2" t="s">
        <v>75</v>
      </c>
      <c r="G110" s="2" t="s">
        <v>138</v>
      </c>
      <c r="H110" s="2" t="s">
        <v>525</v>
      </c>
      <c r="I110" s="2">
        <v>62</v>
      </c>
      <c r="J110" s="2" t="s">
        <v>41</v>
      </c>
      <c r="K110" s="2" t="s">
        <v>140</v>
      </c>
      <c r="L110" s="2" t="s">
        <v>43</v>
      </c>
      <c r="M110" s="2" t="s">
        <v>80</v>
      </c>
      <c r="N110" s="2" t="s">
        <v>45</v>
      </c>
      <c r="O110" s="2" t="s">
        <v>150</v>
      </c>
      <c r="P110" s="2" t="s">
        <v>151</v>
      </c>
      <c r="Q110" s="2" t="s">
        <v>69</v>
      </c>
      <c r="R110" s="2" t="s">
        <v>526</v>
      </c>
      <c r="S110" s="2">
        <v>2</v>
      </c>
      <c r="T110" s="2">
        <v>137</v>
      </c>
      <c r="U110" s="2">
        <v>98</v>
      </c>
      <c r="V110" s="2">
        <v>82</v>
      </c>
      <c r="W110" s="2">
        <v>18</v>
      </c>
      <c r="X110" s="2">
        <v>36.700000000000003</v>
      </c>
      <c r="Y110" s="2">
        <v>30.6</v>
      </c>
      <c r="Z110" s="2">
        <v>89</v>
      </c>
      <c r="AA110" s="2" t="s">
        <v>50</v>
      </c>
      <c r="AB110" s="2" t="s">
        <v>51</v>
      </c>
      <c r="AC110" s="2" t="s">
        <v>52</v>
      </c>
      <c r="AD110" s="2" t="s">
        <v>53</v>
      </c>
      <c r="AE110" s="2" t="s">
        <v>54</v>
      </c>
      <c r="AF110" s="2" t="s">
        <v>55</v>
      </c>
      <c r="AG110" s="2" t="s">
        <v>160</v>
      </c>
    </row>
    <row r="111" spans="1:33" x14ac:dyDescent="0.2">
      <c r="A111" s="3" t="s">
        <v>522</v>
      </c>
      <c r="B111" s="3" t="s">
        <v>527</v>
      </c>
      <c r="C111" s="3" t="s">
        <v>438</v>
      </c>
      <c r="D111" s="3" t="s">
        <v>60</v>
      </c>
      <c r="E111" s="3" t="s">
        <v>61</v>
      </c>
      <c r="F111" s="3" t="s">
        <v>148</v>
      </c>
      <c r="G111" s="3" t="s">
        <v>104</v>
      </c>
      <c r="H111" s="3" t="s">
        <v>525</v>
      </c>
      <c r="I111" s="3">
        <v>62</v>
      </c>
      <c r="J111" s="3" t="s">
        <v>41</v>
      </c>
      <c r="K111" s="3" t="s">
        <v>140</v>
      </c>
      <c r="L111" s="3" t="s">
        <v>43</v>
      </c>
      <c r="M111" s="3" t="s">
        <v>80</v>
      </c>
      <c r="N111" s="3" t="s">
        <v>45</v>
      </c>
      <c r="O111" s="3" t="s">
        <v>150</v>
      </c>
      <c r="P111" s="3" t="s">
        <v>151</v>
      </c>
      <c r="Q111" s="3" t="s">
        <v>69</v>
      </c>
      <c r="R111" s="3" t="s">
        <v>528</v>
      </c>
      <c r="S111" s="3">
        <v>2</v>
      </c>
      <c r="T111" s="3">
        <v>104</v>
      </c>
      <c r="U111" s="3">
        <v>57</v>
      </c>
      <c r="V111" s="3">
        <v>95</v>
      </c>
      <c r="W111" s="3">
        <v>23</v>
      </c>
      <c r="X111" s="3">
        <v>36.200000000000003</v>
      </c>
      <c r="Y111" s="3">
        <v>38.6</v>
      </c>
      <c r="Z111" s="3">
        <v>92</v>
      </c>
      <c r="AA111" s="3" t="s">
        <v>50</v>
      </c>
      <c r="AB111" s="3" t="s">
        <v>51</v>
      </c>
      <c r="AC111" s="3" t="s">
        <v>52</v>
      </c>
      <c r="AD111" s="3" t="s">
        <v>53</v>
      </c>
      <c r="AE111" s="3" t="s">
        <v>54</v>
      </c>
      <c r="AF111" s="3" t="s">
        <v>55</v>
      </c>
      <c r="AG111" s="3" t="s">
        <v>164</v>
      </c>
    </row>
    <row r="112" spans="1:33" x14ac:dyDescent="0.2">
      <c r="A112" s="2" t="s">
        <v>522</v>
      </c>
      <c r="B112" s="2" t="s">
        <v>529</v>
      </c>
      <c r="C112" s="2" t="s">
        <v>530</v>
      </c>
      <c r="D112" s="2" t="s">
        <v>36</v>
      </c>
      <c r="E112" s="2" t="s">
        <v>37</v>
      </c>
      <c r="F112" s="2" t="s">
        <v>148</v>
      </c>
      <c r="G112" s="2" t="s">
        <v>115</v>
      </c>
      <c r="H112" s="2" t="s">
        <v>525</v>
      </c>
      <c r="I112" s="2">
        <v>62</v>
      </c>
      <c r="J112" s="2" t="s">
        <v>41</v>
      </c>
      <c r="K112" s="2" t="s">
        <v>116</v>
      </c>
      <c r="L112" s="2" t="s">
        <v>43</v>
      </c>
      <c r="M112" s="2" t="s">
        <v>80</v>
      </c>
      <c r="N112" s="2" t="s">
        <v>45</v>
      </c>
      <c r="O112" s="2" t="s">
        <v>150</v>
      </c>
      <c r="P112" s="2" t="s">
        <v>151</v>
      </c>
      <c r="Q112" s="2" t="s">
        <v>69</v>
      </c>
      <c r="R112" s="2" t="s">
        <v>531</v>
      </c>
      <c r="S112" s="2">
        <v>2</v>
      </c>
      <c r="T112" s="2">
        <v>147</v>
      </c>
      <c r="U112" s="2">
        <v>90</v>
      </c>
      <c r="V112" s="2">
        <v>108</v>
      </c>
      <c r="W112" s="2">
        <v>25</v>
      </c>
      <c r="X112" s="2">
        <v>36.799999999999997</v>
      </c>
      <c r="Y112" s="2">
        <v>42.5</v>
      </c>
      <c r="Z112" s="2">
        <v>100</v>
      </c>
      <c r="AA112" s="2" t="s">
        <v>50</v>
      </c>
      <c r="AB112" s="2" t="s">
        <v>51</v>
      </c>
      <c r="AC112" s="2" t="s">
        <v>52</v>
      </c>
      <c r="AD112" s="2" t="s">
        <v>53</v>
      </c>
      <c r="AE112" s="2" t="s">
        <v>54</v>
      </c>
      <c r="AF112" s="2" t="s">
        <v>55</v>
      </c>
      <c r="AG112" s="2" t="s">
        <v>169</v>
      </c>
    </row>
    <row r="113" spans="1:33" x14ac:dyDescent="0.2">
      <c r="A113" s="3" t="s">
        <v>522</v>
      </c>
      <c r="B113" s="3" t="s">
        <v>532</v>
      </c>
      <c r="C113" s="3" t="s">
        <v>533</v>
      </c>
      <c r="D113" s="3" t="s">
        <v>103</v>
      </c>
      <c r="E113" s="3" t="s">
        <v>89</v>
      </c>
      <c r="F113" s="3" t="s">
        <v>219</v>
      </c>
      <c r="G113" s="3" t="s">
        <v>138</v>
      </c>
      <c r="H113" s="3" t="s">
        <v>525</v>
      </c>
      <c r="I113" s="3">
        <v>62</v>
      </c>
      <c r="J113" s="3" t="s">
        <v>41</v>
      </c>
      <c r="K113" s="3" t="s">
        <v>66</v>
      </c>
      <c r="L113" s="3" t="s">
        <v>43</v>
      </c>
      <c r="M113" s="3" t="s">
        <v>80</v>
      </c>
      <c r="N113" s="3" t="s">
        <v>45</v>
      </c>
      <c r="O113" s="3" t="s">
        <v>150</v>
      </c>
      <c r="P113" s="3" t="s">
        <v>151</v>
      </c>
      <c r="Q113" s="3" t="s">
        <v>69</v>
      </c>
      <c r="R113" s="3" t="s">
        <v>534</v>
      </c>
      <c r="S113" s="3">
        <v>4</v>
      </c>
      <c r="T113" s="3">
        <v>133</v>
      </c>
      <c r="U113" s="3">
        <v>85</v>
      </c>
      <c r="V113" s="3">
        <v>123</v>
      </c>
      <c r="W113" s="3">
        <v>27</v>
      </c>
      <c r="X113" s="3">
        <v>38.1</v>
      </c>
      <c r="Y113" s="3">
        <v>39.9</v>
      </c>
      <c r="Z113" s="3">
        <v>91</v>
      </c>
      <c r="AA113" s="3" t="s">
        <v>50</v>
      </c>
      <c r="AB113" s="3" t="s">
        <v>51</v>
      </c>
      <c r="AC113" s="3" t="s">
        <v>52</v>
      </c>
      <c r="AD113" s="3" t="s">
        <v>53</v>
      </c>
      <c r="AE113" s="3" t="s">
        <v>54</v>
      </c>
      <c r="AF113" s="3" t="s">
        <v>55</v>
      </c>
      <c r="AG113" s="3" t="s">
        <v>173</v>
      </c>
    </row>
    <row r="114" spans="1:33" x14ac:dyDescent="0.2">
      <c r="A114" s="2" t="s">
        <v>522</v>
      </c>
      <c r="B114" s="2" t="s">
        <v>535</v>
      </c>
      <c r="C114" s="2" t="s">
        <v>293</v>
      </c>
      <c r="D114" s="2" t="s">
        <v>36</v>
      </c>
      <c r="E114" s="2" t="s">
        <v>61</v>
      </c>
      <c r="F114" s="2" t="s">
        <v>109</v>
      </c>
      <c r="G114" s="2" t="s">
        <v>63</v>
      </c>
      <c r="H114" s="2" t="s">
        <v>525</v>
      </c>
      <c r="I114" s="2">
        <v>62</v>
      </c>
      <c r="J114" s="2" t="s">
        <v>41</v>
      </c>
      <c r="K114" s="2" t="s">
        <v>78</v>
      </c>
      <c r="L114" s="2" t="s">
        <v>43</v>
      </c>
      <c r="M114" s="2" t="s">
        <v>80</v>
      </c>
      <c r="N114" s="2" t="s">
        <v>45</v>
      </c>
      <c r="O114" s="2" t="s">
        <v>150</v>
      </c>
      <c r="P114" s="2" t="s">
        <v>151</v>
      </c>
      <c r="Q114" s="2" t="s">
        <v>69</v>
      </c>
      <c r="R114" s="2" t="s">
        <v>256</v>
      </c>
      <c r="S114" s="2">
        <v>2</v>
      </c>
      <c r="T114" s="2">
        <v>122</v>
      </c>
      <c r="U114" s="2">
        <v>97</v>
      </c>
      <c r="V114" s="2">
        <v>110</v>
      </c>
      <c r="W114" s="2">
        <v>27</v>
      </c>
      <c r="X114" s="2">
        <v>37.799999999999997</v>
      </c>
      <c r="Y114" s="2">
        <v>45.1</v>
      </c>
      <c r="Z114" s="2">
        <v>94</v>
      </c>
      <c r="AA114" s="2" t="s">
        <v>50</v>
      </c>
      <c r="AB114" s="2" t="s">
        <v>51</v>
      </c>
      <c r="AC114" s="2" t="s">
        <v>52</v>
      </c>
      <c r="AD114" s="2" t="s">
        <v>53</v>
      </c>
      <c r="AE114" s="2" t="s">
        <v>54</v>
      </c>
      <c r="AF114" s="2" t="s">
        <v>55</v>
      </c>
      <c r="AG114" s="2" t="s">
        <v>177</v>
      </c>
    </row>
    <row r="115" spans="1:33" x14ac:dyDescent="0.2">
      <c r="A115" s="3" t="s">
        <v>536</v>
      </c>
      <c r="B115" s="3" t="s">
        <v>537</v>
      </c>
      <c r="C115" s="3" t="s">
        <v>538</v>
      </c>
      <c r="D115" s="3" t="s">
        <v>103</v>
      </c>
      <c r="E115" s="3" t="s">
        <v>37</v>
      </c>
      <c r="F115" s="3" t="s">
        <v>219</v>
      </c>
      <c r="G115" s="3" t="s">
        <v>138</v>
      </c>
      <c r="H115" s="3" t="s">
        <v>539</v>
      </c>
      <c r="I115" s="3">
        <v>29</v>
      </c>
      <c r="J115" s="3" t="s">
        <v>65</v>
      </c>
      <c r="K115" s="3" t="s">
        <v>116</v>
      </c>
      <c r="L115" s="3" t="s">
        <v>79</v>
      </c>
      <c r="M115" s="3"/>
      <c r="N115" s="3" t="s">
        <v>45</v>
      </c>
      <c r="O115" s="3" t="s">
        <v>211</v>
      </c>
      <c r="P115" s="3" t="s">
        <v>212</v>
      </c>
      <c r="Q115" s="3" t="s">
        <v>48</v>
      </c>
      <c r="R115" s="3" t="s">
        <v>518</v>
      </c>
      <c r="S115" s="3">
        <v>1</v>
      </c>
      <c r="T115" s="3">
        <v>167</v>
      </c>
      <c r="U115" s="3">
        <v>90</v>
      </c>
      <c r="V115" s="3">
        <v>100</v>
      </c>
      <c r="W115" s="3">
        <v>15</v>
      </c>
      <c r="X115" s="3">
        <v>36.700000000000003</v>
      </c>
      <c r="Y115" s="3">
        <v>43.4</v>
      </c>
      <c r="Z115" s="3">
        <v>91</v>
      </c>
      <c r="AA115" s="3" t="s">
        <v>50</v>
      </c>
      <c r="AB115" s="3" t="s">
        <v>51</v>
      </c>
      <c r="AC115" s="3" t="s">
        <v>52</v>
      </c>
      <c r="AD115" s="3" t="s">
        <v>53</v>
      </c>
      <c r="AE115" s="3" t="s">
        <v>54</v>
      </c>
      <c r="AF115" s="3" t="s">
        <v>55</v>
      </c>
      <c r="AG115" s="3" t="s">
        <v>56</v>
      </c>
    </row>
    <row r="116" spans="1:33" x14ac:dyDescent="0.2">
      <c r="A116" s="2" t="s">
        <v>540</v>
      </c>
      <c r="B116" s="2" t="s">
        <v>541</v>
      </c>
      <c r="C116" s="2" t="s">
        <v>542</v>
      </c>
      <c r="D116" s="2" t="s">
        <v>88</v>
      </c>
      <c r="E116" s="2" t="s">
        <v>61</v>
      </c>
      <c r="F116" s="2" t="s">
        <v>38</v>
      </c>
      <c r="G116" s="2" t="s">
        <v>123</v>
      </c>
      <c r="H116" s="2" t="s">
        <v>543</v>
      </c>
      <c r="I116" s="2">
        <v>68</v>
      </c>
      <c r="J116" s="2" t="s">
        <v>41</v>
      </c>
      <c r="K116" s="2" t="s">
        <v>42</v>
      </c>
      <c r="L116" s="2" t="s">
        <v>141</v>
      </c>
      <c r="M116" s="2"/>
      <c r="N116" s="2" t="s">
        <v>81</v>
      </c>
      <c r="O116" s="2" t="s">
        <v>67</v>
      </c>
      <c r="P116" s="2" t="s">
        <v>68</v>
      </c>
      <c r="Q116" s="2" t="s">
        <v>69</v>
      </c>
      <c r="R116" s="2" t="s">
        <v>544</v>
      </c>
      <c r="S116" s="2">
        <v>3</v>
      </c>
      <c r="T116" s="2">
        <v>141</v>
      </c>
      <c r="U116" s="2">
        <v>85</v>
      </c>
      <c r="V116" s="2">
        <v>57</v>
      </c>
      <c r="W116" s="2">
        <v>28</v>
      </c>
      <c r="X116" s="2">
        <v>37.5</v>
      </c>
      <c r="Y116" s="2">
        <v>41.4</v>
      </c>
      <c r="Z116" s="2">
        <v>99</v>
      </c>
      <c r="AA116" s="2" t="s">
        <v>50</v>
      </c>
      <c r="AB116" s="2" t="s">
        <v>51</v>
      </c>
      <c r="AC116" s="2" t="s">
        <v>52</v>
      </c>
      <c r="AD116" s="2" t="s">
        <v>53</v>
      </c>
      <c r="AE116" s="2" t="s">
        <v>54</v>
      </c>
      <c r="AF116" s="2" t="s">
        <v>55</v>
      </c>
      <c r="AG116" s="2" t="s">
        <v>198</v>
      </c>
    </row>
    <row r="117" spans="1:33" x14ac:dyDescent="0.2">
      <c r="A117" s="3" t="s">
        <v>540</v>
      </c>
      <c r="B117" s="3" t="s">
        <v>545</v>
      </c>
      <c r="C117" s="3" t="s">
        <v>264</v>
      </c>
      <c r="D117" s="3" t="s">
        <v>95</v>
      </c>
      <c r="E117" s="3" t="s">
        <v>96</v>
      </c>
      <c r="F117" s="3" t="s">
        <v>38</v>
      </c>
      <c r="G117" s="3" t="s">
        <v>76</v>
      </c>
      <c r="H117" s="3" t="s">
        <v>543</v>
      </c>
      <c r="I117" s="3">
        <v>68</v>
      </c>
      <c r="J117" s="3" t="s">
        <v>41</v>
      </c>
      <c r="K117" s="3" t="s">
        <v>140</v>
      </c>
      <c r="L117" s="3" t="s">
        <v>141</v>
      </c>
      <c r="M117" s="3"/>
      <c r="N117" s="3" t="s">
        <v>81</v>
      </c>
      <c r="O117" s="3" t="s">
        <v>67</v>
      </c>
      <c r="P117" s="3" t="s">
        <v>68</v>
      </c>
      <c r="Q117" s="3" t="s">
        <v>69</v>
      </c>
      <c r="R117" s="3" t="s">
        <v>546</v>
      </c>
      <c r="S117" s="3">
        <v>4</v>
      </c>
      <c r="T117" s="3">
        <v>179</v>
      </c>
      <c r="U117" s="3">
        <v>90</v>
      </c>
      <c r="V117" s="3">
        <v>81</v>
      </c>
      <c r="W117" s="3">
        <v>14</v>
      </c>
      <c r="X117" s="3">
        <v>37.1</v>
      </c>
      <c r="Y117" s="3">
        <v>28.3</v>
      </c>
      <c r="Z117" s="3">
        <v>98</v>
      </c>
      <c r="AA117" s="3" t="s">
        <v>50</v>
      </c>
      <c r="AB117" s="3" t="s">
        <v>51</v>
      </c>
      <c r="AC117" s="3" t="s">
        <v>52</v>
      </c>
      <c r="AD117" s="3" t="s">
        <v>53</v>
      </c>
      <c r="AE117" s="3" t="s">
        <v>54</v>
      </c>
      <c r="AF117" s="3" t="s">
        <v>55</v>
      </c>
      <c r="AG117" s="3" t="s">
        <v>202</v>
      </c>
    </row>
    <row r="118" spans="1:33" x14ac:dyDescent="0.2">
      <c r="A118" s="2" t="s">
        <v>540</v>
      </c>
      <c r="B118" s="2" t="s">
        <v>547</v>
      </c>
      <c r="C118" s="2" t="s">
        <v>548</v>
      </c>
      <c r="D118" s="2" t="s">
        <v>60</v>
      </c>
      <c r="E118" s="2" t="s">
        <v>96</v>
      </c>
      <c r="F118" s="2" t="s">
        <v>38</v>
      </c>
      <c r="G118" s="2" t="s">
        <v>138</v>
      </c>
      <c r="H118" s="2" t="s">
        <v>543</v>
      </c>
      <c r="I118" s="2">
        <v>68</v>
      </c>
      <c r="J118" s="2" t="s">
        <v>41</v>
      </c>
      <c r="K118" s="2" t="s">
        <v>110</v>
      </c>
      <c r="L118" s="2" t="s">
        <v>141</v>
      </c>
      <c r="M118" s="2"/>
      <c r="N118" s="2" t="s">
        <v>81</v>
      </c>
      <c r="O118" s="2" t="s">
        <v>67</v>
      </c>
      <c r="P118" s="2" t="s">
        <v>68</v>
      </c>
      <c r="Q118" s="2" t="s">
        <v>69</v>
      </c>
      <c r="R118" s="2" t="s">
        <v>144</v>
      </c>
      <c r="S118" s="2">
        <v>1</v>
      </c>
      <c r="T118" s="2">
        <v>160</v>
      </c>
      <c r="U118" s="2">
        <v>84</v>
      </c>
      <c r="V118" s="2">
        <v>119</v>
      </c>
      <c r="W118" s="2">
        <v>21</v>
      </c>
      <c r="X118" s="2">
        <v>38.1</v>
      </c>
      <c r="Y118" s="2">
        <v>19.2</v>
      </c>
      <c r="Z118" s="2">
        <v>87</v>
      </c>
      <c r="AA118" s="2" t="s">
        <v>50</v>
      </c>
      <c r="AB118" s="2" t="s">
        <v>51</v>
      </c>
      <c r="AC118" s="2" t="s">
        <v>52</v>
      </c>
      <c r="AD118" s="2" t="s">
        <v>53</v>
      </c>
      <c r="AE118" s="2" t="s">
        <v>54</v>
      </c>
      <c r="AF118" s="2" t="s">
        <v>55</v>
      </c>
      <c r="AG118" s="2" t="s">
        <v>206</v>
      </c>
    </row>
    <row r="119" spans="1:33" x14ac:dyDescent="0.2">
      <c r="A119" s="3" t="s">
        <v>549</v>
      </c>
      <c r="B119" s="3" t="s">
        <v>550</v>
      </c>
      <c r="C119" s="4" t="s">
        <v>551</v>
      </c>
      <c r="D119" s="3" t="s">
        <v>103</v>
      </c>
      <c r="E119" s="3" t="s">
        <v>61</v>
      </c>
      <c r="F119" s="3" t="s">
        <v>189</v>
      </c>
      <c r="G119" s="3" t="s">
        <v>104</v>
      </c>
      <c r="H119" s="3" t="s">
        <v>552</v>
      </c>
      <c r="I119" s="4"/>
      <c r="J119" s="3" t="s">
        <v>41</v>
      </c>
      <c r="K119" s="3" t="s">
        <v>66</v>
      </c>
      <c r="L119" s="3" t="s">
        <v>45</v>
      </c>
      <c r="M119" s="3"/>
      <c r="N119" s="3"/>
      <c r="O119" s="3" t="s">
        <v>82</v>
      </c>
      <c r="P119" s="3" t="s">
        <v>83</v>
      </c>
      <c r="Q119" s="3" t="s">
        <v>69</v>
      </c>
      <c r="R119" s="3" t="s">
        <v>553</v>
      </c>
      <c r="S119" s="3">
        <v>4</v>
      </c>
      <c r="T119" s="4"/>
      <c r="U119" s="4">
        <v>56</v>
      </c>
      <c r="V119" s="3">
        <v>90</v>
      </c>
      <c r="W119" s="3">
        <v>16</v>
      </c>
      <c r="X119" s="3">
        <v>39.1</v>
      </c>
      <c r="Y119" s="4">
        <v>18</v>
      </c>
      <c r="Z119" s="3">
        <v>98</v>
      </c>
      <c r="AA119" s="3" t="s">
        <v>50</v>
      </c>
      <c r="AB119" s="3" t="s">
        <v>51</v>
      </c>
      <c r="AC119" s="3" t="s">
        <v>52</v>
      </c>
      <c r="AD119" s="3" t="s">
        <v>53</v>
      </c>
      <c r="AE119" s="3" t="s">
        <v>54</v>
      </c>
      <c r="AF119" s="3" t="s">
        <v>407</v>
      </c>
      <c r="AG119" s="3" t="s">
        <v>198</v>
      </c>
    </row>
    <row r="120" spans="1:33" x14ac:dyDescent="0.2">
      <c r="A120" s="2" t="s">
        <v>549</v>
      </c>
      <c r="B120" s="2" t="s">
        <v>554</v>
      </c>
      <c r="C120" s="4" t="s">
        <v>555</v>
      </c>
      <c r="D120" s="2" t="s">
        <v>95</v>
      </c>
      <c r="E120" s="2" t="s">
        <v>96</v>
      </c>
      <c r="F120" s="2" t="s">
        <v>148</v>
      </c>
      <c r="G120" s="2" t="s">
        <v>98</v>
      </c>
      <c r="H120" s="2" t="s">
        <v>552</v>
      </c>
      <c r="I120" s="4"/>
      <c r="J120" s="2" t="s">
        <v>41</v>
      </c>
      <c r="K120" s="2" t="s">
        <v>110</v>
      </c>
      <c r="L120" s="2" t="s">
        <v>45</v>
      </c>
      <c r="M120" s="2"/>
      <c r="N120" s="2"/>
      <c r="O120" s="2" t="s">
        <v>82</v>
      </c>
      <c r="P120" s="2" t="s">
        <v>83</v>
      </c>
      <c r="Q120" s="2" t="s">
        <v>69</v>
      </c>
      <c r="R120" s="2" t="s">
        <v>556</v>
      </c>
      <c r="S120" s="2">
        <v>1</v>
      </c>
      <c r="T120" s="4">
        <v>184</v>
      </c>
      <c r="U120" s="4">
        <v>69</v>
      </c>
      <c r="V120" s="2">
        <v>101</v>
      </c>
      <c r="W120" s="2">
        <v>26</v>
      </c>
      <c r="X120" s="2">
        <v>38.1</v>
      </c>
      <c r="Y120" s="4">
        <v>42</v>
      </c>
      <c r="Z120" s="2">
        <v>97</v>
      </c>
      <c r="AA120" s="2" t="s">
        <v>50</v>
      </c>
      <c r="AB120" s="2" t="s">
        <v>51</v>
      </c>
      <c r="AC120" s="2" t="s">
        <v>52</v>
      </c>
      <c r="AD120" s="2" t="s">
        <v>53</v>
      </c>
      <c r="AE120" s="2" t="s">
        <v>54</v>
      </c>
      <c r="AF120" s="2" t="s">
        <v>407</v>
      </c>
      <c r="AG120" s="2" t="s">
        <v>202</v>
      </c>
    </row>
    <row r="121" spans="1:33" x14ac:dyDescent="0.2">
      <c r="A121" s="3" t="s">
        <v>549</v>
      </c>
      <c r="B121" s="3" t="s">
        <v>557</v>
      </c>
      <c r="C121" s="3" t="s">
        <v>558</v>
      </c>
      <c r="D121" s="3" t="s">
        <v>88</v>
      </c>
      <c r="E121" s="3" t="s">
        <v>89</v>
      </c>
      <c r="F121" s="3" t="s">
        <v>75</v>
      </c>
      <c r="G121" s="3" t="s">
        <v>115</v>
      </c>
      <c r="H121" s="3" t="s">
        <v>552</v>
      </c>
      <c r="I121" s="3">
        <v>19</v>
      </c>
      <c r="J121" s="3" t="s">
        <v>41</v>
      </c>
      <c r="K121" s="3" t="s">
        <v>66</v>
      </c>
      <c r="L121" s="3" t="s">
        <v>45</v>
      </c>
      <c r="M121" s="3"/>
      <c r="N121" s="3"/>
      <c r="O121" s="3" t="s">
        <v>82</v>
      </c>
      <c r="P121" s="3" t="s">
        <v>83</v>
      </c>
      <c r="Q121" s="3" t="s">
        <v>69</v>
      </c>
      <c r="R121" s="3" t="s">
        <v>559</v>
      </c>
      <c r="S121" s="3">
        <v>4</v>
      </c>
      <c r="T121" s="3"/>
      <c r="U121" s="3">
        <v>106</v>
      </c>
      <c r="V121" s="3">
        <v>57</v>
      </c>
      <c r="W121" s="3">
        <v>20</v>
      </c>
      <c r="X121" s="3">
        <v>36.1</v>
      </c>
      <c r="Y121" s="3">
        <v>23.5</v>
      </c>
      <c r="Z121" s="3">
        <v>98</v>
      </c>
      <c r="AA121" s="3" t="s">
        <v>50</v>
      </c>
      <c r="AB121" s="3" t="s">
        <v>51</v>
      </c>
      <c r="AC121" s="3" t="s">
        <v>52</v>
      </c>
      <c r="AD121" s="3" t="s">
        <v>53</v>
      </c>
      <c r="AE121" s="3" t="s">
        <v>54</v>
      </c>
      <c r="AF121" s="3" t="s">
        <v>55</v>
      </c>
      <c r="AG121" s="3" t="s">
        <v>206</v>
      </c>
    </row>
    <row r="122" spans="1:33" x14ac:dyDescent="0.2">
      <c r="A122" s="2" t="s">
        <v>560</v>
      </c>
      <c r="B122" s="2" t="s">
        <v>561</v>
      </c>
      <c r="C122" s="2" t="s">
        <v>548</v>
      </c>
      <c r="D122" s="2" t="s">
        <v>88</v>
      </c>
      <c r="E122" s="2" t="s">
        <v>89</v>
      </c>
      <c r="F122" s="2" t="s">
        <v>97</v>
      </c>
      <c r="G122" s="2" t="s">
        <v>39</v>
      </c>
      <c r="H122" s="2" t="s">
        <v>562</v>
      </c>
      <c r="I122" s="2">
        <v>27</v>
      </c>
      <c r="J122" s="2" t="s">
        <v>65</v>
      </c>
      <c r="K122" s="2" t="s">
        <v>66</v>
      </c>
      <c r="L122" s="2" t="s">
        <v>141</v>
      </c>
      <c r="M122" s="2" t="s">
        <v>125</v>
      </c>
      <c r="N122" s="2"/>
      <c r="O122" s="2" t="s">
        <v>46</v>
      </c>
      <c r="P122" s="2" t="s">
        <v>47</v>
      </c>
      <c r="Q122" s="2" t="s">
        <v>48</v>
      </c>
      <c r="R122" s="2" t="s">
        <v>460</v>
      </c>
      <c r="S122" s="2">
        <v>1</v>
      </c>
      <c r="T122" s="2">
        <v>166</v>
      </c>
      <c r="U122" s="2">
        <v>96</v>
      </c>
      <c r="V122" s="2">
        <v>56</v>
      </c>
      <c r="W122" s="2">
        <v>24</v>
      </c>
      <c r="X122" s="2">
        <v>37.1</v>
      </c>
      <c r="Y122" s="2">
        <v>20.3</v>
      </c>
      <c r="Z122" s="2">
        <v>90</v>
      </c>
      <c r="AA122" s="2" t="s">
        <v>50</v>
      </c>
      <c r="AB122" s="2" t="s">
        <v>51</v>
      </c>
      <c r="AC122" s="2" t="s">
        <v>52</v>
      </c>
      <c r="AD122" s="2" t="s">
        <v>53</v>
      </c>
      <c r="AE122" s="2" t="s">
        <v>54</v>
      </c>
      <c r="AF122" s="2" t="s">
        <v>55</v>
      </c>
      <c r="AG122" s="2" t="s">
        <v>213</v>
      </c>
    </row>
    <row r="123" spans="1:33" x14ac:dyDescent="0.2">
      <c r="A123" s="3" t="s">
        <v>560</v>
      </c>
      <c r="B123" s="3" t="s">
        <v>563</v>
      </c>
      <c r="C123" s="3" t="s">
        <v>564</v>
      </c>
      <c r="D123" s="3" t="s">
        <v>60</v>
      </c>
      <c r="E123" s="3" t="s">
        <v>167</v>
      </c>
      <c r="F123" s="3" t="s">
        <v>38</v>
      </c>
      <c r="G123" s="3" t="s">
        <v>39</v>
      </c>
      <c r="H123" s="3" t="s">
        <v>562</v>
      </c>
      <c r="I123" s="3">
        <v>27</v>
      </c>
      <c r="J123" s="3" t="s">
        <v>65</v>
      </c>
      <c r="K123" s="3" t="s">
        <v>116</v>
      </c>
      <c r="L123" s="3" t="s">
        <v>141</v>
      </c>
      <c r="M123" s="3" t="s">
        <v>125</v>
      </c>
      <c r="N123" s="3"/>
      <c r="O123" s="3" t="s">
        <v>46</v>
      </c>
      <c r="P123" s="3" t="s">
        <v>47</v>
      </c>
      <c r="Q123" s="3" t="s">
        <v>48</v>
      </c>
      <c r="R123" s="3" t="s">
        <v>565</v>
      </c>
      <c r="S123" s="3">
        <v>4</v>
      </c>
      <c r="T123" s="3">
        <v>98</v>
      </c>
      <c r="U123" s="3">
        <v>71</v>
      </c>
      <c r="V123" s="3">
        <v>124</v>
      </c>
      <c r="W123" s="3">
        <v>20</v>
      </c>
      <c r="X123" s="3">
        <v>37.1</v>
      </c>
      <c r="Y123" s="3">
        <v>44.3</v>
      </c>
      <c r="Z123" s="3">
        <v>93</v>
      </c>
      <c r="AA123" s="3" t="s">
        <v>50</v>
      </c>
      <c r="AB123" s="3" t="s">
        <v>51</v>
      </c>
      <c r="AC123" s="3" t="s">
        <v>52</v>
      </c>
      <c r="AD123" s="3" t="s">
        <v>53</v>
      </c>
      <c r="AE123" s="3" t="s">
        <v>54</v>
      </c>
      <c r="AF123" s="3" t="s">
        <v>55</v>
      </c>
      <c r="AG123" s="3" t="s">
        <v>216</v>
      </c>
    </row>
    <row r="124" spans="1:33" x14ac:dyDescent="0.2">
      <c r="A124" s="2" t="s">
        <v>560</v>
      </c>
      <c r="B124" s="2" t="s">
        <v>566</v>
      </c>
      <c r="C124" s="2" t="s">
        <v>405</v>
      </c>
      <c r="D124" s="2" t="s">
        <v>103</v>
      </c>
      <c r="E124" s="2" t="s">
        <v>96</v>
      </c>
      <c r="F124" s="2" t="s">
        <v>219</v>
      </c>
      <c r="G124" s="2" t="s">
        <v>39</v>
      </c>
      <c r="H124" s="2" t="s">
        <v>562</v>
      </c>
      <c r="I124" s="2">
        <v>27</v>
      </c>
      <c r="J124" s="2" t="s">
        <v>65</v>
      </c>
      <c r="K124" s="2" t="s">
        <v>110</v>
      </c>
      <c r="L124" s="2" t="s">
        <v>141</v>
      </c>
      <c r="M124" s="2" t="s">
        <v>125</v>
      </c>
      <c r="N124" s="2"/>
      <c r="O124" s="2" t="s">
        <v>46</v>
      </c>
      <c r="P124" s="2" t="s">
        <v>47</v>
      </c>
      <c r="Q124" s="2" t="s">
        <v>48</v>
      </c>
      <c r="R124" s="2" t="s">
        <v>567</v>
      </c>
      <c r="S124" s="2">
        <v>3</v>
      </c>
      <c r="T124" s="2">
        <v>152</v>
      </c>
      <c r="U124" s="2">
        <v>99</v>
      </c>
      <c r="V124" s="2">
        <v>74</v>
      </c>
      <c r="W124" s="2">
        <v>14</v>
      </c>
      <c r="X124" s="2">
        <v>36</v>
      </c>
      <c r="Y124" s="2">
        <v>26.3</v>
      </c>
      <c r="Z124" s="2">
        <v>92</v>
      </c>
      <c r="AA124" s="2" t="s">
        <v>50</v>
      </c>
      <c r="AB124" s="2" t="s">
        <v>51</v>
      </c>
      <c r="AC124" s="2" t="s">
        <v>52</v>
      </c>
      <c r="AD124" s="2" t="s">
        <v>53</v>
      </c>
      <c r="AE124" s="2" t="s">
        <v>54</v>
      </c>
      <c r="AF124" s="2" t="s">
        <v>55</v>
      </c>
      <c r="AG124" s="2" t="s">
        <v>221</v>
      </c>
    </row>
    <row r="125" spans="1:33" x14ac:dyDescent="0.2">
      <c r="A125" s="3" t="s">
        <v>568</v>
      </c>
      <c r="B125" s="3" t="s">
        <v>569</v>
      </c>
      <c r="C125" s="3" t="s">
        <v>570</v>
      </c>
      <c r="D125" s="3" t="s">
        <v>36</v>
      </c>
      <c r="E125" s="3" t="s">
        <v>167</v>
      </c>
      <c r="F125" s="3" t="s">
        <v>219</v>
      </c>
      <c r="G125" s="3" t="s">
        <v>115</v>
      </c>
      <c r="H125" s="3" t="s">
        <v>571</v>
      </c>
      <c r="I125" s="3">
        <v>29</v>
      </c>
      <c r="J125" s="3" t="s">
        <v>41</v>
      </c>
      <c r="K125" s="3" t="s">
        <v>110</v>
      </c>
      <c r="L125" s="3" t="s">
        <v>79</v>
      </c>
      <c r="M125" s="3"/>
      <c r="N125" s="3" t="s">
        <v>45</v>
      </c>
      <c r="O125" s="3" t="s">
        <v>195</v>
      </c>
      <c r="P125" s="3" t="s">
        <v>196</v>
      </c>
      <c r="Q125" s="3" t="s">
        <v>69</v>
      </c>
      <c r="R125" s="3" t="s">
        <v>572</v>
      </c>
      <c r="S125" s="3">
        <v>2</v>
      </c>
      <c r="T125" s="3">
        <v>165</v>
      </c>
      <c r="U125" s="3">
        <v>98</v>
      </c>
      <c r="V125" s="3">
        <v>92</v>
      </c>
      <c r="W125" s="3">
        <v>28</v>
      </c>
      <c r="X125" s="3">
        <v>36.799999999999997</v>
      </c>
      <c r="Y125" s="3">
        <v>32.4</v>
      </c>
      <c r="Z125" s="3">
        <v>96</v>
      </c>
      <c r="AA125" s="3" t="s">
        <v>50</v>
      </c>
      <c r="AB125" s="3" t="s">
        <v>51</v>
      </c>
      <c r="AC125" s="3" t="s">
        <v>52</v>
      </c>
      <c r="AD125" s="3" t="s">
        <v>53</v>
      </c>
      <c r="AE125" s="3" t="s">
        <v>54</v>
      </c>
      <c r="AF125" s="3" t="s">
        <v>55</v>
      </c>
      <c r="AG125" s="3" t="s">
        <v>160</v>
      </c>
    </row>
    <row r="126" spans="1:33" x14ac:dyDescent="0.2">
      <c r="A126" s="2" t="s">
        <v>568</v>
      </c>
      <c r="B126" s="2" t="s">
        <v>573</v>
      </c>
      <c r="C126" s="2" t="s">
        <v>574</v>
      </c>
      <c r="D126" s="2" t="s">
        <v>103</v>
      </c>
      <c r="E126" s="2" t="s">
        <v>167</v>
      </c>
      <c r="F126" s="2" t="s">
        <v>75</v>
      </c>
      <c r="G126" s="2" t="s">
        <v>39</v>
      </c>
      <c r="H126" s="2" t="s">
        <v>571</v>
      </c>
      <c r="I126" s="2">
        <v>29</v>
      </c>
      <c r="J126" s="2" t="s">
        <v>41</v>
      </c>
      <c r="K126" s="2" t="s">
        <v>42</v>
      </c>
      <c r="L126" s="2" t="s">
        <v>79</v>
      </c>
      <c r="M126" s="2"/>
      <c r="N126" s="2" t="s">
        <v>45</v>
      </c>
      <c r="O126" s="2" t="s">
        <v>195</v>
      </c>
      <c r="P126" s="2" t="s">
        <v>196</v>
      </c>
      <c r="Q126" s="2" t="s">
        <v>69</v>
      </c>
      <c r="R126" s="2" t="s">
        <v>575</v>
      </c>
      <c r="S126" s="2">
        <v>2</v>
      </c>
      <c r="T126" s="2">
        <v>134</v>
      </c>
      <c r="U126" s="2">
        <v>80</v>
      </c>
      <c r="V126" s="2">
        <v>86</v>
      </c>
      <c r="W126" s="2">
        <v>13</v>
      </c>
      <c r="X126" s="2">
        <v>36.799999999999997</v>
      </c>
      <c r="Y126" s="2">
        <v>24.5</v>
      </c>
      <c r="Z126" s="2">
        <v>95</v>
      </c>
      <c r="AA126" s="2" t="s">
        <v>50</v>
      </c>
      <c r="AB126" s="2" t="s">
        <v>51</v>
      </c>
      <c r="AC126" s="2" t="s">
        <v>52</v>
      </c>
      <c r="AD126" s="2" t="s">
        <v>53</v>
      </c>
      <c r="AE126" s="2" t="s">
        <v>54</v>
      </c>
      <c r="AF126" s="2" t="s">
        <v>55</v>
      </c>
      <c r="AG126" s="2" t="s">
        <v>164</v>
      </c>
    </row>
    <row r="127" spans="1:33" x14ac:dyDescent="0.2">
      <c r="A127" s="3" t="s">
        <v>568</v>
      </c>
      <c r="B127" s="3" t="s">
        <v>576</v>
      </c>
      <c r="C127" s="3" t="s">
        <v>577</v>
      </c>
      <c r="D127" s="3" t="s">
        <v>36</v>
      </c>
      <c r="E127" s="3" t="s">
        <v>61</v>
      </c>
      <c r="F127" s="3" t="s">
        <v>132</v>
      </c>
      <c r="G127" s="3" t="s">
        <v>76</v>
      </c>
      <c r="H127" s="3" t="s">
        <v>571</v>
      </c>
      <c r="I127" s="3">
        <v>29</v>
      </c>
      <c r="J127" s="3" t="s">
        <v>41</v>
      </c>
      <c r="K127" s="3" t="s">
        <v>42</v>
      </c>
      <c r="L127" s="3" t="s">
        <v>79</v>
      </c>
      <c r="M127" s="3"/>
      <c r="N127" s="3" t="s">
        <v>45</v>
      </c>
      <c r="O127" s="3" t="s">
        <v>195</v>
      </c>
      <c r="P127" s="3" t="s">
        <v>196</v>
      </c>
      <c r="Q127" s="3" t="s">
        <v>69</v>
      </c>
      <c r="R127" s="3" t="s">
        <v>578</v>
      </c>
      <c r="S127" s="3">
        <v>3</v>
      </c>
      <c r="T127" s="3">
        <v>129</v>
      </c>
      <c r="U127" s="3">
        <v>107</v>
      </c>
      <c r="V127" s="3">
        <v>83</v>
      </c>
      <c r="W127" s="3">
        <v>19</v>
      </c>
      <c r="X127" s="3">
        <v>38.6</v>
      </c>
      <c r="Y127" s="3">
        <v>36.1</v>
      </c>
      <c r="Z127" s="3">
        <v>95</v>
      </c>
      <c r="AA127" s="3" t="s">
        <v>50</v>
      </c>
      <c r="AB127" s="3" t="s">
        <v>51</v>
      </c>
      <c r="AC127" s="3" t="s">
        <v>52</v>
      </c>
      <c r="AD127" s="3" t="s">
        <v>53</v>
      </c>
      <c r="AE127" s="3" t="s">
        <v>54</v>
      </c>
      <c r="AF127" s="3" t="s">
        <v>55</v>
      </c>
      <c r="AG127" s="3" t="s">
        <v>169</v>
      </c>
    </row>
    <row r="128" spans="1:33" x14ac:dyDescent="0.2">
      <c r="A128" s="2" t="s">
        <v>568</v>
      </c>
      <c r="B128" s="2" t="s">
        <v>579</v>
      </c>
      <c r="C128" s="2" t="s">
        <v>580</v>
      </c>
      <c r="D128" s="2" t="s">
        <v>103</v>
      </c>
      <c r="E128" s="2" t="s">
        <v>89</v>
      </c>
      <c r="F128" s="2" t="s">
        <v>148</v>
      </c>
      <c r="G128" s="2" t="s">
        <v>115</v>
      </c>
      <c r="H128" s="2" t="s">
        <v>571</v>
      </c>
      <c r="I128" s="2">
        <v>29</v>
      </c>
      <c r="J128" s="2" t="s">
        <v>41</v>
      </c>
      <c r="K128" s="2" t="s">
        <v>116</v>
      </c>
      <c r="L128" s="2" t="s">
        <v>79</v>
      </c>
      <c r="M128" s="2"/>
      <c r="N128" s="2" t="s">
        <v>45</v>
      </c>
      <c r="O128" s="2" t="s">
        <v>195</v>
      </c>
      <c r="P128" s="2" t="s">
        <v>196</v>
      </c>
      <c r="Q128" s="2" t="s">
        <v>69</v>
      </c>
      <c r="R128" s="2" t="s">
        <v>393</v>
      </c>
      <c r="S128" s="2">
        <v>1</v>
      </c>
      <c r="T128" s="2">
        <v>158</v>
      </c>
      <c r="U128" s="2">
        <v>84</v>
      </c>
      <c r="V128" s="2">
        <v>93</v>
      </c>
      <c r="W128" s="2">
        <v>16</v>
      </c>
      <c r="X128" s="2">
        <v>37.200000000000003</v>
      </c>
      <c r="Y128" s="2">
        <v>40.799999999999997</v>
      </c>
      <c r="Z128" s="2">
        <v>92</v>
      </c>
      <c r="AA128" s="2" t="s">
        <v>50</v>
      </c>
      <c r="AB128" s="2" t="s">
        <v>51</v>
      </c>
      <c r="AC128" s="2" t="s">
        <v>52</v>
      </c>
      <c r="AD128" s="2" t="s">
        <v>53</v>
      </c>
      <c r="AE128" s="2" t="s">
        <v>54</v>
      </c>
      <c r="AF128" s="2" t="s">
        <v>55</v>
      </c>
      <c r="AG128" s="2" t="s">
        <v>173</v>
      </c>
    </row>
    <row r="129" spans="1:33" x14ac:dyDescent="0.2">
      <c r="A129" s="3" t="s">
        <v>568</v>
      </c>
      <c r="B129" s="3" t="s">
        <v>581</v>
      </c>
      <c r="C129" s="3" t="s">
        <v>582</v>
      </c>
      <c r="D129" s="3" t="s">
        <v>36</v>
      </c>
      <c r="E129" s="3" t="s">
        <v>61</v>
      </c>
      <c r="F129" s="3" t="s">
        <v>132</v>
      </c>
      <c r="G129" s="3" t="s">
        <v>39</v>
      </c>
      <c r="H129" s="3" t="s">
        <v>571</v>
      </c>
      <c r="I129" s="3">
        <v>29</v>
      </c>
      <c r="J129" s="3" t="s">
        <v>41</v>
      </c>
      <c r="K129" s="3" t="s">
        <v>110</v>
      </c>
      <c r="L129" s="3" t="s">
        <v>79</v>
      </c>
      <c r="M129" s="3"/>
      <c r="N129" s="3" t="s">
        <v>45</v>
      </c>
      <c r="O129" s="3" t="s">
        <v>195</v>
      </c>
      <c r="P129" s="3" t="s">
        <v>196</v>
      </c>
      <c r="Q129" s="3" t="s">
        <v>69</v>
      </c>
      <c r="R129" s="3" t="s">
        <v>583</v>
      </c>
      <c r="S129" s="3">
        <v>4</v>
      </c>
      <c r="T129" s="3">
        <v>145</v>
      </c>
      <c r="U129" s="3">
        <v>112</v>
      </c>
      <c r="V129" s="3">
        <v>85</v>
      </c>
      <c r="W129" s="3">
        <v>23</v>
      </c>
      <c r="X129" s="3">
        <v>37.4</v>
      </c>
      <c r="Y129" s="3">
        <v>25.8</v>
      </c>
      <c r="Z129" s="3">
        <v>96</v>
      </c>
      <c r="AA129" s="3" t="s">
        <v>50</v>
      </c>
      <c r="AB129" s="3" t="s">
        <v>51</v>
      </c>
      <c r="AC129" s="3" t="s">
        <v>52</v>
      </c>
      <c r="AD129" s="3" t="s">
        <v>53</v>
      </c>
      <c r="AE129" s="3" t="s">
        <v>54</v>
      </c>
      <c r="AF129" s="3" t="s">
        <v>55</v>
      </c>
      <c r="AG129" s="3" t="s">
        <v>177</v>
      </c>
    </row>
    <row r="130" spans="1:33" x14ac:dyDescent="0.2">
      <c r="A130" s="2" t="s">
        <v>584</v>
      </c>
      <c r="B130" s="2" t="s">
        <v>585</v>
      </c>
      <c r="C130" s="2" t="s">
        <v>586</v>
      </c>
      <c r="D130" s="2" t="s">
        <v>60</v>
      </c>
      <c r="E130" s="2" t="s">
        <v>167</v>
      </c>
      <c r="F130" s="2" t="s">
        <v>189</v>
      </c>
      <c r="G130" s="2" t="s">
        <v>138</v>
      </c>
      <c r="H130" s="2" t="s">
        <v>587</v>
      </c>
      <c r="I130" s="2">
        <v>79</v>
      </c>
      <c r="J130" s="2" t="s">
        <v>65</v>
      </c>
      <c r="K130" s="2" t="s">
        <v>78</v>
      </c>
      <c r="L130" s="2" t="s">
        <v>141</v>
      </c>
      <c r="M130" s="2" t="s">
        <v>44</v>
      </c>
      <c r="N130" s="2" t="s">
        <v>81</v>
      </c>
      <c r="O130" s="2" t="s">
        <v>283</v>
      </c>
      <c r="P130" s="2" t="s">
        <v>284</v>
      </c>
      <c r="Q130" s="2" t="s">
        <v>69</v>
      </c>
      <c r="R130" s="2" t="s">
        <v>588</v>
      </c>
      <c r="S130" s="2">
        <v>4</v>
      </c>
      <c r="T130" s="2">
        <v>148</v>
      </c>
      <c r="U130" s="2">
        <v>110</v>
      </c>
      <c r="V130" s="2">
        <v>58</v>
      </c>
      <c r="W130" s="2">
        <v>16</v>
      </c>
      <c r="X130" s="2">
        <v>38.1</v>
      </c>
      <c r="Y130" s="2">
        <v>22.2</v>
      </c>
      <c r="Z130" s="2">
        <v>95</v>
      </c>
      <c r="AA130" s="2" t="s">
        <v>50</v>
      </c>
      <c r="AB130" s="2" t="s">
        <v>51</v>
      </c>
      <c r="AC130" s="2" t="s">
        <v>52</v>
      </c>
      <c r="AD130" s="2" t="s">
        <v>53</v>
      </c>
      <c r="AE130" s="2" t="s">
        <v>54</v>
      </c>
      <c r="AF130" s="2" t="s">
        <v>55</v>
      </c>
      <c r="AG130" s="2" t="s">
        <v>85</v>
      </c>
    </row>
    <row r="131" spans="1:33" x14ac:dyDescent="0.2">
      <c r="A131" s="3" t="s">
        <v>584</v>
      </c>
      <c r="B131" s="3" t="s">
        <v>589</v>
      </c>
      <c r="C131" s="3" t="s">
        <v>590</v>
      </c>
      <c r="D131" s="3" t="s">
        <v>36</v>
      </c>
      <c r="E131" s="3" t="s">
        <v>167</v>
      </c>
      <c r="F131" s="3" t="s">
        <v>219</v>
      </c>
      <c r="G131" s="3" t="s">
        <v>138</v>
      </c>
      <c r="H131" s="3" t="s">
        <v>587</v>
      </c>
      <c r="I131" s="3">
        <v>79</v>
      </c>
      <c r="J131" s="3" t="s">
        <v>65</v>
      </c>
      <c r="K131" s="3" t="s">
        <v>90</v>
      </c>
      <c r="L131" s="3" t="s">
        <v>141</v>
      </c>
      <c r="M131" s="3" t="s">
        <v>44</v>
      </c>
      <c r="N131" s="3" t="s">
        <v>81</v>
      </c>
      <c r="O131" s="3" t="s">
        <v>283</v>
      </c>
      <c r="P131" s="3" t="s">
        <v>284</v>
      </c>
      <c r="Q131" s="3" t="s">
        <v>69</v>
      </c>
      <c r="R131" s="3" t="s">
        <v>591</v>
      </c>
      <c r="S131" s="3">
        <v>4</v>
      </c>
      <c r="T131" s="3">
        <v>130</v>
      </c>
      <c r="U131" s="3">
        <v>101</v>
      </c>
      <c r="V131" s="3">
        <v>94</v>
      </c>
      <c r="W131" s="3">
        <v>20</v>
      </c>
      <c r="X131" s="3">
        <v>37.1</v>
      </c>
      <c r="Y131" s="3">
        <v>18.2</v>
      </c>
      <c r="Z131" s="3">
        <v>88</v>
      </c>
      <c r="AA131" s="3" t="s">
        <v>50</v>
      </c>
      <c r="AB131" s="3" t="s">
        <v>51</v>
      </c>
      <c r="AC131" s="3" t="s">
        <v>52</v>
      </c>
      <c r="AD131" s="3" t="s">
        <v>53</v>
      </c>
      <c r="AE131" s="3" t="s">
        <v>54</v>
      </c>
      <c r="AF131" s="3" t="s">
        <v>55</v>
      </c>
      <c r="AG131" s="3" t="s">
        <v>92</v>
      </c>
    </row>
    <row r="132" spans="1:33" x14ac:dyDescent="0.2">
      <c r="A132" s="2" t="s">
        <v>584</v>
      </c>
      <c r="B132" s="2" t="s">
        <v>592</v>
      </c>
      <c r="C132" s="2" t="s">
        <v>593</v>
      </c>
      <c r="D132" s="2" t="s">
        <v>60</v>
      </c>
      <c r="E132" s="2" t="s">
        <v>61</v>
      </c>
      <c r="F132" s="2" t="s">
        <v>189</v>
      </c>
      <c r="G132" s="2" t="s">
        <v>115</v>
      </c>
      <c r="H132" s="2" t="s">
        <v>587</v>
      </c>
      <c r="I132" s="2">
        <v>79</v>
      </c>
      <c r="J132" s="2" t="s">
        <v>65</v>
      </c>
      <c r="K132" s="2" t="s">
        <v>90</v>
      </c>
      <c r="L132" s="2" t="s">
        <v>141</v>
      </c>
      <c r="M132" s="2" t="s">
        <v>44</v>
      </c>
      <c r="N132" s="2" t="s">
        <v>81</v>
      </c>
      <c r="O132" s="2" t="s">
        <v>283</v>
      </c>
      <c r="P132" s="2" t="s">
        <v>284</v>
      </c>
      <c r="Q132" s="2" t="s">
        <v>69</v>
      </c>
      <c r="R132" s="2" t="s">
        <v>460</v>
      </c>
      <c r="S132" s="2">
        <v>1</v>
      </c>
      <c r="T132" s="2">
        <v>126</v>
      </c>
      <c r="U132" s="2">
        <v>61</v>
      </c>
      <c r="V132" s="2">
        <v>104</v>
      </c>
      <c r="W132" s="2">
        <v>19</v>
      </c>
      <c r="X132" s="2">
        <v>36.200000000000003</v>
      </c>
      <c r="Y132" s="2">
        <v>18.8</v>
      </c>
      <c r="Z132" s="2">
        <v>96</v>
      </c>
      <c r="AA132" s="2" t="s">
        <v>50</v>
      </c>
      <c r="AB132" s="2" t="s">
        <v>51</v>
      </c>
      <c r="AC132" s="2" t="s">
        <v>52</v>
      </c>
      <c r="AD132" s="2" t="s">
        <v>53</v>
      </c>
      <c r="AE132" s="2" t="s">
        <v>54</v>
      </c>
      <c r="AF132" s="2" t="s">
        <v>55</v>
      </c>
      <c r="AG132" s="2" t="s">
        <v>100</v>
      </c>
    </row>
    <row r="133" spans="1:33" x14ac:dyDescent="0.2">
      <c r="A133" s="3" t="s">
        <v>584</v>
      </c>
      <c r="B133" s="3" t="s">
        <v>594</v>
      </c>
      <c r="C133" s="3" t="s">
        <v>595</v>
      </c>
      <c r="D133" s="3" t="s">
        <v>95</v>
      </c>
      <c r="E133" s="3" t="s">
        <v>37</v>
      </c>
      <c r="F133" s="3" t="s">
        <v>189</v>
      </c>
      <c r="G133" s="3" t="s">
        <v>138</v>
      </c>
      <c r="H133" s="3" t="s">
        <v>587</v>
      </c>
      <c r="I133" s="3">
        <v>79</v>
      </c>
      <c r="J133" s="3" t="s">
        <v>65</v>
      </c>
      <c r="K133" s="3" t="s">
        <v>42</v>
      </c>
      <c r="L133" s="3" t="s">
        <v>141</v>
      </c>
      <c r="M133" s="3" t="s">
        <v>44</v>
      </c>
      <c r="N133" s="3" t="s">
        <v>81</v>
      </c>
      <c r="O133" s="3" t="s">
        <v>283</v>
      </c>
      <c r="P133" s="3" t="s">
        <v>284</v>
      </c>
      <c r="Q133" s="3" t="s">
        <v>69</v>
      </c>
      <c r="R133" s="3" t="s">
        <v>596</v>
      </c>
      <c r="S133" s="3">
        <v>4</v>
      </c>
      <c r="T133" s="3">
        <v>125</v>
      </c>
      <c r="U133" s="3">
        <v>81</v>
      </c>
      <c r="V133" s="3">
        <v>85</v>
      </c>
      <c r="W133" s="3">
        <v>25</v>
      </c>
      <c r="X133" s="3">
        <v>38</v>
      </c>
      <c r="Y133" s="3">
        <v>22.8</v>
      </c>
      <c r="Z133" s="3">
        <v>96</v>
      </c>
      <c r="AA133" s="3" t="s">
        <v>50</v>
      </c>
      <c r="AB133" s="3" t="s">
        <v>51</v>
      </c>
      <c r="AC133" s="3" t="s">
        <v>52</v>
      </c>
      <c r="AD133" s="3" t="s">
        <v>53</v>
      </c>
      <c r="AE133" s="3" t="s">
        <v>54</v>
      </c>
      <c r="AF133" s="3" t="s">
        <v>55</v>
      </c>
      <c r="AG133" s="3" t="s">
        <v>106</v>
      </c>
    </row>
    <row r="134" spans="1:33" x14ac:dyDescent="0.2">
      <c r="A134" s="2" t="s">
        <v>584</v>
      </c>
      <c r="B134" s="2" t="s">
        <v>597</v>
      </c>
      <c r="C134" s="2" t="s">
        <v>598</v>
      </c>
      <c r="D134" s="2" t="s">
        <v>95</v>
      </c>
      <c r="E134" s="2" t="s">
        <v>89</v>
      </c>
      <c r="F134" s="2" t="s">
        <v>109</v>
      </c>
      <c r="G134" s="2" t="s">
        <v>39</v>
      </c>
      <c r="H134" s="2" t="s">
        <v>587</v>
      </c>
      <c r="I134" s="2">
        <v>79</v>
      </c>
      <c r="J134" s="2" t="s">
        <v>65</v>
      </c>
      <c r="K134" s="2" t="s">
        <v>90</v>
      </c>
      <c r="L134" s="2" t="s">
        <v>141</v>
      </c>
      <c r="M134" s="2" t="s">
        <v>44</v>
      </c>
      <c r="N134" s="2" t="s">
        <v>81</v>
      </c>
      <c r="O134" s="2" t="s">
        <v>283</v>
      </c>
      <c r="P134" s="2" t="s">
        <v>284</v>
      </c>
      <c r="Q134" s="2" t="s">
        <v>69</v>
      </c>
      <c r="R134" s="2" t="s">
        <v>234</v>
      </c>
      <c r="S134" s="2">
        <v>1</v>
      </c>
      <c r="T134" s="2">
        <v>158</v>
      </c>
      <c r="U134" s="2">
        <v>103</v>
      </c>
      <c r="V134" s="2">
        <v>93</v>
      </c>
      <c r="W134" s="2">
        <v>25</v>
      </c>
      <c r="X134" s="2">
        <v>37.700000000000003</v>
      </c>
      <c r="Y134" s="2">
        <v>27.9</v>
      </c>
      <c r="Z134" s="2">
        <v>90</v>
      </c>
      <c r="AA134" s="2" t="s">
        <v>50</v>
      </c>
      <c r="AB134" s="2" t="s">
        <v>51</v>
      </c>
      <c r="AC134" s="2" t="s">
        <v>52</v>
      </c>
      <c r="AD134" s="2" t="s">
        <v>53</v>
      </c>
      <c r="AE134" s="2" t="s">
        <v>54</v>
      </c>
      <c r="AF134" s="2" t="s">
        <v>55</v>
      </c>
      <c r="AG134" s="2" t="s">
        <v>112</v>
      </c>
    </row>
    <row r="135" spans="1:33" x14ac:dyDescent="0.2">
      <c r="A135" s="3" t="s">
        <v>584</v>
      </c>
      <c r="B135" s="3" t="s">
        <v>599</v>
      </c>
      <c r="C135" s="3" t="s">
        <v>600</v>
      </c>
      <c r="D135" s="3" t="s">
        <v>36</v>
      </c>
      <c r="E135" s="3" t="s">
        <v>37</v>
      </c>
      <c r="F135" s="3" t="s">
        <v>189</v>
      </c>
      <c r="G135" s="3" t="s">
        <v>104</v>
      </c>
      <c r="H135" s="3" t="s">
        <v>587</v>
      </c>
      <c r="I135" s="3">
        <v>79</v>
      </c>
      <c r="J135" s="3" t="s">
        <v>65</v>
      </c>
      <c r="K135" s="3" t="s">
        <v>110</v>
      </c>
      <c r="L135" s="3" t="s">
        <v>141</v>
      </c>
      <c r="M135" s="3" t="s">
        <v>44</v>
      </c>
      <c r="N135" s="3" t="s">
        <v>81</v>
      </c>
      <c r="O135" s="3" t="s">
        <v>283</v>
      </c>
      <c r="P135" s="3" t="s">
        <v>284</v>
      </c>
      <c r="Q135" s="3" t="s">
        <v>69</v>
      </c>
      <c r="R135" s="3" t="s">
        <v>601</v>
      </c>
      <c r="S135" s="3">
        <v>1</v>
      </c>
      <c r="T135" s="3">
        <v>148</v>
      </c>
      <c r="U135" s="3">
        <v>76</v>
      </c>
      <c r="V135" s="3">
        <v>113</v>
      </c>
      <c r="W135" s="3">
        <v>22</v>
      </c>
      <c r="X135" s="3">
        <v>38.6</v>
      </c>
      <c r="Y135" s="3">
        <v>37.6</v>
      </c>
      <c r="Z135" s="3">
        <v>91</v>
      </c>
      <c r="AA135" s="3" t="s">
        <v>50</v>
      </c>
      <c r="AB135" s="3" t="s">
        <v>51</v>
      </c>
      <c r="AC135" s="3" t="s">
        <v>52</v>
      </c>
      <c r="AD135" s="3" t="s">
        <v>53</v>
      </c>
      <c r="AE135" s="3" t="s">
        <v>54</v>
      </c>
      <c r="AF135" s="3" t="s">
        <v>55</v>
      </c>
      <c r="AG135" s="3" t="s">
        <v>118</v>
      </c>
    </row>
    <row r="136" spans="1:33" x14ac:dyDescent="0.2">
      <c r="A136" s="2" t="s">
        <v>602</v>
      </c>
      <c r="B136" s="2" t="s">
        <v>603</v>
      </c>
      <c r="C136" s="2" t="s">
        <v>604</v>
      </c>
      <c r="D136" s="2" t="s">
        <v>60</v>
      </c>
      <c r="E136" s="2" t="s">
        <v>96</v>
      </c>
      <c r="F136" s="2" t="s">
        <v>38</v>
      </c>
      <c r="G136" s="2" t="s">
        <v>138</v>
      </c>
      <c r="H136" s="2" t="s">
        <v>605</v>
      </c>
      <c r="I136" s="2">
        <v>65</v>
      </c>
      <c r="J136" s="2" t="s">
        <v>41</v>
      </c>
      <c r="K136" s="2" t="s">
        <v>66</v>
      </c>
      <c r="L136" s="2" t="s">
        <v>141</v>
      </c>
      <c r="M136" s="2" t="s">
        <v>80</v>
      </c>
      <c r="N136" s="2"/>
      <c r="O136" s="2" t="s">
        <v>283</v>
      </c>
      <c r="P136" s="2" t="s">
        <v>284</v>
      </c>
      <c r="Q136" s="2" t="s">
        <v>69</v>
      </c>
      <c r="R136" s="2" t="s">
        <v>606</v>
      </c>
      <c r="S136" s="2">
        <v>3</v>
      </c>
      <c r="T136" s="2">
        <v>152</v>
      </c>
      <c r="U136" s="2">
        <v>97</v>
      </c>
      <c r="V136" s="2">
        <v>98</v>
      </c>
      <c r="W136" s="2">
        <v>28</v>
      </c>
      <c r="X136" s="2">
        <v>37.799999999999997</v>
      </c>
      <c r="Y136" s="2">
        <v>31.5</v>
      </c>
      <c r="Z136" s="2">
        <v>89</v>
      </c>
      <c r="AA136" s="2" t="s">
        <v>50</v>
      </c>
      <c r="AB136" s="2" t="s">
        <v>51</v>
      </c>
      <c r="AC136" s="2" t="s">
        <v>52</v>
      </c>
      <c r="AD136" s="2" t="s">
        <v>53</v>
      </c>
      <c r="AE136" s="2" t="s">
        <v>54</v>
      </c>
      <c r="AF136" s="2" t="s">
        <v>55</v>
      </c>
      <c r="AG136" s="2" t="s">
        <v>394</v>
      </c>
    </row>
    <row r="137" spans="1:33" x14ac:dyDescent="0.2">
      <c r="A137" s="3" t="s">
        <v>602</v>
      </c>
      <c r="B137" s="3" t="s">
        <v>607</v>
      </c>
      <c r="C137" s="3" t="s">
        <v>608</v>
      </c>
      <c r="D137" s="3" t="s">
        <v>60</v>
      </c>
      <c r="E137" s="3" t="s">
        <v>61</v>
      </c>
      <c r="F137" s="3" t="s">
        <v>62</v>
      </c>
      <c r="G137" s="3" t="s">
        <v>123</v>
      </c>
      <c r="H137" s="3" t="s">
        <v>605</v>
      </c>
      <c r="I137" s="3">
        <v>65</v>
      </c>
      <c r="J137" s="3" t="s">
        <v>41</v>
      </c>
      <c r="K137" s="3" t="s">
        <v>42</v>
      </c>
      <c r="L137" s="3" t="s">
        <v>141</v>
      </c>
      <c r="M137" s="3" t="s">
        <v>80</v>
      </c>
      <c r="N137" s="3"/>
      <c r="O137" s="3" t="s">
        <v>283</v>
      </c>
      <c r="P137" s="3" t="s">
        <v>284</v>
      </c>
      <c r="Q137" s="3" t="s">
        <v>69</v>
      </c>
      <c r="R137" s="3" t="s">
        <v>393</v>
      </c>
      <c r="S137" s="3">
        <v>1</v>
      </c>
      <c r="T137" s="3">
        <v>182</v>
      </c>
      <c r="U137" s="3">
        <v>85</v>
      </c>
      <c r="V137" s="3">
        <v>87</v>
      </c>
      <c r="W137" s="3">
        <v>23</v>
      </c>
      <c r="X137" s="3">
        <v>37.299999999999997</v>
      </c>
      <c r="Y137" s="3">
        <v>41.4</v>
      </c>
      <c r="Z137" s="3">
        <v>93</v>
      </c>
      <c r="AA137" s="3" t="s">
        <v>50</v>
      </c>
      <c r="AB137" s="3" t="s">
        <v>51</v>
      </c>
      <c r="AC137" s="3" t="s">
        <v>52</v>
      </c>
      <c r="AD137" s="3" t="s">
        <v>53</v>
      </c>
      <c r="AE137" s="3" t="s">
        <v>54</v>
      </c>
      <c r="AF137" s="3" t="s">
        <v>55</v>
      </c>
      <c r="AG137" s="3" t="s">
        <v>399</v>
      </c>
    </row>
    <row r="138" spans="1:33" x14ac:dyDescent="0.2">
      <c r="A138" s="2" t="s">
        <v>602</v>
      </c>
      <c r="B138" s="2" t="s">
        <v>609</v>
      </c>
      <c r="C138" s="2" t="s">
        <v>293</v>
      </c>
      <c r="D138" s="2" t="s">
        <v>88</v>
      </c>
      <c r="E138" s="2" t="s">
        <v>167</v>
      </c>
      <c r="F138" s="2" t="s">
        <v>148</v>
      </c>
      <c r="G138" s="2" t="s">
        <v>123</v>
      </c>
      <c r="H138" s="2" t="s">
        <v>605</v>
      </c>
      <c r="I138" s="2">
        <v>65</v>
      </c>
      <c r="J138" s="2" t="s">
        <v>41</v>
      </c>
      <c r="K138" s="2" t="s">
        <v>66</v>
      </c>
      <c r="L138" s="2" t="s">
        <v>141</v>
      </c>
      <c r="M138" s="2" t="s">
        <v>80</v>
      </c>
      <c r="N138" s="2"/>
      <c r="O138" s="2" t="s">
        <v>283</v>
      </c>
      <c r="P138" s="2" t="s">
        <v>284</v>
      </c>
      <c r="Q138" s="2" t="s">
        <v>69</v>
      </c>
      <c r="R138" s="2" t="s">
        <v>234</v>
      </c>
      <c r="S138" s="2">
        <v>1</v>
      </c>
      <c r="T138" s="2">
        <v>143</v>
      </c>
      <c r="U138" s="2">
        <v>65</v>
      </c>
      <c r="V138" s="2">
        <v>84</v>
      </c>
      <c r="W138" s="2">
        <v>24</v>
      </c>
      <c r="X138" s="2">
        <v>38.5</v>
      </c>
      <c r="Y138" s="2">
        <v>33.200000000000003</v>
      </c>
      <c r="Z138" s="2">
        <v>88</v>
      </c>
      <c r="AA138" s="2" t="s">
        <v>50</v>
      </c>
      <c r="AB138" s="2" t="s">
        <v>51</v>
      </c>
      <c r="AC138" s="2" t="s">
        <v>52</v>
      </c>
      <c r="AD138" s="2" t="s">
        <v>53</v>
      </c>
      <c r="AE138" s="2" t="s">
        <v>54</v>
      </c>
      <c r="AF138" s="2" t="s">
        <v>55</v>
      </c>
      <c r="AG138" s="2" t="s">
        <v>403</v>
      </c>
    </row>
    <row r="139" spans="1:33" x14ac:dyDescent="0.2">
      <c r="A139" s="3" t="s">
        <v>602</v>
      </c>
      <c r="B139" s="3" t="s">
        <v>610</v>
      </c>
      <c r="C139" s="3" t="s">
        <v>611</v>
      </c>
      <c r="D139" s="3" t="s">
        <v>36</v>
      </c>
      <c r="E139" s="3" t="s">
        <v>167</v>
      </c>
      <c r="F139" s="3" t="s">
        <v>122</v>
      </c>
      <c r="G139" s="3" t="s">
        <v>98</v>
      </c>
      <c r="H139" s="3" t="s">
        <v>605</v>
      </c>
      <c r="I139" s="3">
        <v>65</v>
      </c>
      <c r="J139" s="3" t="s">
        <v>41</v>
      </c>
      <c r="K139" s="3" t="s">
        <v>66</v>
      </c>
      <c r="L139" s="3" t="s">
        <v>141</v>
      </c>
      <c r="M139" s="3" t="s">
        <v>80</v>
      </c>
      <c r="N139" s="3"/>
      <c r="O139" s="3" t="s">
        <v>283</v>
      </c>
      <c r="P139" s="3" t="s">
        <v>284</v>
      </c>
      <c r="Q139" s="3" t="s">
        <v>69</v>
      </c>
      <c r="R139" s="3" t="s">
        <v>612</v>
      </c>
      <c r="S139" s="3">
        <v>1</v>
      </c>
      <c r="T139" s="3">
        <v>135</v>
      </c>
      <c r="U139" s="3">
        <v>68</v>
      </c>
      <c r="V139" s="3">
        <v>82</v>
      </c>
      <c r="W139" s="3">
        <v>24</v>
      </c>
      <c r="X139" s="3">
        <v>38.1</v>
      </c>
      <c r="Y139" s="3">
        <v>24.6</v>
      </c>
      <c r="Z139" s="3">
        <v>98</v>
      </c>
      <c r="AA139" s="3" t="s">
        <v>50</v>
      </c>
      <c r="AB139" s="3" t="s">
        <v>51</v>
      </c>
      <c r="AC139" s="3" t="s">
        <v>52</v>
      </c>
      <c r="AD139" s="3" t="s">
        <v>53</v>
      </c>
      <c r="AE139" s="3" t="s">
        <v>54</v>
      </c>
      <c r="AF139" s="3" t="s">
        <v>55</v>
      </c>
      <c r="AG139" s="3" t="s">
        <v>408</v>
      </c>
    </row>
    <row r="140" spans="1:33" x14ac:dyDescent="0.2">
      <c r="A140" s="2" t="s">
        <v>613</v>
      </c>
      <c r="B140" s="2" t="s">
        <v>614</v>
      </c>
      <c r="C140" s="2" t="s">
        <v>615</v>
      </c>
      <c r="D140" s="2" t="s">
        <v>95</v>
      </c>
      <c r="E140" s="2" t="s">
        <v>37</v>
      </c>
      <c r="F140" s="2" t="s">
        <v>62</v>
      </c>
      <c r="G140" s="2" t="s">
        <v>115</v>
      </c>
      <c r="H140" s="2" t="s">
        <v>616</v>
      </c>
      <c r="I140" s="2">
        <v>48</v>
      </c>
      <c r="J140" s="2" t="s">
        <v>41</v>
      </c>
      <c r="K140" s="2" t="s">
        <v>116</v>
      </c>
      <c r="L140" s="2" t="s">
        <v>141</v>
      </c>
      <c r="M140" s="2" t="s">
        <v>80</v>
      </c>
      <c r="N140" s="2" t="s">
        <v>182</v>
      </c>
      <c r="O140" s="2" t="s">
        <v>328</v>
      </c>
      <c r="P140" s="2" t="s">
        <v>329</v>
      </c>
      <c r="Q140" s="2" t="s">
        <v>69</v>
      </c>
      <c r="R140" s="2" t="s">
        <v>617</v>
      </c>
      <c r="S140" s="2">
        <v>3</v>
      </c>
      <c r="T140" s="2">
        <v>167</v>
      </c>
      <c r="U140" s="2">
        <v>89</v>
      </c>
      <c r="V140" s="2">
        <v>90</v>
      </c>
      <c r="W140" s="2">
        <v>22</v>
      </c>
      <c r="X140" s="2">
        <v>36.5</v>
      </c>
      <c r="Y140" s="2">
        <v>45.4</v>
      </c>
      <c r="Z140" s="2">
        <v>91</v>
      </c>
      <c r="AA140" s="2" t="s">
        <v>50</v>
      </c>
      <c r="AB140" s="2" t="s">
        <v>51</v>
      </c>
      <c r="AC140" s="2" t="s">
        <v>52</v>
      </c>
      <c r="AD140" s="2" t="s">
        <v>53</v>
      </c>
      <c r="AE140" s="2" t="s">
        <v>54</v>
      </c>
      <c r="AF140" s="2" t="s">
        <v>55</v>
      </c>
      <c r="AG140" s="2" t="s">
        <v>85</v>
      </c>
    </row>
    <row r="141" spans="1:33" x14ac:dyDescent="0.2">
      <c r="A141" s="3" t="s">
        <v>613</v>
      </c>
      <c r="B141" s="3" t="s">
        <v>618</v>
      </c>
      <c r="C141" s="3" t="s">
        <v>619</v>
      </c>
      <c r="D141" s="3" t="s">
        <v>60</v>
      </c>
      <c r="E141" s="3" t="s">
        <v>37</v>
      </c>
      <c r="F141" s="3" t="s">
        <v>132</v>
      </c>
      <c r="G141" s="3" t="s">
        <v>104</v>
      </c>
      <c r="H141" s="3" t="s">
        <v>616</v>
      </c>
      <c r="I141" s="3">
        <v>48</v>
      </c>
      <c r="J141" s="3" t="s">
        <v>41</v>
      </c>
      <c r="K141" s="3" t="s">
        <v>116</v>
      </c>
      <c r="L141" s="3" t="s">
        <v>141</v>
      </c>
      <c r="M141" s="3" t="s">
        <v>80</v>
      </c>
      <c r="N141" s="3" t="s">
        <v>182</v>
      </c>
      <c r="O141" s="3" t="s">
        <v>328</v>
      </c>
      <c r="P141" s="3" t="s">
        <v>329</v>
      </c>
      <c r="Q141" s="3" t="s">
        <v>69</v>
      </c>
      <c r="R141" s="3" t="s">
        <v>620</v>
      </c>
      <c r="S141" s="3">
        <v>3</v>
      </c>
      <c r="T141" s="3">
        <v>117</v>
      </c>
      <c r="U141" s="3">
        <v>98</v>
      </c>
      <c r="V141" s="3">
        <v>112</v>
      </c>
      <c r="W141" s="3">
        <v>24</v>
      </c>
      <c r="X141" s="3">
        <v>38.200000000000003</v>
      </c>
      <c r="Y141" s="3">
        <v>31.4</v>
      </c>
      <c r="Z141" s="3">
        <v>95</v>
      </c>
      <c r="AA141" s="3" t="s">
        <v>50</v>
      </c>
      <c r="AB141" s="3" t="s">
        <v>51</v>
      </c>
      <c r="AC141" s="3" t="s">
        <v>52</v>
      </c>
      <c r="AD141" s="3" t="s">
        <v>53</v>
      </c>
      <c r="AE141" s="3" t="s">
        <v>54</v>
      </c>
      <c r="AF141" s="3" t="s">
        <v>55</v>
      </c>
      <c r="AG141" s="3" t="s">
        <v>92</v>
      </c>
    </row>
    <row r="142" spans="1:33" x14ac:dyDescent="0.2">
      <c r="A142" s="2" t="s">
        <v>613</v>
      </c>
      <c r="B142" s="2" t="s">
        <v>621</v>
      </c>
      <c r="C142" s="2" t="s">
        <v>473</v>
      </c>
      <c r="D142" s="2" t="s">
        <v>103</v>
      </c>
      <c r="E142" s="2" t="s">
        <v>96</v>
      </c>
      <c r="F142" s="2" t="s">
        <v>189</v>
      </c>
      <c r="G142" s="2" t="s">
        <v>98</v>
      </c>
      <c r="H142" s="2" t="s">
        <v>616</v>
      </c>
      <c r="I142" s="2">
        <v>48</v>
      </c>
      <c r="J142" s="2" t="s">
        <v>41</v>
      </c>
      <c r="K142" s="2" t="s">
        <v>42</v>
      </c>
      <c r="L142" s="2" t="s">
        <v>141</v>
      </c>
      <c r="M142" s="2" t="s">
        <v>80</v>
      </c>
      <c r="N142" s="2" t="s">
        <v>182</v>
      </c>
      <c r="O142" s="2" t="s">
        <v>328</v>
      </c>
      <c r="P142" s="2" t="s">
        <v>329</v>
      </c>
      <c r="Q142" s="2" t="s">
        <v>69</v>
      </c>
      <c r="R142" s="2" t="s">
        <v>622</v>
      </c>
      <c r="S142" s="2">
        <v>3</v>
      </c>
      <c r="T142" s="2">
        <v>136</v>
      </c>
      <c r="U142" s="2">
        <v>84</v>
      </c>
      <c r="V142" s="2">
        <v>94</v>
      </c>
      <c r="W142" s="2">
        <v>26</v>
      </c>
      <c r="X142" s="2">
        <v>38.700000000000003</v>
      </c>
      <c r="Y142" s="2">
        <v>20.2</v>
      </c>
      <c r="Z142" s="2">
        <v>100</v>
      </c>
      <c r="AA142" s="2" t="s">
        <v>50</v>
      </c>
      <c r="AB142" s="2" t="s">
        <v>51</v>
      </c>
      <c r="AC142" s="2" t="s">
        <v>52</v>
      </c>
      <c r="AD142" s="2" t="s">
        <v>53</v>
      </c>
      <c r="AE142" s="2" t="s">
        <v>54</v>
      </c>
      <c r="AF142" s="2" t="s">
        <v>55</v>
      </c>
      <c r="AG142" s="2" t="s">
        <v>100</v>
      </c>
    </row>
    <row r="143" spans="1:33" x14ac:dyDescent="0.2">
      <c r="A143" s="3" t="s">
        <v>613</v>
      </c>
      <c r="B143" s="3" t="s">
        <v>623</v>
      </c>
      <c r="C143" s="3" t="s">
        <v>624</v>
      </c>
      <c r="D143" s="3" t="s">
        <v>60</v>
      </c>
      <c r="E143" s="3" t="s">
        <v>96</v>
      </c>
      <c r="F143" s="3" t="s">
        <v>75</v>
      </c>
      <c r="G143" s="3" t="s">
        <v>63</v>
      </c>
      <c r="H143" s="3" t="s">
        <v>616</v>
      </c>
      <c r="I143" s="3">
        <v>48</v>
      </c>
      <c r="J143" s="3" t="s">
        <v>41</v>
      </c>
      <c r="K143" s="3" t="s">
        <v>66</v>
      </c>
      <c r="L143" s="3" t="s">
        <v>141</v>
      </c>
      <c r="M143" s="3" t="s">
        <v>80</v>
      </c>
      <c r="N143" s="3" t="s">
        <v>182</v>
      </c>
      <c r="O143" s="3" t="s">
        <v>328</v>
      </c>
      <c r="P143" s="3" t="s">
        <v>329</v>
      </c>
      <c r="Q143" s="3" t="s">
        <v>69</v>
      </c>
      <c r="R143" s="3" t="s">
        <v>144</v>
      </c>
      <c r="S143" s="3">
        <v>1</v>
      </c>
      <c r="T143" s="3">
        <v>170</v>
      </c>
      <c r="U143" s="3">
        <v>75</v>
      </c>
      <c r="V143" s="3">
        <v>93</v>
      </c>
      <c r="W143" s="3">
        <v>21</v>
      </c>
      <c r="X143" s="3">
        <v>37.6</v>
      </c>
      <c r="Y143" s="3">
        <v>27.3</v>
      </c>
      <c r="Z143" s="3">
        <v>96</v>
      </c>
      <c r="AA143" s="3" t="s">
        <v>50</v>
      </c>
      <c r="AB143" s="3" t="s">
        <v>51</v>
      </c>
      <c r="AC143" s="3" t="s">
        <v>52</v>
      </c>
      <c r="AD143" s="3" t="s">
        <v>53</v>
      </c>
      <c r="AE143" s="3" t="s">
        <v>54</v>
      </c>
      <c r="AF143" s="3" t="s">
        <v>55</v>
      </c>
      <c r="AG143" s="3" t="s">
        <v>106</v>
      </c>
    </row>
    <row r="144" spans="1:33" x14ac:dyDescent="0.2">
      <c r="A144" s="2" t="s">
        <v>613</v>
      </c>
      <c r="B144" s="2" t="s">
        <v>625</v>
      </c>
      <c r="C144" s="2" t="s">
        <v>626</v>
      </c>
      <c r="D144" s="2" t="s">
        <v>36</v>
      </c>
      <c r="E144" s="2" t="s">
        <v>167</v>
      </c>
      <c r="F144" s="2" t="s">
        <v>122</v>
      </c>
      <c r="G144" s="2" t="s">
        <v>76</v>
      </c>
      <c r="H144" s="2" t="s">
        <v>616</v>
      </c>
      <c r="I144" s="2">
        <v>48</v>
      </c>
      <c r="J144" s="2" t="s">
        <v>41</v>
      </c>
      <c r="K144" s="2" t="s">
        <v>116</v>
      </c>
      <c r="L144" s="2" t="s">
        <v>141</v>
      </c>
      <c r="M144" s="2" t="s">
        <v>80</v>
      </c>
      <c r="N144" s="2" t="s">
        <v>182</v>
      </c>
      <c r="O144" s="2" t="s">
        <v>328</v>
      </c>
      <c r="P144" s="2" t="s">
        <v>329</v>
      </c>
      <c r="Q144" s="2" t="s">
        <v>69</v>
      </c>
      <c r="R144" s="2" t="s">
        <v>627</v>
      </c>
      <c r="S144" s="2">
        <v>2</v>
      </c>
      <c r="T144" s="2">
        <v>135</v>
      </c>
      <c r="U144" s="2">
        <v>55</v>
      </c>
      <c r="V144" s="2">
        <v>122</v>
      </c>
      <c r="W144" s="2">
        <v>15</v>
      </c>
      <c r="X144" s="2">
        <v>38.200000000000003</v>
      </c>
      <c r="Y144" s="2">
        <v>21.3</v>
      </c>
      <c r="Z144" s="2">
        <v>95</v>
      </c>
      <c r="AA144" s="2" t="s">
        <v>50</v>
      </c>
      <c r="AB144" s="2" t="s">
        <v>51</v>
      </c>
      <c r="AC144" s="2" t="s">
        <v>52</v>
      </c>
      <c r="AD144" s="2" t="s">
        <v>53</v>
      </c>
      <c r="AE144" s="2" t="s">
        <v>54</v>
      </c>
      <c r="AF144" s="2" t="s">
        <v>55</v>
      </c>
      <c r="AG144" s="2" t="s">
        <v>112</v>
      </c>
    </row>
    <row r="145" spans="1:33" x14ac:dyDescent="0.2">
      <c r="A145" s="3" t="s">
        <v>613</v>
      </c>
      <c r="B145" s="3" t="s">
        <v>628</v>
      </c>
      <c r="C145" s="3" t="s">
        <v>629</v>
      </c>
      <c r="D145" s="3" t="s">
        <v>95</v>
      </c>
      <c r="E145" s="3" t="s">
        <v>37</v>
      </c>
      <c r="F145" s="3" t="s">
        <v>38</v>
      </c>
      <c r="G145" s="3" t="s">
        <v>138</v>
      </c>
      <c r="H145" s="3" t="s">
        <v>616</v>
      </c>
      <c r="I145" s="3">
        <v>48</v>
      </c>
      <c r="J145" s="3" t="s">
        <v>41</v>
      </c>
      <c r="K145" s="3" t="s">
        <v>90</v>
      </c>
      <c r="L145" s="3" t="s">
        <v>141</v>
      </c>
      <c r="M145" s="3" t="s">
        <v>80</v>
      </c>
      <c r="N145" s="3" t="s">
        <v>182</v>
      </c>
      <c r="O145" s="3" t="s">
        <v>328</v>
      </c>
      <c r="P145" s="3" t="s">
        <v>329</v>
      </c>
      <c r="Q145" s="3" t="s">
        <v>69</v>
      </c>
      <c r="R145" s="3" t="s">
        <v>518</v>
      </c>
      <c r="S145" s="3">
        <v>1</v>
      </c>
      <c r="T145" s="3">
        <v>110</v>
      </c>
      <c r="U145" s="3">
        <v>79</v>
      </c>
      <c r="V145" s="3">
        <v>73</v>
      </c>
      <c r="W145" s="3">
        <v>23</v>
      </c>
      <c r="X145" s="3">
        <v>36.700000000000003</v>
      </c>
      <c r="Y145" s="3">
        <v>36.200000000000003</v>
      </c>
      <c r="Z145" s="3">
        <v>96</v>
      </c>
      <c r="AA145" s="3" t="s">
        <v>50</v>
      </c>
      <c r="AB145" s="3" t="s">
        <v>51</v>
      </c>
      <c r="AC145" s="3" t="s">
        <v>52</v>
      </c>
      <c r="AD145" s="3" t="s">
        <v>53</v>
      </c>
      <c r="AE145" s="3" t="s">
        <v>54</v>
      </c>
      <c r="AF145" s="3" t="s">
        <v>55</v>
      </c>
      <c r="AG145" s="3" t="s">
        <v>118</v>
      </c>
    </row>
    <row r="146" spans="1:33" x14ac:dyDescent="0.2">
      <c r="A146" s="2" t="s">
        <v>630</v>
      </c>
      <c r="B146" s="2" t="s">
        <v>631</v>
      </c>
      <c r="C146" s="2" t="s">
        <v>632</v>
      </c>
      <c r="D146" s="2" t="s">
        <v>88</v>
      </c>
      <c r="E146" s="2" t="s">
        <v>89</v>
      </c>
      <c r="F146" s="2" t="s">
        <v>75</v>
      </c>
      <c r="G146" s="2" t="s">
        <v>115</v>
      </c>
      <c r="H146" s="2" t="s">
        <v>633</v>
      </c>
      <c r="I146" s="2">
        <v>19</v>
      </c>
      <c r="J146" s="2" t="s">
        <v>65</v>
      </c>
      <c r="K146" s="2" t="s">
        <v>78</v>
      </c>
      <c r="L146" s="2" t="s">
        <v>141</v>
      </c>
      <c r="M146" s="2" t="s">
        <v>80</v>
      </c>
      <c r="N146" s="2"/>
      <c r="O146" s="2" t="s">
        <v>67</v>
      </c>
      <c r="P146" s="2" t="s">
        <v>68</v>
      </c>
      <c r="Q146" s="2" t="s">
        <v>69</v>
      </c>
      <c r="R146" s="2" t="s">
        <v>634</v>
      </c>
      <c r="S146" s="2">
        <v>2</v>
      </c>
      <c r="T146" s="2"/>
      <c r="U146" s="2"/>
      <c r="V146" s="2">
        <v>58</v>
      </c>
      <c r="W146" s="2">
        <v>18</v>
      </c>
      <c r="X146" s="2">
        <v>37</v>
      </c>
      <c r="Y146" s="2">
        <v>28.4</v>
      </c>
      <c r="Z146" s="2">
        <v>98</v>
      </c>
      <c r="AA146" s="2" t="s">
        <v>50</v>
      </c>
      <c r="AB146" s="2" t="s">
        <v>51</v>
      </c>
      <c r="AC146" s="2" t="s">
        <v>52</v>
      </c>
      <c r="AD146" s="2" t="s">
        <v>53</v>
      </c>
      <c r="AE146" s="2" t="s">
        <v>54</v>
      </c>
      <c r="AF146" s="2" t="s">
        <v>55</v>
      </c>
      <c r="AG146" s="2" t="s">
        <v>71</v>
      </c>
    </row>
    <row r="147" spans="1:33" x14ac:dyDescent="0.2">
      <c r="A147" s="3" t="s">
        <v>635</v>
      </c>
      <c r="B147" s="3" t="s">
        <v>636</v>
      </c>
      <c r="C147" s="3" t="s">
        <v>548</v>
      </c>
      <c r="D147" s="3" t="s">
        <v>103</v>
      </c>
      <c r="E147" s="3" t="s">
        <v>89</v>
      </c>
      <c r="F147" s="3" t="s">
        <v>97</v>
      </c>
      <c r="G147" s="3" t="s">
        <v>138</v>
      </c>
      <c r="H147" s="3" t="s">
        <v>637</v>
      </c>
      <c r="I147" s="3">
        <v>45</v>
      </c>
      <c r="J147" s="3" t="s">
        <v>65</v>
      </c>
      <c r="K147" s="3" t="s">
        <v>116</v>
      </c>
      <c r="L147" s="3" t="s">
        <v>141</v>
      </c>
      <c r="M147" s="3" t="s">
        <v>125</v>
      </c>
      <c r="N147" s="3"/>
      <c r="O147" s="3" t="s">
        <v>305</v>
      </c>
      <c r="P147" s="3" t="s">
        <v>306</v>
      </c>
      <c r="Q147" s="3" t="s">
        <v>48</v>
      </c>
      <c r="R147" s="3" t="s">
        <v>243</v>
      </c>
      <c r="S147" s="3">
        <v>1</v>
      </c>
      <c r="T147" s="3">
        <v>117</v>
      </c>
      <c r="U147" s="3">
        <v>94</v>
      </c>
      <c r="V147" s="3">
        <v>69</v>
      </c>
      <c r="W147" s="3">
        <v>22</v>
      </c>
      <c r="X147" s="3">
        <v>38.299999999999997</v>
      </c>
      <c r="Y147" s="3">
        <v>25.6</v>
      </c>
      <c r="Z147" s="3">
        <v>99</v>
      </c>
      <c r="AA147" s="3" t="s">
        <v>50</v>
      </c>
      <c r="AB147" s="3" t="s">
        <v>51</v>
      </c>
      <c r="AC147" s="3" t="s">
        <v>52</v>
      </c>
      <c r="AD147" s="3" t="s">
        <v>53</v>
      </c>
      <c r="AE147" s="3" t="s">
        <v>54</v>
      </c>
      <c r="AF147" s="3" t="s">
        <v>55</v>
      </c>
      <c r="AG147" s="3" t="s">
        <v>56</v>
      </c>
    </row>
    <row r="148" spans="1:33" x14ac:dyDescent="0.2">
      <c r="A148" s="2" t="s">
        <v>638</v>
      </c>
      <c r="B148" s="2" t="s">
        <v>639</v>
      </c>
      <c r="C148" s="2" t="s">
        <v>640</v>
      </c>
      <c r="D148" s="2" t="s">
        <v>60</v>
      </c>
      <c r="E148" s="2" t="s">
        <v>37</v>
      </c>
      <c r="F148" s="2" t="s">
        <v>97</v>
      </c>
      <c r="G148" s="2" t="s">
        <v>63</v>
      </c>
      <c r="H148" s="2" t="s">
        <v>641</v>
      </c>
      <c r="I148" s="2">
        <v>55</v>
      </c>
      <c r="J148" s="2" t="s">
        <v>65</v>
      </c>
      <c r="K148" s="2" t="s">
        <v>110</v>
      </c>
      <c r="L148" s="2" t="s">
        <v>141</v>
      </c>
      <c r="M148" s="2" t="s">
        <v>44</v>
      </c>
      <c r="N148" s="2" t="s">
        <v>182</v>
      </c>
      <c r="O148" s="2" t="s">
        <v>46</v>
      </c>
      <c r="P148" s="2" t="s">
        <v>47</v>
      </c>
      <c r="Q148" s="2" t="s">
        <v>48</v>
      </c>
      <c r="R148" s="2" t="s">
        <v>642</v>
      </c>
      <c r="S148" s="2">
        <v>4</v>
      </c>
      <c r="T148" s="2">
        <v>101</v>
      </c>
      <c r="U148" s="2">
        <v>108</v>
      </c>
      <c r="V148" s="2">
        <v>51</v>
      </c>
      <c r="W148" s="2">
        <v>18</v>
      </c>
      <c r="X148" s="2">
        <v>37</v>
      </c>
      <c r="Y148" s="2">
        <v>28.5</v>
      </c>
      <c r="Z148" s="2">
        <v>98</v>
      </c>
      <c r="AA148" s="2" t="s">
        <v>50</v>
      </c>
      <c r="AB148" s="2" t="s">
        <v>51</v>
      </c>
      <c r="AC148" s="2" t="s">
        <v>52</v>
      </c>
      <c r="AD148" s="2" t="s">
        <v>53</v>
      </c>
      <c r="AE148" s="2" t="s">
        <v>54</v>
      </c>
      <c r="AF148" s="2" t="s">
        <v>55</v>
      </c>
      <c r="AG148" s="2" t="s">
        <v>186</v>
      </c>
    </row>
    <row r="149" spans="1:33" x14ac:dyDescent="0.2">
      <c r="A149" s="3" t="s">
        <v>638</v>
      </c>
      <c r="B149" s="3" t="s">
        <v>643</v>
      </c>
      <c r="C149" s="3" t="s">
        <v>644</v>
      </c>
      <c r="D149" s="3" t="s">
        <v>36</v>
      </c>
      <c r="E149" s="3" t="s">
        <v>37</v>
      </c>
      <c r="F149" s="3" t="s">
        <v>62</v>
      </c>
      <c r="G149" s="3" t="s">
        <v>63</v>
      </c>
      <c r="H149" s="3" t="s">
        <v>641</v>
      </c>
      <c r="I149" s="3">
        <v>55</v>
      </c>
      <c r="J149" s="3" t="s">
        <v>65</v>
      </c>
      <c r="K149" s="3" t="s">
        <v>90</v>
      </c>
      <c r="L149" s="3" t="s">
        <v>141</v>
      </c>
      <c r="M149" s="3" t="s">
        <v>44</v>
      </c>
      <c r="N149" s="3" t="s">
        <v>182</v>
      </c>
      <c r="O149" s="3" t="s">
        <v>46</v>
      </c>
      <c r="P149" s="3" t="s">
        <v>47</v>
      </c>
      <c r="Q149" s="3" t="s">
        <v>48</v>
      </c>
      <c r="R149" s="3" t="s">
        <v>645</v>
      </c>
      <c r="S149" s="3">
        <v>4</v>
      </c>
      <c r="T149" s="3">
        <v>114</v>
      </c>
      <c r="U149" s="3">
        <v>110</v>
      </c>
      <c r="V149" s="3">
        <v>121</v>
      </c>
      <c r="W149" s="3">
        <v>18</v>
      </c>
      <c r="X149" s="3">
        <v>36.9</v>
      </c>
      <c r="Y149" s="3">
        <v>37.799999999999997</v>
      </c>
      <c r="Z149" s="3">
        <v>97</v>
      </c>
      <c r="AA149" s="3" t="s">
        <v>50</v>
      </c>
      <c r="AB149" s="3" t="s">
        <v>51</v>
      </c>
      <c r="AC149" s="3" t="s">
        <v>52</v>
      </c>
      <c r="AD149" s="3" t="s">
        <v>53</v>
      </c>
      <c r="AE149" s="3" t="s">
        <v>54</v>
      </c>
      <c r="AF149" s="3" t="s">
        <v>55</v>
      </c>
      <c r="AG149" s="3" t="s">
        <v>191</v>
      </c>
    </row>
    <row r="150" spans="1:33" x14ac:dyDescent="0.2">
      <c r="A150" s="2" t="s">
        <v>646</v>
      </c>
      <c r="B150" s="2" t="s">
        <v>647</v>
      </c>
      <c r="C150" s="2" t="s">
        <v>648</v>
      </c>
      <c r="D150" s="2" t="s">
        <v>103</v>
      </c>
      <c r="E150" s="2" t="s">
        <v>37</v>
      </c>
      <c r="F150" s="2" t="s">
        <v>38</v>
      </c>
      <c r="G150" s="2" t="s">
        <v>98</v>
      </c>
      <c r="H150" s="2" t="s">
        <v>649</v>
      </c>
      <c r="I150" s="2">
        <v>37</v>
      </c>
      <c r="J150" s="2" t="s">
        <v>41</v>
      </c>
      <c r="K150" s="2" t="s">
        <v>42</v>
      </c>
      <c r="L150" s="2" t="s">
        <v>45</v>
      </c>
      <c r="M150" s="2" t="s">
        <v>125</v>
      </c>
      <c r="N150" s="2"/>
      <c r="O150" s="2" t="s">
        <v>150</v>
      </c>
      <c r="P150" s="2" t="s">
        <v>151</v>
      </c>
      <c r="Q150" s="2" t="s">
        <v>69</v>
      </c>
      <c r="R150" s="2" t="s">
        <v>650</v>
      </c>
      <c r="S150" s="2">
        <v>2</v>
      </c>
      <c r="T150" s="2">
        <v>100</v>
      </c>
      <c r="U150" s="2">
        <v>60</v>
      </c>
      <c r="V150" s="2">
        <v>83</v>
      </c>
      <c r="W150" s="2">
        <v>19</v>
      </c>
      <c r="X150" s="2">
        <v>37.9</v>
      </c>
      <c r="Y150" s="2">
        <v>26.3</v>
      </c>
      <c r="Z150" s="2">
        <v>97</v>
      </c>
      <c r="AA150" s="2" t="s">
        <v>50</v>
      </c>
      <c r="AB150" s="2" t="s">
        <v>51</v>
      </c>
      <c r="AC150" s="2" t="s">
        <v>52</v>
      </c>
      <c r="AD150" s="2" t="s">
        <v>53</v>
      </c>
      <c r="AE150" s="2" t="s">
        <v>54</v>
      </c>
      <c r="AF150" s="2" t="s">
        <v>55</v>
      </c>
      <c r="AG150" s="2" t="s">
        <v>160</v>
      </c>
    </row>
    <row r="151" spans="1:33" x14ac:dyDescent="0.2">
      <c r="A151" s="3" t="s">
        <v>646</v>
      </c>
      <c r="B151" s="3" t="s">
        <v>651</v>
      </c>
      <c r="C151" s="3" t="s">
        <v>652</v>
      </c>
      <c r="D151" s="3" t="s">
        <v>36</v>
      </c>
      <c r="E151" s="3" t="s">
        <v>96</v>
      </c>
      <c r="F151" s="3" t="s">
        <v>62</v>
      </c>
      <c r="G151" s="3" t="s">
        <v>63</v>
      </c>
      <c r="H151" s="3" t="s">
        <v>649</v>
      </c>
      <c r="I151" s="3">
        <v>37</v>
      </c>
      <c r="J151" s="3" t="s">
        <v>41</v>
      </c>
      <c r="K151" s="3" t="s">
        <v>42</v>
      </c>
      <c r="L151" s="3" t="s">
        <v>45</v>
      </c>
      <c r="M151" s="3" t="s">
        <v>125</v>
      </c>
      <c r="N151" s="3"/>
      <c r="O151" s="3" t="s">
        <v>150</v>
      </c>
      <c r="P151" s="3" t="s">
        <v>151</v>
      </c>
      <c r="Q151" s="3" t="s">
        <v>69</v>
      </c>
      <c r="R151" s="3" t="s">
        <v>163</v>
      </c>
      <c r="S151" s="3">
        <v>1</v>
      </c>
      <c r="T151" s="3">
        <v>142</v>
      </c>
      <c r="U151" s="3">
        <v>104</v>
      </c>
      <c r="V151" s="3">
        <v>69</v>
      </c>
      <c r="W151" s="3">
        <v>18</v>
      </c>
      <c r="X151" s="3">
        <v>38.4</v>
      </c>
      <c r="Y151" s="3">
        <v>42.4</v>
      </c>
      <c r="Z151" s="3">
        <v>97</v>
      </c>
      <c r="AA151" s="3" t="s">
        <v>50</v>
      </c>
      <c r="AB151" s="3" t="s">
        <v>51</v>
      </c>
      <c r="AC151" s="3" t="s">
        <v>52</v>
      </c>
      <c r="AD151" s="3" t="s">
        <v>53</v>
      </c>
      <c r="AE151" s="3" t="s">
        <v>54</v>
      </c>
      <c r="AF151" s="3" t="s">
        <v>55</v>
      </c>
      <c r="AG151" s="3" t="s">
        <v>164</v>
      </c>
    </row>
    <row r="152" spans="1:33" x14ac:dyDescent="0.2">
      <c r="A152" s="2" t="s">
        <v>646</v>
      </c>
      <c r="B152" s="2" t="s">
        <v>653</v>
      </c>
      <c r="C152" s="2" t="s">
        <v>654</v>
      </c>
      <c r="D152" s="2" t="s">
        <v>88</v>
      </c>
      <c r="E152" s="2" t="s">
        <v>37</v>
      </c>
      <c r="F152" s="2" t="s">
        <v>189</v>
      </c>
      <c r="G152" s="2" t="s">
        <v>123</v>
      </c>
      <c r="H152" s="2" t="s">
        <v>649</v>
      </c>
      <c r="I152" s="2">
        <v>37</v>
      </c>
      <c r="J152" s="2" t="s">
        <v>41</v>
      </c>
      <c r="K152" s="2" t="s">
        <v>110</v>
      </c>
      <c r="L152" s="2" t="s">
        <v>45</v>
      </c>
      <c r="M152" s="2" t="s">
        <v>125</v>
      </c>
      <c r="N152" s="2"/>
      <c r="O152" s="2" t="s">
        <v>150</v>
      </c>
      <c r="P152" s="2" t="s">
        <v>151</v>
      </c>
      <c r="Q152" s="2" t="s">
        <v>69</v>
      </c>
      <c r="R152" s="2" t="s">
        <v>655</v>
      </c>
      <c r="S152" s="2">
        <v>2</v>
      </c>
      <c r="T152" s="2">
        <v>183</v>
      </c>
      <c r="U152" s="2">
        <v>93</v>
      </c>
      <c r="V152" s="2">
        <v>87</v>
      </c>
      <c r="W152" s="2">
        <v>20</v>
      </c>
      <c r="X152" s="2">
        <v>36.200000000000003</v>
      </c>
      <c r="Y152" s="2">
        <v>42</v>
      </c>
      <c r="Z152" s="2">
        <v>89</v>
      </c>
      <c r="AA152" s="2" t="s">
        <v>50</v>
      </c>
      <c r="AB152" s="2" t="s">
        <v>51</v>
      </c>
      <c r="AC152" s="2" t="s">
        <v>52</v>
      </c>
      <c r="AD152" s="2" t="s">
        <v>53</v>
      </c>
      <c r="AE152" s="2" t="s">
        <v>54</v>
      </c>
      <c r="AF152" s="2" t="s">
        <v>55</v>
      </c>
      <c r="AG152" s="2" t="s">
        <v>169</v>
      </c>
    </row>
    <row r="153" spans="1:33" x14ac:dyDescent="0.2">
      <c r="A153" s="3" t="s">
        <v>646</v>
      </c>
      <c r="B153" s="3" t="s">
        <v>656</v>
      </c>
      <c r="C153" s="3" t="s">
        <v>657</v>
      </c>
      <c r="D153" s="3" t="s">
        <v>36</v>
      </c>
      <c r="E153" s="3" t="s">
        <v>167</v>
      </c>
      <c r="F153" s="3" t="s">
        <v>122</v>
      </c>
      <c r="G153" s="3" t="s">
        <v>76</v>
      </c>
      <c r="H153" s="3" t="s">
        <v>649</v>
      </c>
      <c r="I153" s="3">
        <v>37</v>
      </c>
      <c r="J153" s="3" t="s">
        <v>41</v>
      </c>
      <c r="K153" s="3" t="s">
        <v>110</v>
      </c>
      <c r="L153" s="3" t="s">
        <v>45</v>
      </c>
      <c r="M153" s="3" t="s">
        <v>125</v>
      </c>
      <c r="N153" s="3"/>
      <c r="O153" s="3" t="s">
        <v>150</v>
      </c>
      <c r="P153" s="3" t="s">
        <v>151</v>
      </c>
      <c r="Q153" s="3" t="s">
        <v>69</v>
      </c>
      <c r="R153" s="3" t="s">
        <v>658</v>
      </c>
      <c r="S153" s="3">
        <v>4</v>
      </c>
      <c r="T153" s="3">
        <v>117</v>
      </c>
      <c r="U153" s="3">
        <v>83</v>
      </c>
      <c r="V153" s="3">
        <v>79</v>
      </c>
      <c r="W153" s="3">
        <v>14</v>
      </c>
      <c r="X153" s="3">
        <v>39</v>
      </c>
      <c r="Y153" s="3">
        <v>41.9</v>
      </c>
      <c r="Z153" s="3">
        <v>94</v>
      </c>
      <c r="AA153" s="3" t="s">
        <v>50</v>
      </c>
      <c r="AB153" s="3" t="s">
        <v>51</v>
      </c>
      <c r="AC153" s="3" t="s">
        <v>52</v>
      </c>
      <c r="AD153" s="3" t="s">
        <v>53</v>
      </c>
      <c r="AE153" s="3" t="s">
        <v>54</v>
      </c>
      <c r="AF153" s="3" t="s">
        <v>55</v>
      </c>
      <c r="AG153" s="3" t="s">
        <v>173</v>
      </c>
    </row>
    <row r="154" spans="1:33" x14ac:dyDescent="0.2">
      <c r="A154" s="2" t="s">
        <v>646</v>
      </c>
      <c r="B154" s="2" t="s">
        <v>659</v>
      </c>
      <c r="C154" s="2" t="s">
        <v>660</v>
      </c>
      <c r="D154" s="2" t="s">
        <v>88</v>
      </c>
      <c r="E154" s="2" t="s">
        <v>96</v>
      </c>
      <c r="F154" s="2" t="s">
        <v>75</v>
      </c>
      <c r="G154" s="2" t="s">
        <v>76</v>
      </c>
      <c r="H154" s="2" t="s">
        <v>649</v>
      </c>
      <c r="I154" s="2">
        <v>37</v>
      </c>
      <c r="J154" s="2" t="s">
        <v>41</v>
      </c>
      <c r="K154" s="2" t="s">
        <v>140</v>
      </c>
      <c r="L154" s="2" t="s">
        <v>45</v>
      </c>
      <c r="M154" s="2" t="s">
        <v>125</v>
      </c>
      <c r="N154" s="2"/>
      <c r="O154" s="2" t="s">
        <v>150</v>
      </c>
      <c r="P154" s="2" t="s">
        <v>151</v>
      </c>
      <c r="Q154" s="2" t="s">
        <v>69</v>
      </c>
      <c r="R154" s="2" t="s">
        <v>661</v>
      </c>
      <c r="S154" s="2">
        <v>3</v>
      </c>
      <c r="T154" s="2">
        <v>156</v>
      </c>
      <c r="U154" s="2">
        <v>58</v>
      </c>
      <c r="V154" s="2">
        <v>67</v>
      </c>
      <c r="W154" s="2">
        <v>20</v>
      </c>
      <c r="X154" s="2">
        <v>36.1</v>
      </c>
      <c r="Y154" s="2">
        <v>28.9</v>
      </c>
      <c r="Z154" s="2">
        <v>98</v>
      </c>
      <c r="AA154" s="2" t="s">
        <v>50</v>
      </c>
      <c r="AB154" s="2" t="s">
        <v>51</v>
      </c>
      <c r="AC154" s="2" t="s">
        <v>52</v>
      </c>
      <c r="AD154" s="2" t="s">
        <v>53</v>
      </c>
      <c r="AE154" s="2" t="s">
        <v>54</v>
      </c>
      <c r="AF154" s="2" t="s">
        <v>55</v>
      </c>
      <c r="AG154" s="2" t="s">
        <v>177</v>
      </c>
    </row>
    <row r="155" spans="1:33" x14ac:dyDescent="0.2">
      <c r="A155" s="3" t="s">
        <v>662</v>
      </c>
      <c r="B155" s="3" t="s">
        <v>663</v>
      </c>
      <c r="C155" s="3" t="s">
        <v>664</v>
      </c>
      <c r="D155" s="3" t="s">
        <v>60</v>
      </c>
      <c r="E155" s="3" t="s">
        <v>96</v>
      </c>
      <c r="F155" s="3" t="s">
        <v>62</v>
      </c>
      <c r="G155" s="3" t="s">
        <v>63</v>
      </c>
      <c r="H155" s="3" t="s">
        <v>665</v>
      </c>
      <c r="I155" s="3">
        <v>56</v>
      </c>
      <c r="J155" s="3" t="s">
        <v>65</v>
      </c>
      <c r="K155" s="3" t="s">
        <v>140</v>
      </c>
      <c r="L155" s="3" t="s">
        <v>79</v>
      </c>
      <c r="M155" s="3"/>
      <c r="N155" s="3" t="s">
        <v>182</v>
      </c>
      <c r="O155" s="3" t="s">
        <v>46</v>
      </c>
      <c r="P155" s="3" t="s">
        <v>47</v>
      </c>
      <c r="Q155" s="3" t="s">
        <v>48</v>
      </c>
      <c r="R155" s="3" t="s">
        <v>460</v>
      </c>
      <c r="S155" s="3">
        <v>1</v>
      </c>
      <c r="T155" s="3">
        <v>163</v>
      </c>
      <c r="U155" s="3">
        <v>70</v>
      </c>
      <c r="V155" s="3">
        <v>50</v>
      </c>
      <c r="W155" s="3">
        <v>19</v>
      </c>
      <c r="X155" s="3">
        <v>36.700000000000003</v>
      </c>
      <c r="Y155" s="3">
        <v>27.4</v>
      </c>
      <c r="Z155" s="3">
        <v>98</v>
      </c>
      <c r="AA155" s="3" t="s">
        <v>50</v>
      </c>
      <c r="AB155" s="3" t="s">
        <v>51</v>
      </c>
      <c r="AC155" s="3" t="s">
        <v>52</v>
      </c>
      <c r="AD155" s="3" t="s">
        <v>53</v>
      </c>
      <c r="AE155" s="3" t="s">
        <v>54</v>
      </c>
      <c r="AF155" s="3" t="s">
        <v>55</v>
      </c>
      <c r="AG155" s="3" t="s">
        <v>186</v>
      </c>
    </row>
    <row r="156" spans="1:33" x14ac:dyDescent="0.2">
      <c r="A156" s="2" t="s">
        <v>662</v>
      </c>
      <c r="B156" s="2" t="s">
        <v>666</v>
      </c>
      <c r="C156" s="2" t="s">
        <v>667</v>
      </c>
      <c r="D156" s="2" t="s">
        <v>36</v>
      </c>
      <c r="E156" s="2" t="s">
        <v>96</v>
      </c>
      <c r="F156" s="2" t="s">
        <v>122</v>
      </c>
      <c r="G156" s="2" t="s">
        <v>63</v>
      </c>
      <c r="H156" s="2" t="s">
        <v>665</v>
      </c>
      <c r="I156" s="2">
        <v>56</v>
      </c>
      <c r="J156" s="2" t="s">
        <v>65</v>
      </c>
      <c r="K156" s="2" t="s">
        <v>90</v>
      </c>
      <c r="L156" s="2" t="s">
        <v>79</v>
      </c>
      <c r="M156" s="2"/>
      <c r="N156" s="2" t="s">
        <v>182</v>
      </c>
      <c r="O156" s="2" t="s">
        <v>46</v>
      </c>
      <c r="P156" s="2" t="s">
        <v>47</v>
      </c>
      <c r="Q156" s="2" t="s">
        <v>48</v>
      </c>
      <c r="R156" s="2" t="s">
        <v>668</v>
      </c>
      <c r="S156" s="2">
        <v>2</v>
      </c>
      <c r="T156" s="2">
        <v>183</v>
      </c>
      <c r="U156" s="2">
        <v>80</v>
      </c>
      <c r="V156" s="2">
        <v>122</v>
      </c>
      <c r="W156" s="2">
        <v>28</v>
      </c>
      <c r="X156" s="2">
        <v>36.5</v>
      </c>
      <c r="Y156" s="2">
        <v>25.5</v>
      </c>
      <c r="Z156" s="2">
        <v>88</v>
      </c>
      <c r="AA156" s="2" t="s">
        <v>50</v>
      </c>
      <c r="AB156" s="2" t="s">
        <v>51</v>
      </c>
      <c r="AC156" s="2" t="s">
        <v>52</v>
      </c>
      <c r="AD156" s="2" t="s">
        <v>53</v>
      </c>
      <c r="AE156" s="2" t="s">
        <v>54</v>
      </c>
      <c r="AF156" s="2" t="s">
        <v>55</v>
      </c>
      <c r="AG156" s="2" t="s">
        <v>191</v>
      </c>
    </row>
    <row r="157" spans="1:33" x14ac:dyDescent="0.2">
      <c r="A157" s="3" t="s">
        <v>669</v>
      </c>
      <c r="B157" s="3" t="s">
        <v>670</v>
      </c>
      <c r="C157" s="3" t="s">
        <v>287</v>
      </c>
      <c r="D157" s="3" t="s">
        <v>103</v>
      </c>
      <c r="E157" s="3" t="s">
        <v>37</v>
      </c>
      <c r="F157" s="3" t="s">
        <v>38</v>
      </c>
      <c r="G157" s="3" t="s">
        <v>98</v>
      </c>
      <c r="H157" s="3" t="s">
        <v>671</v>
      </c>
      <c r="I157" s="3">
        <v>68</v>
      </c>
      <c r="J157" s="3" t="s">
        <v>41</v>
      </c>
      <c r="K157" s="3" t="s">
        <v>78</v>
      </c>
      <c r="L157" s="3" t="s">
        <v>43</v>
      </c>
      <c r="M157" s="3" t="s">
        <v>80</v>
      </c>
      <c r="N157" s="3" t="s">
        <v>81</v>
      </c>
      <c r="O157" s="3" t="s">
        <v>315</v>
      </c>
      <c r="P157" s="3" t="s">
        <v>316</v>
      </c>
      <c r="Q157" s="3" t="s">
        <v>69</v>
      </c>
      <c r="R157" s="3" t="s">
        <v>672</v>
      </c>
      <c r="S157" s="3">
        <v>2</v>
      </c>
      <c r="T157" s="3">
        <v>178</v>
      </c>
      <c r="U157" s="3">
        <v>79</v>
      </c>
      <c r="V157" s="3">
        <v>112</v>
      </c>
      <c r="W157" s="3">
        <v>17</v>
      </c>
      <c r="X157" s="3">
        <v>37.4</v>
      </c>
      <c r="Y157" s="3">
        <v>24.2</v>
      </c>
      <c r="Z157" s="3">
        <v>99</v>
      </c>
      <c r="AA157" s="3" t="s">
        <v>50</v>
      </c>
      <c r="AB157" s="3" t="s">
        <v>51</v>
      </c>
      <c r="AC157" s="3" t="s">
        <v>52</v>
      </c>
      <c r="AD157" s="3" t="s">
        <v>53</v>
      </c>
      <c r="AE157" s="3" t="s">
        <v>54</v>
      </c>
      <c r="AF157" s="3" t="s">
        <v>55</v>
      </c>
      <c r="AG157" s="3" t="s">
        <v>394</v>
      </c>
    </row>
    <row r="158" spans="1:33" x14ac:dyDescent="0.2">
      <c r="A158" s="2" t="s">
        <v>669</v>
      </c>
      <c r="B158" s="2" t="s">
        <v>673</v>
      </c>
      <c r="C158" s="2" t="s">
        <v>441</v>
      </c>
      <c r="D158" s="2" t="s">
        <v>103</v>
      </c>
      <c r="E158" s="2" t="s">
        <v>167</v>
      </c>
      <c r="F158" s="2" t="s">
        <v>38</v>
      </c>
      <c r="G158" s="2" t="s">
        <v>63</v>
      </c>
      <c r="H158" s="2" t="s">
        <v>671</v>
      </c>
      <c r="I158" s="2">
        <v>68</v>
      </c>
      <c r="J158" s="2" t="s">
        <v>41</v>
      </c>
      <c r="K158" s="2" t="s">
        <v>116</v>
      </c>
      <c r="L158" s="2" t="s">
        <v>43</v>
      </c>
      <c r="M158" s="2" t="s">
        <v>80</v>
      </c>
      <c r="N158" s="2" t="s">
        <v>81</v>
      </c>
      <c r="O158" s="2" t="s">
        <v>315</v>
      </c>
      <c r="P158" s="2" t="s">
        <v>316</v>
      </c>
      <c r="Q158" s="2" t="s">
        <v>69</v>
      </c>
      <c r="R158" s="2" t="s">
        <v>674</v>
      </c>
      <c r="S158" s="2">
        <v>2</v>
      </c>
      <c r="T158" s="2">
        <v>132</v>
      </c>
      <c r="U158" s="2">
        <v>87</v>
      </c>
      <c r="V158" s="2">
        <v>122</v>
      </c>
      <c r="W158" s="2">
        <v>15</v>
      </c>
      <c r="X158" s="2">
        <v>37</v>
      </c>
      <c r="Y158" s="2">
        <v>25.1</v>
      </c>
      <c r="Z158" s="2">
        <v>89</v>
      </c>
      <c r="AA158" s="2" t="s">
        <v>50</v>
      </c>
      <c r="AB158" s="2" t="s">
        <v>51</v>
      </c>
      <c r="AC158" s="2" t="s">
        <v>52</v>
      </c>
      <c r="AD158" s="2" t="s">
        <v>53</v>
      </c>
      <c r="AE158" s="2" t="s">
        <v>54</v>
      </c>
      <c r="AF158" s="2" t="s">
        <v>55</v>
      </c>
      <c r="AG158" s="2" t="s">
        <v>399</v>
      </c>
    </row>
    <row r="159" spans="1:33" x14ac:dyDescent="0.2">
      <c r="A159" s="3" t="s">
        <v>669</v>
      </c>
      <c r="B159" s="3" t="s">
        <v>675</v>
      </c>
      <c r="C159" s="3" t="s">
        <v>462</v>
      </c>
      <c r="D159" s="3" t="s">
        <v>95</v>
      </c>
      <c r="E159" s="3" t="s">
        <v>37</v>
      </c>
      <c r="F159" s="3" t="s">
        <v>38</v>
      </c>
      <c r="G159" s="3" t="s">
        <v>63</v>
      </c>
      <c r="H159" s="3" t="s">
        <v>671</v>
      </c>
      <c r="I159" s="3">
        <v>68</v>
      </c>
      <c r="J159" s="3" t="s">
        <v>41</v>
      </c>
      <c r="K159" s="3" t="s">
        <v>110</v>
      </c>
      <c r="L159" s="3" t="s">
        <v>43</v>
      </c>
      <c r="M159" s="3" t="s">
        <v>80</v>
      </c>
      <c r="N159" s="3" t="s">
        <v>81</v>
      </c>
      <c r="O159" s="3" t="s">
        <v>315</v>
      </c>
      <c r="P159" s="3" t="s">
        <v>316</v>
      </c>
      <c r="Q159" s="3" t="s">
        <v>69</v>
      </c>
      <c r="R159" s="3" t="s">
        <v>676</v>
      </c>
      <c r="S159" s="3">
        <v>4</v>
      </c>
      <c r="T159" s="3">
        <v>182</v>
      </c>
      <c r="U159" s="3">
        <v>79</v>
      </c>
      <c r="V159" s="3">
        <v>54</v>
      </c>
      <c r="W159" s="3">
        <v>17</v>
      </c>
      <c r="X159" s="3">
        <v>38.6</v>
      </c>
      <c r="Y159" s="3">
        <v>22.5</v>
      </c>
      <c r="Z159" s="3">
        <v>99</v>
      </c>
      <c r="AA159" s="3" t="s">
        <v>50</v>
      </c>
      <c r="AB159" s="3" t="s">
        <v>51</v>
      </c>
      <c r="AC159" s="3" t="s">
        <v>52</v>
      </c>
      <c r="AD159" s="3" t="s">
        <v>53</v>
      </c>
      <c r="AE159" s="3" t="s">
        <v>54</v>
      </c>
      <c r="AF159" s="3" t="s">
        <v>55</v>
      </c>
      <c r="AG159" s="3" t="s">
        <v>403</v>
      </c>
    </row>
    <row r="160" spans="1:33" x14ac:dyDescent="0.2">
      <c r="A160" s="2" t="s">
        <v>669</v>
      </c>
      <c r="B160" s="2" t="s">
        <v>677</v>
      </c>
      <c r="C160" s="2" t="s">
        <v>678</v>
      </c>
      <c r="D160" s="2" t="s">
        <v>103</v>
      </c>
      <c r="E160" s="2" t="s">
        <v>96</v>
      </c>
      <c r="F160" s="2" t="s">
        <v>38</v>
      </c>
      <c r="G160" s="2" t="s">
        <v>63</v>
      </c>
      <c r="H160" s="2" t="s">
        <v>671</v>
      </c>
      <c r="I160" s="2">
        <v>68</v>
      </c>
      <c r="J160" s="2" t="s">
        <v>41</v>
      </c>
      <c r="K160" s="2" t="s">
        <v>66</v>
      </c>
      <c r="L160" s="2" t="s">
        <v>43</v>
      </c>
      <c r="M160" s="2" t="s">
        <v>80</v>
      </c>
      <c r="N160" s="2" t="s">
        <v>81</v>
      </c>
      <c r="O160" s="2" t="s">
        <v>315</v>
      </c>
      <c r="P160" s="2" t="s">
        <v>316</v>
      </c>
      <c r="Q160" s="2" t="s">
        <v>69</v>
      </c>
      <c r="R160" s="2" t="s">
        <v>679</v>
      </c>
      <c r="S160" s="2">
        <v>3</v>
      </c>
      <c r="T160" s="2">
        <v>170</v>
      </c>
      <c r="U160" s="2">
        <v>114</v>
      </c>
      <c r="V160" s="2">
        <v>60</v>
      </c>
      <c r="W160" s="2">
        <v>25</v>
      </c>
      <c r="X160" s="2">
        <v>37.200000000000003</v>
      </c>
      <c r="Y160" s="2">
        <v>35.5</v>
      </c>
      <c r="Z160" s="2">
        <v>95</v>
      </c>
      <c r="AA160" s="2" t="s">
        <v>50</v>
      </c>
      <c r="AB160" s="2" t="s">
        <v>51</v>
      </c>
      <c r="AC160" s="2" t="s">
        <v>52</v>
      </c>
      <c r="AD160" s="2" t="s">
        <v>53</v>
      </c>
      <c r="AE160" s="2" t="s">
        <v>54</v>
      </c>
      <c r="AF160" s="2" t="s">
        <v>55</v>
      </c>
      <c r="AG160" s="2" t="s">
        <v>408</v>
      </c>
    </row>
    <row r="161" spans="1:33" x14ac:dyDescent="0.2">
      <c r="A161" s="3" t="s">
        <v>680</v>
      </c>
      <c r="B161" s="3" t="s">
        <v>681</v>
      </c>
      <c r="C161" s="4" t="s">
        <v>682</v>
      </c>
      <c r="D161" s="3" t="s">
        <v>95</v>
      </c>
      <c r="E161" s="3" t="s">
        <v>89</v>
      </c>
      <c r="F161" s="3" t="s">
        <v>219</v>
      </c>
      <c r="G161" s="3" t="s">
        <v>123</v>
      </c>
      <c r="H161" s="3" t="s">
        <v>683</v>
      </c>
      <c r="I161" s="4"/>
      <c r="J161" s="3" t="s">
        <v>65</v>
      </c>
      <c r="K161" s="3" t="s">
        <v>110</v>
      </c>
      <c r="L161" s="3" t="s">
        <v>141</v>
      </c>
      <c r="M161" s="3"/>
      <c r="N161" s="3"/>
      <c r="O161" s="3" t="s">
        <v>315</v>
      </c>
      <c r="P161" s="3" t="s">
        <v>316</v>
      </c>
      <c r="Q161" s="3" t="s">
        <v>69</v>
      </c>
      <c r="R161" s="3" t="s">
        <v>684</v>
      </c>
      <c r="S161" s="3">
        <v>2</v>
      </c>
      <c r="T161" s="4"/>
      <c r="U161" s="4"/>
      <c r="V161" s="3">
        <v>118</v>
      </c>
      <c r="W161" s="3">
        <v>16</v>
      </c>
      <c r="X161" s="3">
        <v>37.4</v>
      </c>
      <c r="Y161" s="4">
        <v>21.7</v>
      </c>
      <c r="Z161" s="3">
        <v>95</v>
      </c>
      <c r="AA161" s="3" t="s">
        <v>50</v>
      </c>
      <c r="AB161" s="3" t="s">
        <v>51</v>
      </c>
      <c r="AC161" s="3" t="s">
        <v>52</v>
      </c>
      <c r="AD161" s="3" t="s">
        <v>53</v>
      </c>
      <c r="AE161" s="3" t="s">
        <v>54</v>
      </c>
      <c r="AF161" s="3" t="s">
        <v>407</v>
      </c>
      <c r="AG161" s="3" t="s">
        <v>129</v>
      </c>
    </row>
    <row r="162" spans="1:33" x14ac:dyDescent="0.2">
      <c r="A162" s="2" t="s">
        <v>680</v>
      </c>
      <c r="B162" s="2" t="s">
        <v>685</v>
      </c>
      <c r="C162" s="4" t="s">
        <v>313</v>
      </c>
      <c r="D162" s="2" t="s">
        <v>95</v>
      </c>
      <c r="E162" s="2" t="s">
        <v>167</v>
      </c>
      <c r="F162" s="2" t="s">
        <v>38</v>
      </c>
      <c r="G162" s="2" t="s">
        <v>123</v>
      </c>
      <c r="H162" s="2" t="s">
        <v>683</v>
      </c>
      <c r="I162" s="4">
        <v>33</v>
      </c>
      <c r="J162" s="2" t="s">
        <v>65</v>
      </c>
      <c r="K162" s="2" t="s">
        <v>42</v>
      </c>
      <c r="L162" s="2" t="s">
        <v>141</v>
      </c>
      <c r="M162" s="2"/>
      <c r="N162" s="2"/>
      <c r="O162" s="2" t="s">
        <v>315</v>
      </c>
      <c r="P162" s="2" t="s">
        <v>316</v>
      </c>
      <c r="Q162" s="2" t="s">
        <v>69</v>
      </c>
      <c r="R162" s="2" t="s">
        <v>686</v>
      </c>
      <c r="S162" s="2">
        <v>3</v>
      </c>
      <c r="T162" s="4">
        <v>184</v>
      </c>
      <c r="U162" s="4"/>
      <c r="V162" s="2">
        <v>51</v>
      </c>
      <c r="W162" s="2">
        <v>18</v>
      </c>
      <c r="X162" s="2">
        <v>38.299999999999997</v>
      </c>
      <c r="Y162" s="4">
        <v>31.2</v>
      </c>
      <c r="Z162" s="2">
        <v>97</v>
      </c>
      <c r="AA162" s="2" t="s">
        <v>50</v>
      </c>
      <c r="AB162" s="2" t="s">
        <v>51</v>
      </c>
      <c r="AC162" s="2" t="s">
        <v>52</v>
      </c>
      <c r="AD162" s="2" t="s">
        <v>53</v>
      </c>
      <c r="AE162" s="2" t="s">
        <v>54</v>
      </c>
      <c r="AF162" s="2" t="s">
        <v>318</v>
      </c>
      <c r="AG162" s="2" t="s">
        <v>134</v>
      </c>
    </row>
    <row r="163" spans="1:33" x14ac:dyDescent="0.2">
      <c r="A163" s="3" t="s">
        <v>687</v>
      </c>
      <c r="B163" s="3" t="s">
        <v>688</v>
      </c>
      <c r="C163" s="3" t="s">
        <v>689</v>
      </c>
      <c r="D163" s="3" t="s">
        <v>88</v>
      </c>
      <c r="E163" s="3" t="s">
        <v>167</v>
      </c>
      <c r="F163" s="3" t="s">
        <v>109</v>
      </c>
      <c r="G163" s="3" t="s">
        <v>123</v>
      </c>
      <c r="H163" s="3" t="s">
        <v>690</v>
      </c>
      <c r="I163" s="3">
        <v>85</v>
      </c>
      <c r="J163" s="3" t="s">
        <v>65</v>
      </c>
      <c r="K163" s="3" t="s">
        <v>116</v>
      </c>
      <c r="L163" s="3" t="s">
        <v>45</v>
      </c>
      <c r="M163" s="3" t="s">
        <v>80</v>
      </c>
      <c r="N163" s="3" t="s">
        <v>182</v>
      </c>
      <c r="O163" s="3" t="s">
        <v>46</v>
      </c>
      <c r="P163" s="3" t="s">
        <v>47</v>
      </c>
      <c r="Q163" s="3" t="s">
        <v>48</v>
      </c>
      <c r="R163" s="3" t="s">
        <v>691</v>
      </c>
      <c r="S163" s="3">
        <v>2</v>
      </c>
      <c r="T163" s="3">
        <v>178</v>
      </c>
      <c r="U163" s="3">
        <v>58</v>
      </c>
      <c r="V163" s="3">
        <v>125</v>
      </c>
      <c r="W163" s="3">
        <v>16</v>
      </c>
      <c r="X163" s="3">
        <v>38.700000000000003</v>
      </c>
      <c r="Y163" s="3">
        <v>40.200000000000003</v>
      </c>
      <c r="Z163" s="3">
        <v>92</v>
      </c>
      <c r="AA163" s="3" t="s">
        <v>50</v>
      </c>
      <c r="AB163" s="3" t="s">
        <v>51</v>
      </c>
      <c r="AC163" s="3" t="s">
        <v>52</v>
      </c>
      <c r="AD163" s="3" t="s">
        <v>53</v>
      </c>
      <c r="AE163" s="3" t="s">
        <v>54</v>
      </c>
      <c r="AF163" s="3" t="s">
        <v>55</v>
      </c>
      <c r="AG163" s="3" t="s">
        <v>56</v>
      </c>
    </row>
    <row r="164" spans="1:33" x14ac:dyDescent="0.2">
      <c r="A164" s="2" t="s">
        <v>692</v>
      </c>
      <c r="B164" s="2" t="s">
        <v>693</v>
      </c>
      <c r="C164" s="4" t="s">
        <v>313</v>
      </c>
      <c r="D164" s="2" t="s">
        <v>60</v>
      </c>
      <c r="E164" s="2" t="s">
        <v>61</v>
      </c>
      <c r="F164" s="2" t="s">
        <v>97</v>
      </c>
      <c r="G164" s="2" t="s">
        <v>115</v>
      </c>
      <c r="H164" s="2" t="s">
        <v>694</v>
      </c>
      <c r="I164" s="4">
        <v>36</v>
      </c>
      <c r="J164" s="2" t="s">
        <v>65</v>
      </c>
      <c r="K164" s="2" t="s">
        <v>66</v>
      </c>
      <c r="L164" s="2" t="s">
        <v>79</v>
      </c>
      <c r="M164" s="2" t="s">
        <v>80</v>
      </c>
      <c r="N164" s="2"/>
      <c r="O164" s="2" t="s">
        <v>157</v>
      </c>
      <c r="P164" s="2" t="s">
        <v>158</v>
      </c>
      <c r="Q164" s="2" t="s">
        <v>69</v>
      </c>
      <c r="R164" s="2" t="s">
        <v>695</v>
      </c>
      <c r="S164" s="2">
        <v>2</v>
      </c>
      <c r="T164" s="4"/>
      <c r="U164" s="4">
        <v>68</v>
      </c>
      <c r="V164" s="2">
        <v>89</v>
      </c>
      <c r="W164" s="2">
        <v>12</v>
      </c>
      <c r="X164" s="2">
        <v>38.9</v>
      </c>
      <c r="Y164" s="4">
        <v>23.2</v>
      </c>
      <c r="Z164" s="2">
        <v>89</v>
      </c>
      <c r="AA164" s="2" t="s">
        <v>50</v>
      </c>
      <c r="AB164" s="2" t="s">
        <v>51</v>
      </c>
      <c r="AC164" s="2" t="s">
        <v>52</v>
      </c>
      <c r="AD164" s="2" t="s">
        <v>53</v>
      </c>
      <c r="AE164" s="2" t="s">
        <v>54</v>
      </c>
      <c r="AF164" s="2" t="s">
        <v>318</v>
      </c>
      <c r="AG164" s="2" t="s">
        <v>160</v>
      </c>
    </row>
    <row r="165" spans="1:33" x14ac:dyDescent="0.2">
      <c r="A165" s="3" t="s">
        <v>692</v>
      </c>
      <c r="B165" s="3" t="s">
        <v>696</v>
      </c>
      <c r="C165" s="4" t="s">
        <v>313</v>
      </c>
      <c r="D165" s="3" t="s">
        <v>103</v>
      </c>
      <c r="E165" s="3" t="s">
        <v>89</v>
      </c>
      <c r="F165" s="3" t="s">
        <v>38</v>
      </c>
      <c r="G165" s="3" t="s">
        <v>39</v>
      </c>
      <c r="H165" s="3" t="s">
        <v>694</v>
      </c>
      <c r="I165" s="4"/>
      <c r="J165" s="3" t="s">
        <v>65</v>
      </c>
      <c r="K165" s="3" t="s">
        <v>42</v>
      </c>
      <c r="L165" s="3" t="s">
        <v>79</v>
      </c>
      <c r="M165" s="3" t="s">
        <v>80</v>
      </c>
      <c r="N165" s="3"/>
      <c r="O165" s="3" t="s">
        <v>157</v>
      </c>
      <c r="P165" s="3" t="s">
        <v>158</v>
      </c>
      <c r="Q165" s="3" t="s">
        <v>69</v>
      </c>
      <c r="R165" s="3" t="s">
        <v>697</v>
      </c>
      <c r="S165" s="3">
        <v>4</v>
      </c>
      <c r="T165" s="4">
        <v>131</v>
      </c>
      <c r="U165" s="4"/>
      <c r="V165" s="3">
        <v>73</v>
      </c>
      <c r="W165" s="3">
        <v>14</v>
      </c>
      <c r="X165" s="3">
        <v>36.5</v>
      </c>
      <c r="Y165" s="4">
        <v>44.5</v>
      </c>
      <c r="Z165" s="3">
        <v>97</v>
      </c>
      <c r="AA165" s="3" t="s">
        <v>50</v>
      </c>
      <c r="AB165" s="3" t="s">
        <v>51</v>
      </c>
      <c r="AC165" s="3" t="s">
        <v>52</v>
      </c>
      <c r="AD165" s="3" t="s">
        <v>53</v>
      </c>
      <c r="AE165" s="3" t="s">
        <v>54</v>
      </c>
      <c r="AF165" s="3" t="s">
        <v>698</v>
      </c>
      <c r="AG165" s="3" t="s">
        <v>164</v>
      </c>
    </row>
    <row r="166" spans="1:33" x14ac:dyDescent="0.2">
      <c r="A166" s="2" t="s">
        <v>692</v>
      </c>
      <c r="B166" s="2" t="s">
        <v>699</v>
      </c>
      <c r="C166" s="2" t="s">
        <v>700</v>
      </c>
      <c r="D166" s="2" t="s">
        <v>95</v>
      </c>
      <c r="E166" s="2" t="s">
        <v>61</v>
      </c>
      <c r="F166" s="2" t="s">
        <v>109</v>
      </c>
      <c r="G166" s="2" t="s">
        <v>63</v>
      </c>
      <c r="H166" s="2" t="s">
        <v>694</v>
      </c>
      <c r="I166" s="2">
        <v>36</v>
      </c>
      <c r="J166" s="2" t="s">
        <v>65</v>
      </c>
      <c r="K166" s="2" t="s">
        <v>140</v>
      </c>
      <c r="L166" s="2" t="s">
        <v>79</v>
      </c>
      <c r="M166" s="2" t="s">
        <v>80</v>
      </c>
      <c r="N166" s="2"/>
      <c r="O166" s="2" t="s">
        <v>157</v>
      </c>
      <c r="P166" s="2" t="s">
        <v>158</v>
      </c>
      <c r="Q166" s="2" t="s">
        <v>69</v>
      </c>
      <c r="R166" s="2" t="s">
        <v>672</v>
      </c>
      <c r="S166" s="2">
        <v>2</v>
      </c>
      <c r="T166" s="2"/>
      <c r="U166" s="2"/>
      <c r="V166" s="2">
        <v>122</v>
      </c>
      <c r="W166" s="2">
        <v>13</v>
      </c>
      <c r="X166" s="2">
        <v>37.9</v>
      </c>
      <c r="Y166" s="2">
        <v>43.7</v>
      </c>
      <c r="Z166" s="2">
        <v>100</v>
      </c>
      <c r="AA166" s="2" t="s">
        <v>50</v>
      </c>
      <c r="AB166" s="2" t="s">
        <v>51</v>
      </c>
      <c r="AC166" s="2" t="s">
        <v>52</v>
      </c>
      <c r="AD166" s="2" t="s">
        <v>53</v>
      </c>
      <c r="AE166" s="2" t="s">
        <v>54</v>
      </c>
      <c r="AF166" s="2" t="s">
        <v>55</v>
      </c>
      <c r="AG166" s="2" t="s">
        <v>169</v>
      </c>
    </row>
    <row r="167" spans="1:33" x14ac:dyDescent="0.2">
      <c r="A167" s="3" t="s">
        <v>692</v>
      </c>
      <c r="B167" s="3" t="s">
        <v>701</v>
      </c>
      <c r="C167" s="4" t="s">
        <v>74</v>
      </c>
      <c r="D167" s="3" t="s">
        <v>60</v>
      </c>
      <c r="E167" s="3" t="s">
        <v>96</v>
      </c>
      <c r="F167" s="3" t="s">
        <v>219</v>
      </c>
      <c r="G167" s="3" t="s">
        <v>39</v>
      </c>
      <c r="H167" s="3" t="s">
        <v>694</v>
      </c>
      <c r="I167" s="4">
        <v>36</v>
      </c>
      <c r="J167" s="3" t="s">
        <v>65</v>
      </c>
      <c r="K167" s="3" t="s">
        <v>140</v>
      </c>
      <c r="L167" s="3" t="s">
        <v>79</v>
      </c>
      <c r="M167" s="3" t="s">
        <v>80</v>
      </c>
      <c r="N167" s="3"/>
      <c r="O167" s="3" t="s">
        <v>157</v>
      </c>
      <c r="P167" s="3" t="s">
        <v>158</v>
      </c>
      <c r="Q167" s="3" t="s">
        <v>69</v>
      </c>
      <c r="R167" s="3" t="s">
        <v>163</v>
      </c>
      <c r="S167" s="3">
        <v>1</v>
      </c>
      <c r="T167" s="4">
        <v>153</v>
      </c>
      <c r="U167" s="4">
        <v>108</v>
      </c>
      <c r="V167" s="3">
        <v>83</v>
      </c>
      <c r="W167" s="3">
        <v>16</v>
      </c>
      <c r="X167" s="3">
        <v>36.799999999999997</v>
      </c>
      <c r="Y167" s="4">
        <v>-9</v>
      </c>
      <c r="Z167" s="3">
        <v>90</v>
      </c>
      <c r="AA167" s="3" t="s">
        <v>50</v>
      </c>
      <c r="AB167" s="3" t="s">
        <v>51</v>
      </c>
      <c r="AC167" s="3" t="s">
        <v>52</v>
      </c>
      <c r="AD167" s="3" t="s">
        <v>53</v>
      </c>
      <c r="AE167" s="3" t="s">
        <v>54</v>
      </c>
      <c r="AF167" s="3" t="s">
        <v>422</v>
      </c>
      <c r="AG167" s="3" t="s">
        <v>173</v>
      </c>
    </row>
    <row r="168" spans="1:33" x14ac:dyDescent="0.2">
      <c r="A168" s="2" t="s">
        <v>692</v>
      </c>
      <c r="B168" s="2" t="s">
        <v>702</v>
      </c>
      <c r="C168" s="4" t="s">
        <v>703</v>
      </c>
      <c r="D168" s="2" t="s">
        <v>36</v>
      </c>
      <c r="E168" s="2" t="s">
        <v>37</v>
      </c>
      <c r="F168" s="2" t="s">
        <v>122</v>
      </c>
      <c r="G168" s="2" t="s">
        <v>76</v>
      </c>
      <c r="H168" s="2" t="s">
        <v>694</v>
      </c>
      <c r="I168" s="4"/>
      <c r="J168" s="2" t="s">
        <v>65</v>
      </c>
      <c r="K168" s="2" t="s">
        <v>140</v>
      </c>
      <c r="L168" s="2" t="s">
        <v>79</v>
      </c>
      <c r="M168" s="2" t="s">
        <v>80</v>
      </c>
      <c r="N168" s="2"/>
      <c r="O168" s="2" t="s">
        <v>157</v>
      </c>
      <c r="P168" s="2" t="s">
        <v>158</v>
      </c>
      <c r="Q168" s="2" t="s">
        <v>69</v>
      </c>
      <c r="R168" s="2" t="s">
        <v>460</v>
      </c>
      <c r="S168" s="2">
        <v>1</v>
      </c>
      <c r="T168" s="4">
        <v>166</v>
      </c>
      <c r="U168" s="4"/>
      <c r="V168" s="2">
        <v>107</v>
      </c>
      <c r="W168" s="2">
        <v>16</v>
      </c>
      <c r="X168" s="2">
        <v>37.4</v>
      </c>
      <c r="Y168" s="4">
        <v>40.299999999999997</v>
      </c>
      <c r="Z168" s="2">
        <v>87</v>
      </c>
      <c r="AA168" s="2" t="s">
        <v>50</v>
      </c>
      <c r="AB168" s="2" t="s">
        <v>51</v>
      </c>
      <c r="AC168" s="2" t="s">
        <v>52</v>
      </c>
      <c r="AD168" s="2" t="s">
        <v>53</v>
      </c>
      <c r="AE168" s="2" t="s">
        <v>54</v>
      </c>
      <c r="AF168" s="2" t="s">
        <v>407</v>
      </c>
      <c r="AG168" s="2" t="s">
        <v>177</v>
      </c>
    </row>
    <row r="169" spans="1:33" x14ac:dyDescent="0.2">
      <c r="A169" s="3" t="s">
        <v>704</v>
      </c>
      <c r="B169" s="3" t="s">
        <v>705</v>
      </c>
      <c r="C169" s="4" t="s">
        <v>558</v>
      </c>
      <c r="D169" s="3" t="s">
        <v>95</v>
      </c>
      <c r="E169" s="3" t="s">
        <v>89</v>
      </c>
      <c r="F169" s="3" t="s">
        <v>148</v>
      </c>
      <c r="G169" s="3" t="s">
        <v>98</v>
      </c>
      <c r="H169" s="3" t="s">
        <v>706</v>
      </c>
      <c r="I169" s="4"/>
      <c r="J169" s="3" t="s">
        <v>65</v>
      </c>
      <c r="K169" s="3" t="s">
        <v>140</v>
      </c>
      <c r="L169" s="3" t="s">
        <v>43</v>
      </c>
      <c r="M169" s="3"/>
      <c r="N169" s="3" t="s">
        <v>182</v>
      </c>
      <c r="O169" s="3" t="s">
        <v>126</v>
      </c>
      <c r="P169" s="3" t="s">
        <v>127</v>
      </c>
      <c r="Q169" s="3" t="s">
        <v>69</v>
      </c>
      <c r="R169" s="3" t="s">
        <v>526</v>
      </c>
      <c r="S169" s="3">
        <v>2</v>
      </c>
      <c r="T169" s="4"/>
      <c r="U169" s="4"/>
      <c r="V169" s="3">
        <v>102</v>
      </c>
      <c r="W169" s="3">
        <v>24</v>
      </c>
      <c r="X169" s="3">
        <v>38.299999999999997</v>
      </c>
      <c r="Y169" s="4">
        <v>25.1</v>
      </c>
      <c r="Z169" s="3">
        <v>91</v>
      </c>
      <c r="AA169" s="3" t="s">
        <v>50</v>
      </c>
      <c r="AB169" s="3" t="s">
        <v>51</v>
      </c>
      <c r="AC169" s="3" t="s">
        <v>52</v>
      </c>
      <c r="AD169" s="3" t="s">
        <v>53</v>
      </c>
      <c r="AE169" s="3" t="s">
        <v>54</v>
      </c>
      <c r="AF169" s="3" t="s">
        <v>407</v>
      </c>
      <c r="AG169" s="3" t="s">
        <v>85</v>
      </c>
    </row>
    <row r="170" spans="1:33" x14ac:dyDescent="0.2">
      <c r="A170" s="2" t="s">
        <v>704</v>
      </c>
      <c r="B170" s="2" t="s">
        <v>707</v>
      </c>
      <c r="C170" s="4" t="s">
        <v>708</v>
      </c>
      <c r="D170" s="2" t="s">
        <v>88</v>
      </c>
      <c r="E170" s="2" t="s">
        <v>96</v>
      </c>
      <c r="F170" s="2" t="s">
        <v>38</v>
      </c>
      <c r="G170" s="2" t="s">
        <v>76</v>
      </c>
      <c r="H170" s="2" t="s">
        <v>706</v>
      </c>
      <c r="I170" s="4"/>
      <c r="J170" s="2" t="s">
        <v>65</v>
      </c>
      <c r="K170" s="2" t="s">
        <v>78</v>
      </c>
      <c r="L170" s="2" t="s">
        <v>43</v>
      </c>
      <c r="M170" s="2"/>
      <c r="N170" s="2" t="s">
        <v>182</v>
      </c>
      <c r="O170" s="2" t="s">
        <v>126</v>
      </c>
      <c r="P170" s="2" t="s">
        <v>127</v>
      </c>
      <c r="Q170" s="2" t="s">
        <v>69</v>
      </c>
      <c r="R170" s="2" t="s">
        <v>709</v>
      </c>
      <c r="S170" s="2">
        <v>4</v>
      </c>
      <c r="T170" s="4"/>
      <c r="U170" s="4">
        <v>57</v>
      </c>
      <c r="V170" s="2">
        <v>63</v>
      </c>
      <c r="W170" s="2">
        <v>17</v>
      </c>
      <c r="X170" s="2">
        <v>36.299999999999997</v>
      </c>
      <c r="Y170" s="4">
        <v>-9</v>
      </c>
      <c r="Z170" s="2">
        <v>91</v>
      </c>
      <c r="AA170" s="2" t="s">
        <v>50</v>
      </c>
      <c r="AB170" s="2" t="s">
        <v>51</v>
      </c>
      <c r="AC170" s="2" t="s">
        <v>52</v>
      </c>
      <c r="AD170" s="2" t="s">
        <v>53</v>
      </c>
      <c r="AE170" s="2" t="s">
        <v>54</v>
      </c>
      <c r="AF170" s="2" t="s">
        <v>398</v>
      </c>
      <c r="AG170" s="2" t="s">
        <v>92</v>
      </c>
    </row>
    <row r="171" spans="1:33" x14ac:dyDescent="0.2">
      <c r="A171" s="3" t="s">
        <v>704</v>
      </c>
      <c r="B171" s="3" t="s">
        <v>710</v>
      </c>
      <c r="C171" s="4" t="s">
        <v>711</v>
      </c>
      <c r="D171" s="3" t="s">
        <v>95</v>
      </c>
      <c r="E171" s="3" t="s">
        <v>89</v>
      </c>
      <c r="F171" s="3" t="s">
        <v>132</v>
      </c>
      <c r="G171" s="3" t="s">
        <v>98</v>
      </c>
      <c r="H171" s="3" t="s">
        <v>706</v>
      </c>
      <c r="I171" s="4"/>
      <c r="J171" s="3" t="s">
        <v>65</v>
      </c>
      <c r="K171" s="3" t="s">
        <v>90</v>
      </c>
      <c r="L171" s="3" t="s">
        <v>43</v>
      </c>
      <c r="M171" s="3"/>
      <c r="N171" s="3" t="s">
        <v>182</v>
      </c>
      <c r="O171" s="3" t="s">
        <v>126</v>
      </c>
      <c r="P171" s="3" t="s">
        <v>127</v>
      </c>
      <c r="Q171" s="3" t="s">
        <v>69</v>
      </c>
      <c r="R171" s="3" t="s">
        <v>712</v>
      </c>
      <c r="S171" s="3">
        <v>2</v>
      </c>
      <c r="T171" s="4">
        <v>146</v>
      </c>
      <c r="U171" s="4">
        <v>64</v>
      </c>
      <c r="V171" s="3">
        <v>102</v>
      </c>
      <c r="W171" s="3">
        <v>14</v>
      </c>
      <c r="X171" s="3">
        <v>38.1</v>
      </c>
      <c r="Y171" s="4">
        <v>40.5</v>
      </c>
      <c r="Z171" s="3">
        <v>92</v>
      </c>
      <c r="AA171" s="3" t="s">
        <v>50</v>
      </c>
      <c r="AB171" s="3" t="s">
        <v>51</v>
      </c>
      <c r="AC171" s="3" t="s">
        <v>52</v>
      </c>
      <c r="AD171" s="3" t="s">
        <v>53</v>
      </c>
      <c r="AE171" s="3" t="s">
        <v>54</v>
      </c>
      <c r="AF171" s="3" t="s">
        <v>407</v>
      </c>
      <c r="AG171" s="3" t="s">
        <v>100</v>
      </c>
    </row>
    <row r="172" spans="1:33" x14ac:dyDescent="0.2">
      <c r="A172" s="2" t="s">
        <v>704</v>
      </c>
      <c r="B172" s="2" t="s">
        <v>713</v>
      </c>
      <c r="C172" s="4" t="s">
        <v>660</v>
      </c>
      <c r="D172" s="2" t="s">
        <v>103</v>
      </c>
      <c r="E172" s="2" t="s">
        <v>37</v>
      </c>
      <c r="F172" s="2" t="s">
        <v>132</v>
      </c>
      <c r="G172" s="2" t="s">
        <v>63</v>
      </c>
      <c r="H172" s="2" t="s">
        <v>706</v>
      </c>
      <c r="I172" s="4">
        <v>79</v>
      </c>
      <c r="J172" s="2" t="s">
        <v>65</v>
      </c>
      <c r="K172" s="2" t="s">
        <v>116</v>
      </c>
      <c r="L172" s="2" t="s">
        <v>43</v>
      </c>
      <c r="M172" s="2"/>
      <c r="N172" s="2" t="s">
        <v>182</v>
      </c>
      <c r="O172" s="2" t="s">
        <v>126</v>
      </c>
      <c r="P172" s="2" t="s">
        <v>127</v>
      </c>
      <c r="Q172" s="2" t="s">
        <v>69</v>
      </c>
      <c r="R172" s="2" t="s">
        <v>714</v>
      </c>
      <c r="S172" s="2">
        <v>2</v>
      </c>
      <c r="T172" s="4">
        <v>146</v>
      </c>
      <c r="U172" s="4">
        <v>86</v>
      </c>
      <c r="V172" s="2">
        <v>93</v>
      </c>
      <c r="W172" s="2">
        <v>28</v>
      </c>
      <c r="X172" s="2">
        <v>36.5</v>
      </c>
      <c r="Y172" s="4">
        <v>-9</v>
      </c>
      <c r="Z172" s="2">
        <v>93</v>
      </c>
      <c r="AA172" s="2" t="s">
        <v>50</v>
      </c>
      <c r="AB172" s="2" t="s">
        <v>51</v>
      </c>
      <c r="AC172" s="2" t="s">
        <v>52</v>
      </c>
      <c r="AD172" s="2" t="s">
        <v>53</v>
      </c>
      <c r="AE172" s="2" t="s">
        <v>54</v>
      </c>
      <c r="AF172" s="2" t="s">
        <v>422</v>
      </c>
      <c r="AG172" s="2" t="s">
        <v>106</v>
      </c>
    </row>
    <row r="173" spans="1:33" x14ac:dyDescent="0.2">
      <c r="A173" s="3" t="s">
        <v>704</v>
      </c>
      <c r="B173" s="3" t="s">
        <v>715</v>
      </c>
      <c r="C173" s="4" t="s">
        <v>432</v>
      </c>
      <c r="D173" s="3" t="s">
        <v>88</v>
      </c>
      <c r="E173" s="3" t="s">
        <v>89</v>
      </c>
      <c r="F173" s="3" t="s">
        <v>132</v>
      </c>
      <c r="G173" s="3" t="s">
        <v>63</v>
      </c>
      <c r="H173" s="3" t="s">
        <v>706</v>
      </c>
      <c r="I173" s="4">
        <v>79</v>
      </c>
      <c r="J173" s="3" t="s">
        <v>65</v>
      </c>
      <c r="K173" s="3" t="s">
        <v>78</v>
      </c>
      <c r="L173" s="3" t="s">
        <v>43</v>
      </c>
      <c r="M173" s="3"/>
      <c r="N173" s="3" t="s">
        <v>182</v>
      </c>
      <c r="O173" s="3" t="s">
        <v>126</v>
      </c>
      <c r="P173" s="3" t="s">
        <v>127</v>
      </c>
      <c r="Q173" s="3" t="s">
        <v>69</v>
      </c>
      <c r="R173" s="3" t="s">
        <v>45</v>
      </c>
      <c r="S173" s="3">
        <v>1</v>
      </c>
      <c r="T173" s="4"/>
      <c r="U173" s="4">
        <v>59</v>
      </c>
      <c r="V173" s="3">
        <v>79</v>
      </c>
      <c r="W173" s="3">
        <v>18</v>
      </c>
      <c r="X173" s="3">
        <v>37</v>
      </c>
      <c r="Y173" s="4">
        <v>-9</v>
      </c>
      <c r="Z173" s="3">
        <v>93</v>
      </c>
      <c r="AA173" s="3" t="s">
        <v>50</v>
      </c>
      <c r="AB173" s="3" t="s">
        <v>51</v>
      </c>
      <c r="AC173" s="3" t="s">
        <v>52</v>
      </c>
      <c r="AD173" s="3" t="s">
        <v>53</v>
      </c>
      <c r="AE173" s="3" t="s">
        <v>54</v>
      </c>
      <c r="AF173" s="3" t="s">
        <v>422</v>
      </c>
      <c r="AG173" s="3" t="s">
        <v>112</v>
      </c>
    </row>
    <row r="174" spans="1:33" x14ac:dyDescent="0.2">
      <c r="A174" s="2" t="s">
        <v>704</v>
      </c>
      <c r="B174" s="2" t="s">
        <v>716</v>
      </c>
      <c r="C174" s="4" t="s">
        <v>313</v>
      </c>
      <c r="D174" s="2" t="s">
        <v>36</v>
      </c>
      <c r="E174" s="2" t="s">
        <v>96</v>
      </c>
      <c r="F174" s="2" t="s">
        <v>38</v>
      </c>
      <c r="G174" s="2" t="s">
        <v>39</v>
      </c>
      <c r="H174" s="2" t="s">
        <v>706</v>
      </c>
      <c r="I174" s="4">
        <v>79</v>
      </c>
      <c r="J174" s="2" t="s">
        <v>65</v>
      </c>
      <c r="K174" s="2" t="s">
        <v>110</v>
      </c>
      <c r="L174" s="2" t="s">
        <v>43</v>
      </c>
      <c r="M174" s="2"/>
      <c r="N174" s="2" t="s">
        <v>182</v>
      </c>
      <c r="O174" s="2" t="s">
        <v>126</v>
      </c>
      <c r="P174" s="2" t="s">
        <v>127</v>
      </c>
      <c r="Q174" s="2" t="s">
        <v>69</v>
      </c>
      <c r="R174" s="2" t="s">
        <v>717</v>
      </c>
      <c r="S174" s="2">
        <v>4</v>
      </c>
      <c r="T174" s="4"/>
      <c r="U174" s="4">
        <v>61</v>
      </c>
      <c r="V174" s="2">
        <v>71</v>
      </c>
      <c r="W174" s="2">
        <v>21</v>
      </c>
      <c r="X174" s="2">
        <v>37.1</v>
      </c>
      <c r="Y174" s="4">
        <v>29.2</v>
      </c>
      <c r="Z174" s="2">
        <v>92</v>
      </c>
      <c r="AA174" s="2" t="s">
        <v>50</v>
      </c>
      <c r="AB174" s="2" t="s">
        <v>51</v>
      </c>
      <c r="AC174" s="2" t="s">
        <v>52</v>
      </c>
      <c r="AD174" s="2" t="s">
        <v>53</v>
      </c>
      <c r="AE174" s="2" t="s">
        <v>54</v>
      </c>
      <c r="AF174" s="2" t="s">
        <v>318</v>
      </c>
      <c r="AG174" s="2" t="s">
        <v>118</v>
      </c>
    </row>
    <row r="175" spans="1:33" x14ac:dyDescent="0.2">
      <c r="A175" s="3" t="s">
        <v>718</v>
      </c>
      <c r="B175" s="3" t="s">
        <v>719</v>
      </c>
      <c r="C175" s="3" t="s">
        <v>720</v>
      </c>
      <c r="D175" s="3" t="s">
        <v>95</v>
      </c>
      <c r="E175" s="3" t="s">
        <v>96</v>
      </c>
      <c r="F175" s="3" t="s">
        <v>148</v>
      </c>
      <c r="G175" s="3" t="s">
        <v>76</v>
      </c>
      <c r="H175" s="3" t="s">
        <v>721</v>
      </c>
      <c r="I175" s="3">
        <v>65</v>
      </c>
      <c r="J175" s="3" t="s">
        <v>65</v>
      </c>
      <c r="K175" s="3" t="s">
        <v>66</v>
      </c>
      <c r="L175" s="3" t="s">
        <v>79</v>
      </c>
      <c r="M175" s="3"/>
      <c r="N175" s="3" t="s">
        <v>45</v>
      </c>
      <c r="O175" s="3" t="s">
        <v>183</v>
      </c>
      <c r="P175" s="3" t="s">
        <v>184</v>
      </c>
      <c r="Q175" s="3" t="s">
        <v>48</v>
      </c>
      <c r="R175" s="3" t="s">
        <v>722</v>
      </c>
      <c r="S175" s="3">
        <v>2</v>
      </c>
      <c r="T175" s="3">
        <v>107</v>
      </c>
      <c r="U175" s="3">
        <v>113</v>
      </c>
      <c r="V175" s="3">
        <v>83</v>
      </c>
      <c r="W175" s="3">
        <v>25</v>
      </c>
      <c r="X175" s="3">
        <v>36.9</v>
      </c>
      <c r="Y175" s="3">
        <v>29.4</v>
      </c>
      <c r="Z175" s="3">
        <v>95</v>
      </c>
      <c r="AA175" s="3" t="s">
        <v>50</v>
      </c>
      <c r="AB175" s="3" t="s">
        <v>51</v>
      </c>
      <c r="AC175" s="3" t="s">
        <v>52</v>
      </c>
      <c r="AD175" s="3" t="s">
        <v>53</v>
      </c>
      <c r="AE175" s="3" t="s">
        <v>54</v>
      </c>
      <c r="AF175" s="3" t="s">
        <v>55</v>
      </c>
      <c r="AG175" s="3" t="s">
        <v>186</v>
      </c>
    </row>
    <row r="176" spans="1:33" x14ac:dyDescent="0.2">
      <c r="A176" s="2" t="s">
        <v>718</v>
      </c>
      <c r="B176" s="2" t="s">
        <v>723</v>
      </c>
      <c r="C176" s="2" t="s">
        <v>724</v>
      </c>
      <c r="D176" s="2" t="s">
        <v>103</v>
      </c>
      <c r="E176" s="2" t="s">
        <v>61</v>
      </c>
      <c r="F176" s="2" t="s">
        <v>75</v>
      </c>
      <c r="G176" s="2" t="s">
        <v>138</v>
      </c>
      <c r="H176" s="2" t="s">
        <v>721</v>
      </c>
      <c r="I176" s="2">
        <v>65</v>
      </c>
      <c r="J176" s="2" t="s">
        <v>65</v>
      </c>
      <c r="K176" s="2" t="s">
        <v>110</v>
      </c>
      <c r="L176" s="2" t="s">
        <v>79</v>
      </c>
      <c r="M176" s="2"/>
      <c r="N176" s="2" t="s">
        <v>45</v>
      </c>
      <c r="O176" s="2" t="s">
        <v>183</v>
      </c>
      <c r="P176" s="2" t="s">
        <v>184</v>
      </c>
      <c r="Q176" s="2" t="s">
        <v>48</v>
      </c>
      <c r="R176" s="2" t="s">
        <v>725</v>
      </c>
      <c r="S176" s="2">
        <v>1</v>
      </c>
      <c r="T176" s="2">
        <v>141</v>
      </c>
      <c r="U176" s="2">
        <v>65</v>
      </c>
      <c r="V176" s="2">
        <v>73</v>
      </c>
      <c r="W176" s="2">
        <v>20</v>
      </c>
      <c r="X176" s="2">
        <v>36.4</v>
      </c>
      <c r="Y176" s="2">
        <v>41.8</v>
      </c>
      <c r="Z176" s="2">
        <v>98</v>
      </c>
      <c r="AA176" s="2" t="s">
        <v>50</v>
      </c>
      <c r="AB176" s="2" t="s">
        <v>51</v>
      </c>
      <c r="AC176" s="2" t="s">
        <v>52</v>
      </c>
      <c r="AD176" s="2" t="s">
        <v>53</v>
      </c>
      <c r="AE176" s="2" t="s">
        <v>54</v>
      </c>
      <c r="AF176" s="2" t="s">
        <v>55</v>
      </c>
      <c r="AG176" s="2" t="s">
        <v>191</v>
      </c>
    </row>
    <row r="177" spans="1:33" x14ac:dyDescent="0.2">
      <c r="A177" s="3" t="s">
        <v>726</v>
      </c>
      <c r="B177" s="3" t="s">
        <v>727</v>
      </c>
      <c r="C177" s="3" t="s">
        <v>728</v>
      </c>
      <c r="D177" s="3" t="s">
        <v>36</v>
      </c>
      <c r="E177" s="3" t="s">
        <v>37</v>
      </c>
      <c r="F177" s="3" t="s">
        <v>132</v>
      </c>
      <c r="G177" s="3" t="s">
        <v>123</v>
      </c>
      <c r="H177" s="3" t="s">
        <v>729</v>
      </c>
      <c r="I177" s="3">
        <v>24</v>
      </c>
      <c r="J177" s="3" t="s">
        <v>65</v>
      </c>
      <c r="K177" s="3" t="s">
        <v>140</v>
      </c>
      <c r="L177" s="3" t="s">
        <v>79</v>
      </c>
      <c r="M177" s="3"/>
      <c r="N177" s="3"/>
      <c r="O177" s="3" t="s">
        <v>211</v>
      </c>
      <c r="P177" s="3" t="s">
        <v>212</v>
      </c>
      <c r="Q177" s="3" t="s">
        <v>48</v>
      </c>
      <c r="R177" s="3" t="s">
        <v>730</v>
      </c>
      <c r="S177" s="3">
        <v>3</v>
      </c>
      <c r="T177" s="3">
        <v>156</v>
      </c>
      <c r="U177" s="3">
        <v>70</v>
      </c>
      <c r="V177" s="3">
        <v>87</v>
      </c>
      <c r="W177" s="3">
        <v>19</v>
      </c>
      <c r="X177" s="3">
        <v>39.1</v>
      </c>
      <c r="Y177" s="3">
        <v>31</v>
      </c>
      <c r="Z177" s="3">
        <v>94</v>
      </c>
      <c r="AA177" s="3" t="s">
        <v>50</v>
      </c>
      <c r="AB177" s="3" t="s">
        <v>51</v>
      </c>
      <c r="AC177" s="3" t="s">
        <v>52</v>
      </c>
      <c r="AD177" s="3" t="s">
        <v>53</v>
      </c>
      <c r="AE177" s="3" t="s">
        <v>54</v>
      </c>
      <c r="AF177" s="3" t="s">
        <v>55</v>
      </c>
      <c r="AG177" s="3" t="s">
        <v>186</v>
      </c>
    </row>
    <row r="178" spans="1:33" x14ac:dyDescent="0.2">
      <c r="A178" s="2" t="s">
        <v>726</v>
      </c>
      <c r="B178" s="2" t="s">
        <v>731</v>
      </c>
      <c r="C178" s="2" t="s">
        <v>387</v>
      </c>
      <c r="D178" s="2" t="s">
        <v>103</v>
      </c>
      <c r="E178" s="2" t="s">
        <v>61</v>
      </c>
      <c r="F178" s="2" t="s">
        <v>97</v>
      </c>
      <c r="G178" s="2" t="s">
        <v>123</v>
      </c>
      <c r="H178" s="2" t="s">
        <v>729</v>
      </c>
      <c r="I178" s="2">
        <v>24</v>
      </c>
      <c r="J178" s="2" t="s">
        <v>65</v>
      </c>
      <c r="K178" s="2" t="s">
        <v>140</v>
      </c>
      <c r="L178" s="2" t="s">
        <v>79</v>
      </c>
      <c r="M178" s="2"/>
      <c r="N178" s="2"/>
      <c r="O178" s="2" t="s">
        <v>211</v>
      </c>
      <c r="P178" s="2" t="s">
        <v>212</v>
      </c>
      <c r="Q178" s="2" t="s">
        <v>48</v>
      </c>
      <c r="R178" s="2" t="s">
        <v>117</v>
      </c>
      <c r="S178" s="2">
        <v>1</v>
      </c>
      <c r="T178" s="2">
        <v>165</v>
      </c>
      <c r="U178" s="2">
        <v>68</v>
      </c>
      <c r="V178" s="2">
        <v>67</v>
      </c>
      <c r="W178" s="2">
        <v>16</v>
      </c>
      <c r="X178" s="2">
        <v>36.700000000000003</v>
      </c>
      <c r="Y178" s="2">
        <v>36.1</v>
      </c>
      <c r="Z178" s="2">
        <v>94</v>
      </c>
      <c r="AA178" s="2" t="s">
        <v>50</v>
      </c>
      <c r="AB178" s="2" t="s">
        <v>51</v>
      </c>
      <c r="AC178" s="2" t="s">
        <v>52</v>
      </c>
      <c r="AD178" s="2" t="s">
        <v>53</v>
      </c>
      <c r="AE178" s="2" t="s">
        <v>54</v>
      </c>
      <c r="AF178" s="2" t="s">
        <v>55</v>
      </c>
      <c r="AG178" s="2" t="s">
        <v>191</v>
      </c>
    </row>
    <row r="179" spans="1:33" x14ac:dyDescent="0.2">
      <c r="A179" s="3" t="s">
        <v>732</v>
      </c>
      <c r="B179" s="3" t="s">
        <v>733</v>
      </c>
      <c r="C179" s="3" t="s">
        <v>734</v>
      </c>
      <c r="D179" s="3" t="s">
        <v>60</v>
      </c>
      <c r="E179" s="3" t="s">
        <v>96</v>
      </c>
      <c r="F179" s="3" t="s">
        <v>122</v>
      </c>
      <c r="G179" s="3" t="s">
        <v>76</v>
      </c>
      <c r="H179" s="3" t="s">
        <v>735</v>
      </c>
      <c r="I179" s="3">
        <v>57</v>
      </c>
      <c r="J179" s="3" t="s">
        <v>65</v>
      </c>
      <c r="K179" s="3" t="s">
        <v>42</v>
      </c>
      <c r="L179" s="3" t="s">
        <v>141</v>
      </c>
      <c r="M179" s="3" t="s">
        <v>125</v>
      </c>
      <c r="N179" s="3"/>
      <c r="O179" s="3" t="s">
        <v>254</v>
      </c>
      <c r="P179" s="3" t="s">
        <v>255</v>
      </c>
      <c r="Q179" s="3" t="s">
        <v>69</v>
      </c>
      <c r="R179" s="3" t="s">
        <v>736</v>
      </c>
      <c r="S179" s="3">
        <v>3</v>
      </c>
      <c r="T179" s="3">
        <v>122</v>
      </c>
      <c r="U179" s="3">
        <v>86</v>
      </c>
      <c r="V179" s="3">
        <v>97</v>
      </c>
      <c r="W179" s="3">
        <v>21</v>
      </c>
      <c r="X179" s="3">
        <v>36</v>
      </c>
      <c r="Y179" s="3">
        <v>46</v>
      </c>
      <c r="Z179" s="3">
        <v>100</v>
      </c>
      <c r="AA179" s="3" t="s">
        <v>50</v>
      </c>
      <c r="AB179" s="3" t="s">
        <v>51</v>
      </c>
      <c r="AC179" s="3" t="s">
        <v>52</v>
      </c>
      <c r="AD179" s="3" t="s">
        <v>53</v>
      </c>
      <c r="AE179" s="3" t="s">
        <v>54</v>
      </c>
      <c r="AF179" s="3" t="s">
        <v>55</v>
      </c>
      <c r="AG179" s="3" t="s">
        <v>394</v>
      </c>
    </row>
    <row r="180" spans="1:33" x14ac:dyDescent="0.2">
      <c r="A180" s="2" t="s">
        <v>732</v>
      </c>
      <c r="B180" s="2" t="s">
        <v>737</v>
      </c>
      <c r="C180" s="2" t="s">
        <v>738</v>
      </c>
      <c r="D180" s="2" t="s">
        <v>36</v>
      </c>
      <c r="E180" s="2" t="s">
        <v>61</v>
      </c>
      <c r="F180" s="2" t="s">
        <v>75</v>
      </c>
      <c r="G180" s="2" t="s">
        <v>98</v>
      </c>
      <c r="H180" s="2" t="s">
        <v>735</v>
      </c>
      <c r="I180" s="2">
        <v>57</v>
      </c>
      <c r="J180" s="2" t="s">
        <v>65</v>
      </c>
      <c r="K180" s="2" t="s">
        <v>42</v>
      </c>
      <c r="L180" s="2" t="s">
        <v>141</v>
      </c>
      <c r="M180" s="2" t="s">
        <v>125</v>
      </c>
      <c r="N180" s="2"/>
      <c r="O180" s="2" t="s">
        <v>254</v>
      </c>
      <c r="P180" s="2" t="s">
        <v>255</v>
      </c>
      <c r="Q180" s="2" t="s">
        <v>69</v>
      </c>
      <c r="R180" s="2" t="s">
        <v>739</v>
      </c>
      <c r="S180" s="2">
        <v>2</v>
      </c>
      <c r="T180" s="2">
        <v>124</v>
      </c>
      <c r="U180" s="2">
        <v>72</v>
      </c>
      <c r="V180" s="2">
        <v>99</v>
      </c>
      <c r="W180" s="2">
        <v>27</v>
      </c>
      <c r="X180" s="2">
        <v>38.1</v>
      </c>
      <c r="Y180" s="2">
        <v>22.9</v>
      </c>
      <c r="Z180" s="2">
        <v>94</v>
      </c>
      <c r="AA180" s="2" t="s">
        <v>50</v>
      </c>
      <c r="AB180" s="2" t="s">
        <v>51</v>
      </c>
      <c r="AC180" s="2" t="s">
        <v>52</v>
      </c>
      <c r="AD180" s="2" t="s">
        <v>53</v>
      </c>
      <c r="AE180" s="2" t="s">
        <v>54</v>
      </c>
      <c r="AF180" s="2" t="s">
        <v>55</v>
      </c>
      <c r="AG180" s="2" t="s">
        <v>399</v>
      </c>
    </row>
    <row r="181" spans="1:33" x14ac:dyDescent="0.2">
      <c r="A181" s="3" t="s">
        <v>732</v>
      </c>
      <c r="B181" s="3" t="s">
        <v>740</v>
      </c>
      <c r="C181" s="3" t="s">
        <v>741</v>
      </c>
      <c r="D181" s="3" t="s">
        <v>36</v>
      </c>
      <c r="E181" s="3" t="s">
        <v>89</v>
      </c>
      <c r="F181" s="3" t="s">
        <v>62</v>
      </c>
      <c r="G181" s="3" t="s">
        <v>115</v>
      </c>
      <c r="H181" s="3" t="s">
        <v>735</v>
      </c>
      <c r="I181" s="3">
        <v>57</v>
      </c>
      <c r="J181" s="3" t="s">
        <v>65</v>
      </c>
      <c r="K181" s="3" t="s">
        <v>66</v>
      </c>
      <c r="L181" s="3" t="s">
        <v>141</v>
      </c>
      <c r="M181" s="3" t="s">
        <v>125</v>
      </c>
      <c r="N181" s="3"/>
      <c r="O181" s="3" t="s">
        <v>254</v>
      </c>
      <c r="P181" s="3" t="s">
        <v>255</v>
      </c>
      <c r="Q181" s="3" t="s">
        <v>69</v>
      </c>
      <c r="R181" s="3" t="s">
        <v>742</v>
      </c>
      <c r="S181" s="3">
        <v>2</v>
      </c>
      <c r="T181" s="3">
        <v>177</v>
      </c>
      <c r="U181" s="3">
        <v>79</v>
      </c>
      <c r="V181" s="3">
        <v>105</v>
      </c>
      <c r="W181" s="3">
        <v>21</v>
      </c>
      <c r="X181" s="3">
        <v>39.200000000000003</v>
      </c>
      <c r="Y181" s="3">
        <v>40.799999999999997</v>
      </c>
      <c r="Z181" s="3">
        <v>91</v>
      </c>
      <c r="AA181" s="3" t="s">
        <v>50</v>
      </c>
      <c r="AB181" s="3" t="s">
        <v>51</v>
      </c>
      <c r="AC181" s="3" t="s">
        <v>52</v>
      </c>
      <c r="AD181" s="3" t="s">
        <v>53</v>
      </c>
      <c r="AE181" s="3" t="s">
        <v>54</v>
      </c>
      <c r="AF181" s="3" t="s">
        <v>55</v>
      </c>
      <c r="AG181" s="3" t="s">
        <v>403</v>
      </c>
    </row>
    <row r="182" spans="1:33" x14ac:dyDescent="0.2">
      <c r="A182" s="2" t="s">
        <v>732</v>
      </c>
      <c r="B182" s="2" t="s">
        <v>743</v>
      </c>
      <c r="C182" s="2" t="s">
        <v>744</v>
      </c>
      <c r="D182" s="2" t="s">
        <v>103</v>
      </c>
      <c r="E182" s="2" t="s">
        <v>167</v>
      </c>
      <c r="F182" s="2" t="s">
        <v>189</v>
      </c>
      <c r="G182" s="2" t="s">
        <v>104</v>
      </c>
      <c r="H182" s="2" t="s">
        <v>735</v>
      </c>
      <c r="I182" s="2">
        <v>57</v>
      </c>
      <c r="J182" s="2" t="s">
        <v>65</v>
      </c>
      <c r="K182" s="2" t="s">
        <v>78</v>
      </c>
      <c r="L182" s="2" t="s">
        <v>141</v>
      </c>
      <c r="M182" s="2" t="s">
        <v>125</v>
      </c>
      <c r="N182" s="2"/>
      <c r="O182" s="2" t="s">
        <v>254</v>
      </c>
      <c r="P182" s="2" t="s">
        <v>255</v>
      </c>
      <c r="Q182" s="2" t="s">
        <v>69</v>
      </c>
      <c r="R182" s="2" t="s">
        <v>745</v>
      </c>
      <c r="S182" s="2">
        <v>2</v>
      </c>
      <c r="T182" s="2">
        <v>174</v>
      </c>
      <c r="U182" s="2">
        <v>66</v>
      </c>
      <c r="V182" s="2">
        <v>57</v>
      </c>
      <c r="W182" s="2">
        <v>14</v>
      </c>
      <c r="X182" s="2">
        <v>36.799999999999997</v>
      </c>
      <c r="Y182" s="2">
        <v>40.5</v>
      </c>
      <c r="Z182" s="2">
        <v>97</v>
      </c>
      <c r="AA182" s="2" t="s">
        <v>50</v>
      </c>
      <c r="AB182" s="2" t="s">
        <v>51</v>
      </c>
      <c r="AC182" s="2" t="s">
        <v>52</v>
      </c>
      <c r="AD182" s="2" t="s">
        <v>53</v>
      </c>
      <c r="AE182" s="2" t="s">
        <v>54</v>
      </c>
      <c r="AF182" s="2" t="s">
        <v>55</v>
      </c>
      <c r="AG182" s="2" t="s">
        <v>408</v>
      </c>
    </row>
    <row r="183" spans="1:33" x14ac:dyDescent="0.2">
      <c r="A183" s="3" t="s">
        <v>746</v>
      </c>
      <c r="B183" s="3" t="s">
        <v>747</v>
      </c>
      <c r="C183" s="3" t="s">
        <v>748</v>
      </c>
      <c r="D183" s="3" t="s">
        <v>36</v>
      </c>
      <c r="E183" s="3" t="s">
        <v>96</v>
      </c>
      <c r="F183" s="3" t="s">
        <v>97</v>
      </c>
      <c r="G183" s="3" t="s">
        <v>98</v>
      </c>
      <c r="H183" s="3" t="s">
        <v>749</v>
      </c>
      <c r="I183" s="3">
        <v>65</v>
      </c>
      <c r="J183" s="3" t="s">
        <v>65</v>
      </c>
      <c r="K183" s="3" t="s">
        <v>140</v>
      </c>
      <c r="L183" s="3" t="s">
        <v>45</v>
      </c>
      <c r="M183" s="3"/>
      <c r="N183" s="3" t="s">
        <v>45</v>
      </c>
      <c r="O183" s="3" t="s">
        <v>183</v>
      </c>
      <c r="P183" s="3" t="s">
        <v>184</v>
      </c>
      <c r="Q183" s="3" t="s">
        <v>48</v>
      </c>
      <c r="R183" s="3" t="s">
        <v>750</v>
      </c>
      <c r="S183" s="3">
        <v>4</v>
      </c>
      <c r="T183" s="3">
        <v>147</v>
      </c>
      <c r="U183" s="3">
        <v>92</v>
      </c>
      <c r="V183" s="3">
        <v>85</v>
      </c>
      <c r="W183" s="3">
        <v>15</v>
      </c>
      <c r="X183" s="3">
        <v>36.4</v>
      </c>
      <c r="Y183" s="3">
        <v>36.9</v>
      </c>
      <c r="Z183" s="3">
        <v>94</v>
      </c>
      <c r="AA183" s="3" t="s">
        <v>50</v>
      </c>
      <c r="AB183" s="3" t="s">
        <v>51</v>
      </c>
      <c r="AC183" s="3" t="s">
        <v>52</v>
      </c>
      <c r="AD183" s="3" t="s">
        <v>53</v>
      </c>
      <c r="AE183" s="3" t="s">
        <v>54</v>
      </c>
      <c r="AF183" s="3" t="s">
        <v>55</v>
      </c>
      <c r="AG183" s="3" t="s">
        <v>186</v>
      </c>
    </row>
    <row r="184" spans="1:33" x14ac:dyDescent="0.2">
      <c r="A184" s="2" t="s">
        <v>746</v>
      </c>
      <c r="B184" s="2" t="s">
        <v>751</v>
      </c>
      <c r="C184" s="2" t="s">
        <v>752</v>
      </c>
      <c r="D184" s="2" t="s">
        <v>95</v>
      </c>
      <c r="E184" s="2" t="s">
        <v>37</v>
      </c>
      <c r="F184" s="2" t="s">
        <v>38</v>
      </c>
      <c r="G184" s="2" t="s">
        <v>39</v>
      </c>
      <c r="H184" s="2" t="s">
        <v>749</v>
      </c>
      <c r="I184" s="2">
        <v>65</v>
      </c>
      <c r="J184" s="2" t="s">
        <v>65</v>
      </c>
      <c r="K184" s="2" t="s">
        <v>116</v>
      </c>
      <c r="L184" s="2" t="s">
        <v>45</v>
      </c>
      <c r="M184" s="2"/>
      <c r="N184" s="2" t="s">
        <v>45</v>
      </c>
      <c r="O184" s="2" t="s">
        <v>183</v>
      </c>
      <c r="P184" s="2" t="s">
        <v>184</v>
      </c>
      <c r="Q184" s="2" t="s">
        <v>48</v>
      </c>
      <c r="R184" s="2" t="s">
        <v>753</v>
      </c>
      <c r="S184" s="2">
        <v>4</v>
      </c>
      <c r="T184" s="2">
        <v>173</v>
      </c>
      <c r="U184" s="2">
        <v>66</v>
      </c>
      <c r="V184" s="2">
        <v>56</v>
      </c>
      <c r="W184" s="2">
        <v>17</v>
      </c>
      <c r="X184" s="2">
        <v>39.200000000000003</v>
      </c>
      <c r="Y184" s="2">
        <v>26.4</v>
      </c>
      <c r="Z184" s="2">
        <v>88</v>
      </c>
      <c r="AA184" s="2" t="s">
        <v>50</v>
      </c>
      <c r="AB184" s="2" t="s">
        <v>51</v>
      </c>
      <c r="AC184" s="2" t="s">
        <v>52</v>
      </c>
      <c r="AD184" s="2" t="s">
        <v>53</v>
      </c>
      <c r="AE184" s="2" t="s">
        <v>54</v>
      </c>
      <c r="AF184" s="2" t="s">
        <v>55</v>
      </c>
      <c r="AG184" s="2" t="s">
        <v>191</v>
      </c>
    </row>
    <row r="185" spans="1:33" x14ac:dyDescent="0.2">
      <c r="A185" s="3" t="s">
        <v>754</v>
      </c>
      <c r="B185" s="3" t="s">
        <v>755</v>
      </c>
      <c r="C185" s="3" t="s">
        <v>756</v>
      </c>
      <c r="D185" s="3" t="s">
        <v>88</v>
      </c>
      <c r="E185" s="3" t="s">
        <v>89</v>
      </c>
      <c r="F185" s="3" t="s">
        <v>62</v>
      </c>
      <c r="G185" s="3" t="s">
        <v>115</v>
      </c>
      <c r="H185" s="3" t="s">
        <v>757</v>
      </c>
      <c r="I185" s="3">
        <v>69</v>
      </c>
      <c r="J185" s="3" t="s">
        <v>65</v>
      </c>
      <c r="K185" s="3" t="s">
        <v>110</v>
      </c>
      <c r="L185" s="3" t="s">
        <v>45</v>
      </c>
      <c r="M185" s="3" t="s">
        <v>80</v>
      </c>
      <c r="N185" s="3" t="s">
        <v>81</v>
      </c>
      <c r="O185" s="3" t="s">
        <v>150</v>
      </c>
      <c r="P185" s="3" t="s">
        <v>151</v>
      </c>
      <c r="Q185" s="3" t="s">
        <v>69</v>
      </c>
      <c r="R185" s="3" t="s">
        <v>758</v>
      </c>
      <c r="S185" s="3">
        <v>3</v>
      </c>
      <c r="T185" s="3">
        <v>163</v>
      </c>
      <c r="U185" s="3">
        <v>87</v>
      </c>
      <c r="V185" s="3">
        <v>51</v>
      </c>
      <c r="W185" s="3">
        <v>12</v>
      </c>
      <c r="X185" s="3">
        <v>38.299999999999997</v>
      </c>
      <c r="Y185" s="3">
        <v>23.9</v>
      </c>
      <c r="Z185" s="3">
        <v>98</v>
      </c>
      <c r="AA185" s="3" t="s">
        <v>50</v>
      </c>
      <c r="AB185" s="3" t="s">
        <v>51</v>
      </c>
      <c r="AC185" s="3" t="s">
        <v>52</v>
      </c>
      <c r="AD185" s="3" t="s">
        <v>53</v>
      </c>
      <c r="AE185" s="3" t="s">
        <v>54</v>
      </c>
      <c r="AF185" s="3" t="s">
        <v>55</v>
      </c>
      <c r="AG185" s="3" t="s">
        <v>71</v>
      </c>
    </row>
    <row r="186" spans="1:33" x14ac:dyDescent="0.2">
      <c r="A186" s="2" t="s">
        <v>759</v>
      </c>
      <c r="B186" s="2" t="s">
        <v>760</v>
      </c>
      <c r="C186" s="2" t="s">
        <v>761</v>
      </c>
      <c r="D186" s="2" t="s">
        <v>88</v>
      </c>
      <c r="E186" s="2" t="s">
        <v>89</v>
      </c>
      <c r="F186" s="2" t="s">
        <v>38</v>
      </c>
      <c r="G186" s="2" t="s">
        <v>63</v>
      </c>
      <c r="H186" s="2" t="s">
        <v>762</v>
      </c>
      <c r="I186" s="2">
        <v>56</v>
      </c>
      <c r="J186" s="2" t="s">
        <v>41</v>
      </c>
      <c r="K186" s="2" t="s">
        <v>42</v>
      </c>
      <c r="L186" s="2" t="s">
        <v>79</v>
      </c>
      <c r="M186" s="2"/>
      <c r="N186" s="2" t="s">
        <v>182</v>
      </c>
      <c r="O186" s="2" t="s">
        <v>283</v>
      </c>
      <c r="P186" s="2" t="s">
        <v>284</v>
      </c>
      <c r="Q186" s="2" t="s">
        <v>69</v>
      </c>
      <c r="R186" s="2" t="s">
        <v>763</v>
      </c>
      <c r="S186" s="2">
        <v>2</v>
      </c>
      <c r="T186" s="2">
        <v>127</v>
      </c>
      <c r="U186" s="2">
        <v>66</v>
      </c>
      <c r="V186" s="2">
        <v>121</v>
      </c>
      <c r="W186" s="2">
        <v>27</v>
      </c>
      <c r="X186" s="2">
        <v>37.299999999999997</v>
      </c>
      <c r="Y186" s="2">
        <v>24</v>
      </c>
      <c r="Z186" s="2">
        <v>96</v>
      </c>
      <c r="AA186" s="2" t="s">
        <v>50</v>
      </c>
      <c r="AB186" s="2" t="s">
        <v>51</v>
      </c>
      <c r="AC186" s="2" t="s">
        <v>52</v>
      </c>
      <c r="AD186" s="2" t="s">
        <v>53</v>
      </c>
      <c r="AE186" s="2" t="s">
        <v>54</v>
      </c>
      <c r="AF186" s="2" t="s">
        <v>55</v>
      </c>
      <c r="AG186" s="2" t="s">
        <v>160</v>
      </c>
    </row>
    <row r="187" spans="1:33" x14ac:dyDescent="0.2">
      <c r="A187" s="3" t="s">
        <v>759</v>
      </c>
      <c r="B187" s="3" t="s">
        <v>764</v>
      </c>
      <c r="C187" s="3" t="s">
        <v>765</v>
      </c>
      <c r="D187" s="3" t="s">
        <v>60</v>
      </c>
      <c r="E187" s="3" t="s">
        <v>37</v>
      </c>
      <c r="F187" s="3" t="s">
        <v>132</v>
      </c>
      <c r="G187" s="3" t="s">
        <v>98</v>
      </c>
      <c r="H187" s="3" t="s">
        <v>762</v>
      </c>
      <c r="I187" s="3">
        <v>56</v>
      </c>
      <c r="J187" s="3" t="s">
        <v>41</v>
      </c>
      <c r="K187" s="3" t="s">
        <v>78</v>
      </c>
      <c r="L187" s="3" t="s">
        <v>79</v>
      </c>
      <c r="M187" s="3"/>
      <c r="N187" s="3" t="s">
        <v>182</v>
      </c>
      <c r="O187" s="3" t="s">
        <v>283</v>
      </c>
      <c r="P187" s="3" t="s">
        <v>284</v>
      </c>
      <c r="Q187" s="3" t="s">
        <v>69</v>
      </c>
      <c r="R187" s="3" t="s">
        <v>163</v>
      </c>
      <c r="S187" s="3">
        <v>1</v>
      </c>
      <c r="T187" s="3">
        <v>154</v>
      </c>
      <c r="U187" s="3">
        <v>57</v>
      </c>
      <c r="V187" s="3">
        <v>116</v>
      </c>
      <c r="W187" s="3">
        <v>16</v>
      </c>
      <c r="X187" s="3">
        <v>37.700000000000003</v>
      </c>
      <c r="Y187" s="3">
        <v>18.899999999999999</v>
      </c>
      <c r="Z187" s="3">
        <v>100</v>
      </c>
      <c r="AA187" s="3" t="s">
        <v>50</v>
      </c>
      <c r="AB187" s="3" t="s">
        <v>51</v>
      </c>
      <c r="AC187" s="3" t="s">
        <v>52</v>
      </c>
      <c r="AD187" s="3" t="s">
        <v>53</v>
      </c>
      <c r="AE187" s="3" t="s">
        <v>54</v>
      </c>
      <c r="AF187" s="3" t="s">
        <v>55</v>
      </c>
      <c r="AG187" s="3" t="s">
        <v>164</v>
      </c>
    </row>
    <row r="188" spans="1:33" x14ac:dyDescent="0.2">
      <c r="A188" s="2" t="s">
        <v>759</v>
      </c>
      <c r="B188" s="2" t="s">
        <v>766</v>
      </c>
      <c r="C188" s="2" t="s">
        <v>728</v>
      </c>
      <c r="D188" s="2" t="s">
        <v>60</v>
      </c>
      <c r="E188" s="2" t="s">
        <v>89</v>
      </c>
      <c r="F188" s="2" t="s">
        <v>97</v>
      </c>
      <c r="G188" s="2" t="s">
        <v>63</v>
      </c>
      <c r="H188" s="2" t="s">
        <v>762</v>
      </c>
      <c r="I188" s="2">
        <v>56</v>
      </c>
      <c r="J188" s="2" t="s">
        <v>41</v>
      </c>
      <c r="K188" s="2" t="s">
        <v>42</v>
      </c>
      <c r="L188" s="2" t="s">
        <v>79</v>
      </c>
      <c r="M188" s="2"/>
      <c r="N188" s="2" t="s">
        <v>182</v>
      </c>
      <c r="O188" s="2" t="s">
        <v>283</v>
      </c>
      <c r="P188" s="2" t="s">
        <v>284</v>
      </c>
      <c r="Q188" s="2" t="s">
        <v>69</v>
      </c>
      <c r="R188" s="2" t="s">
        <v>767</v>
      </c>
      <c r="S188" s="2">
        <v>3</v>
      </c>
      <c r="T188" s="2">
        <v>144</v>
      </c>
      <c r="U188" s="2">
        <v>83</v>
      </c>
      <c r="V188" s="2">
        <v>61</v>
      </c>
      <c r="W188" s="2">
        <v>23</v>
      </c>
      <c r="X188" s="2">
        <v>38</v>
      </c>
      <c r="Y188" s="2">
        <v>26.1</v>
      </c>
      <c r="Z188" s="2">
        <v>96</v>
      </c>
      <c r="AA188" s="2" t="s">
        <v>50</v>
      </c>
      <c r="AB188" s="2" t="s">
        <v>51</v>
      </c>
      <c r="AC188" s="2" t="s">
        <v>52</v>
      </c>
      <c r="AD188" s="2" t="s">
        <v>53</v>
      </c>
      <c r="AE188" s="2" t="s">
        <v>54</v>
      </c>
      <c r="AF188" s="2" t="s">
        <v>55</v>
      </c>
      <c r="AG188" s="2" t="s">
        <v>169</v>
      </c>
    </row>
    <row r="189" spans="1:33" x14ac:dyDescent="0.2">
      <c r="A189" s="3" t="s">
        <v>759</v>
      </c>
      <c r="B189" s="3" t="s">
        <v>768</v>
      </c>
      <c r="C189" s="3" t="s">
        <v>769</v>
      </c>
      <c r="D189" s="3" t="s">
        <v>103</v>
      </c>
      <c r="E189" s="3" t="s">
        <v>96</v>
      </c>
      <c r="F189" s="3" t="s">
        <v>109</v>
      </c>
      <c r="G189" s="3" t="s">
        <v>138</v>
      </c>
      <c r="H189" s="3" t="s">
        <v>762</v>
      </c>
      <c r="I189" s="3">
        <v>56</v>
      </c>
      <c r="J189" s="3" t="s">
        <v>41</v>
      </c>
      <c r="K189" s="3" t="s">
        <v>110</v>
      </c>
      <c r="L189" s="3" t="s">
        <v>79</v>
      </c>
      <c r="M189" s="3"/>
      <c r="N189" s="3" t="s">
        <v>182</v>
      </c>
      <c r="O189" s="3" t="s">
        <v>283</v>
      </c>
      <c r="P189" s="3" t="s">
        <v>284</v>
      </c>
      <c r="Q189" s="3" t="s">
        <v>69</v>
      </c>
      <c r="R189" s="3" t="s">
        <v>770</v>
      </c>
      <c r="S189" s="3">
        <v>4</v>
      </c>
      <c r="T189" s="3">
        <v>166</v>
      </c>
      <c r="U189" s="3">
        <v>85</v>
      </c>
      <c r="V189" s="3">
        <v>96</v>
      </c>
      <c r="W189" s="3">
        <v>24</v>
      </c>
      <c r="X189" s="3">
        <v>38.700000000000003</v>
      </c>
      <c r="Y189" s="3">
        <v>45.2</v>
      </c>
      <c r="Z189" s="3">
        <v>92</v>
      </c>
      <c r="AA189" s="3" t="s">
        <v>50</v>
      </c>
      <c r="AB189" s="3" t="s">
        <v>51</v>
      </c>
      <c r="AC189" s="3" t="s">
        <v>52</v>
      </c>
      <c r="AD189" s="3" t="s">
        <v>53</v>
      </c>
      <c r="AE189" s="3" t="s">
        <v>54</v>
      </c>
      <c r="AF189" s="3" t="s">
        <v>55</v>
      </c>
      <c r="AG189" s="3" t="s">
        <v>173</v>
      </c>
    </row>
    <row r="190" spans="1:33" x14ac:dyDescent="0.2">
      <c r="A190" s="2" t="s">
        <v>759</v>
      </c>
      <c r="B190" s="2" t="s">
        <v>771</v>
      </c>
      <c r="C190" s="2" t="s">
        <v>772</v>
      </c>
      <c r="D190" s="2" t="s">
        <v>103</v>
      </c>
      <c r="E190" s="2" t="s">
        <v>96</v>
      </c>
      <c r="F190" s="2" t="s">
        <v>62</v>
      </c>
      <c r="G190" s="2" t="s">
        <v>104</v>
      </c>
      <c r="H190" s="2" t="s">
        <v>762</v>
      </c>
      <c r="I190" s="2">
        <v>56</v>
      </c>
      <c r="J190" s="2" t="s">
        <v>41</v>
      </c>
      <c r="K190" s="2" t="s">
        <v>78</v>
      </c>
      <c r="L190" s="2" t="s">
        <v>79</v>
      </c>
      <c r="M190" s="2"/>
      <c r="N190" s="2" t="s">
        <v>182</v>
      </c>
      <c r="O190" s="2" t="s">
        <v>283</v>
      </c>
      <c r="P190" s="2" t="s">
        <v>284</v>
      </c>
      <c r="Q190" s="2" t="s">
        <v>69</v>
      </c>
      <c r="R190" s="2" t="s">
        <v>234</v>
      </c>
      <c r="S190" s="2">
        <v>1</v>
      </c>
      <c r="T190" s="2">
        <v>155</v>
      </c>
      <c r="U190" s="2">
        <v>109</v>
      </c>
      <c r="V190" s="2">
        <v>113</v>
      </c>
      <c r="W190" s="2">
        <v>23</v>
      </c>
      <c r="X190" s="2">
        <v>36.5</v>
      </c>
      <c r="Y190" s="2">
        <v>20.100000000000001</v>
      </c>
      <c r="Z190" s="2">
        <v>94</v>
      </c>
      <c r="AA190" s="2" t="s">
        <v>50</v>
      </c>
      <c r="AB190" s="2" t="s">
        <v>51</v>
      </c>
      <c r="AC190" s="2" t="s">
        <v>52</v>
      </c>
      <c r="AD190" s="2" t="s">
        <v>53</v>
      </c>
      <c r="AE190" s="2" t="s">
        <v>54</v>
      </c>
      <c r="AF190" s="2" t="s">
        <v>55</v>
      </c>
      <c r="AG190" s="2" t="s">
        <v>177</v>
      </c>
    </row>
    <row r="191" spans="1:33" x14ac:dyDescent="0.2">
      <c r="A191" s="3" t="s">
        <v>773</v>
      </c>
      <c r="B191" s="3" t="s">
        <v>774</v>
      </c>
      <c r="C191" s="3" t="s">
        <v>775</v>
      </c>
      <c r="D191" s="3" t="s">
        <v>103</v>
      </c>
      <c r="E191" s="3" t="s">
        <v>37</v>
      </c>
      <c r="F191" s="3" t="s">
        <v>132</v>
      </c>
      <c r="G191" s="3" t="s">
        <v>39</v>
      </c>
      <c r="H191" s="3" t="s">
        <v>776</v>
      </c>
      <c r="I191" s="3">
        <v>30</v>
      </c>
      <c r="J191" s="3" t="s">
        <v>41</v>
      </c>
      <c r="K191" s="3" t="s">
        <v>78</v>
      </c>
      <c r="L191" s="3" t="s">
        <v>79</v>
      </c>
      <c r="M191" s="3" t="s">
        <v>125</v>
      </c>
      <c r="N191" s="3"/>
      <c r="O191" s="3" t="s">
        <v>315</v>
      </c>
      <c r="P191" s="3" t="s">
        <v>316</v>
      </c>
      <c r="Q191" s="3" t="s">
        <v>69</v>
      </c>
      <c r="R191" s="3" t="s">
        <v>777</v>
      </c>
      <c r="S191" s="3">
        <v>3</v>
      </c>
      <c r="T191" s="3">
        <v>172</v>
      </c>
      <c r="U191" s="3">
        <v>108</v>
      </c>
      <c r="V191" s="3">
        <v>51</v>
      </c>
      <c r="W191" s="3">
        <v>14</v>
      </c>
      <c r="X191" s="3">
        <v>38.1</v>
      </c>
      <c r="Y191" s="3">
        <v>26.9</v>
      </c>
      <c r="Z191" s="3">
        <v>99</v>
      </c>
      <c r="AA191" s="3" t="s">
        <v>50</v>
      </c>
      <c r="AB191" s="3" t="s">
        <v>51</v>
      </c>
      <c r="AC191" s="3" t="s">
        <v>52</v>
      </c>
      <c r="AD191" s="3" t="s">
        <v>53</v>
      </c>
      <c r="AE191" s="3" t="s">
        <v>54</v>
      </c>
      <c r="AF191" s="3" t="s">
        <v>55</v>
      </c>
      <c r="AG191" s="3" t="s">
        <v>198</v>
      </c>
    </row>
    <row r="192" spans="1:33" x14ac:dyDescent="0.2">
      <c r="A192" s="2" t="s">
        <v>773</v>
      </c>
      <c r="B192" s="2" t="s">
        <v>778</v>
      </c>
      <c r="C192" s="2" t="s">
        <v>779</v>
      </c>
      <c r="D192" s="2" t="s">
        <v>60</v>
      </c>
      <c r="E192" s="2" t="s">
        <v>96</v>
      </c>
      <c r="F192" s="2" t="s">
        <v>97</v>
      </c>
      <c r="G192" s="2" t="s">
        <v>98</v>
      </c>
      <c r="H192" s="2" t="s">
        <v>776</v>
      </c>
      <c r="I192" s="2">
        <v>30</v>
      </c>
      <c r="J192" s="2" t="s">
        <v>41</v>
      </c>
      <c r="K192" s="2" t="s">
        <v>66</v>
      </c>
      <c r="L192" s="2" t="s">
        <v>79</v>
      </c>
      <c r="M192" s="2" t="s">
        <v>125</v>
      </c>
      <c r="N192" s="2"/>
      <c r="O192" s="2" t="s">
        <v>315</v>
      </c>
      <c r="P192" s="2" t="s">
        <v>316</v>
      </c>
      <c r="Q192" s="2" t="s">
        <v>69</v>
      </c>
      <c r="R192" s="2" t="s">
        <v>725</v>
      </c>
      <c r="S192" s="2">
        <v>1</v>
      </c>
      <c r="T192" s="2">
        <v>170</v>
      </c>
      <c r="U192" s="2">
        <v>96</v>
      </c>
      <c r="V192" s="2">
        <v>86</v>
      </c>
      <c r="W192" s="2">
        <v>19</v>
      </c>
      <c r="X192" s="2">
        <v>38.799999999999997</v>
      </c>
      <c r="Y192" s="2">
        <v>22.3</v>
      </c>
      <c r="Z192" s="2">
        <v>89</v>
      </c>
      <c r="AA192" s="2" t="s">
        <v>50</v>
      </c>
      <c r="AB192" s="2" t="s">
        <v>51</v>
      </c>
      <c r="AC192" s="2" t="s">
        <v>52</v>
      </c>
      <c r="AD192" s="2" t="s">
        <v>53</v>
      </c>
      <c r="AE192" s="2" t="s">
        <v>54</v>
      </c>
      <c r="AF192" s="2" t="s">
        <v>55</v>
      </c>
      <c r="AG192" s="2" t="s">
        <v>202</v>
      </c>
    </row>
    <row r="193" spans="1:33" x14ac:dyDescent="0.2">
      <c r="A193" s="3" t="s">
        <v>773</v>
      </c>
      <c r="B193" s="3" t="s">
        <v>780</v>
      </c>
      <c r="C193" s="3" t="s">
        <v>781</v>
      </c>
      <c r="D193" s="3" t="s">
        <v>60</v>
      </c>
      <c r="E193" s="3" t="s">
        <v>96</v>
      </c>
      <c r="F193" s="3" t="s">
        <v>219</v>
      </c>
      <c r="G193" s="3" t="s">
        <v>123</v>
      </c>
      <c r="H193" s="3" t="s">
        <v>776</v>
      </c>
      <c r="I193" s="3">
        <v>30</v>
      </c>
      <c r="J193" s="3" t="s">
        <v>41</v>
      </c>
      <c r="K193" s="3" t="s">
        <v>110</v>
      </c>
      <c r="L193" s="3" t="s">
        <v>79</v>
      </c>
      <c r="M193" s="3" t="s">
        <v>125</v>
      </c>
      <c r="N193" s="3"/>
      <c r="O193" s="3" t="s">
        <v>315</v>
      </c>
      <c r="P193" s="3" t="s">
        <v>316</v>
      </c>
      <c r="Q193" s="3" t="s">
        <v>69</v>
      </c>
      <c r="R193" s="3" t="s">
        <v>782</v>
      </c>
      <c r="S193" s="3">
        <v>2</v>
      </c>
      <c r="T193" s="3">
        <v>156</v>
      </c>
      <c r="U193" s="3">
        <v>66</v>
      </c>
      <c r="V193" s="3">
        <v>78</v>
      </c>
      <c r="W193" s="3">
        <v>18</v>
      </c>
      <c r="X193" s="3">
        <v>36.1</v>
      </c>
      <c r="Y193" s="3">
        <v>37</v>
      </c>
      <c r="Z193" s="3">
        <v>98</v>
      </c>
      <c r="AA193" s="3" t="s">
        <v>50</v>
      </c>
      <c r="AB193" s="3" t="s">
        <v>51</v>
      </c>
      <c r="AC193" s="3" t="s">
        <v>52</v>
      </c>
      <c r="AD193" s="3" t="s">
        <v>53</v>
      </c>
      <c r="AE193" s="3" t="s">
        <v>54</v>
      </c>
      <c r="AF193" s="3" t="s">
        <v>55</v>
      </c>
      <c r="AG193" s="3" t="s">
        <v>206</v>
      </c>
    </row>
    <row r="194" spans="1:33" x14ac:dyDescent="0.2">
      <c r="A194" s="2" t="s">
        <v>783</v>
      </c>
      <c r="B194" s="2" t="s">
        <v>784</v>
      </c>
      <c r="C194" s="2" t="s">
        <v>432</v>
      </c>
      <c r="D194" s="2" t="s">
        <v>103</v>
      </c>
      <c r="E194" s="2" t="s">
        <v>89</v>
      </c>
      <c r="F194" s="2" t="s">
        <v>219</v>
      </c>
      <c r="G194" s="2" t="s">
        <v>98</v>
      </c>
      <c r="H194" s="2" t="s">
        <v>785</v>
      </c>
      <c r="I194" s="2">
        <v>58</v>
      </c>
      <c r="J194" s="2" t="s">
        <v>65</v>
      </c>
      <c r="K194" s="2" t="s">
        <v>66</v>
      </c>
      <c r="L194" s="2" t="s">
        <v>43</v>
      </c>
      <c r="M194" s="2" t="s">
        <v>125</v>
      </c>
      <c r="N194" s="2" t="s">
        <v>45</v>
      </c>
      <c r="O194" s="2" t="s">
        <v>283</v>
      </c>
      <c r="P194" s="2" t="s">
        <v>284</v>
      </c>
      <c r="Q194" s="2" t="s">
        <v>69</v>
      </c>
      <c r="R194" s="2" t="s">
        <v>163</v>
      </c>
      <c r="S194" s="2">
        <v>1</v>
      </c>
      <c r="T194" s="2">
        <v>117</v>
      </c>
      <c r="U194" s="2">
        <v>76</v>
      </c>
      <c r="V194" s="2">
        <v>101</v>
      </c>
      <c r="W194" s="2">
        <v>18</v>
      </c>
      <c r="X194" s="2">
        <v>38.700000000000003</v>
      </c>
      <c r="Y194" s="2">
        <v>33.4</v>
      </c>
      <c r="Z194" s="2">
        <v>100</v>
      </c>
      <c r="AA194" s="2" t="s">
        <v>50</v>
      </c>
      <c r="AB194" s="2" t="s">
        <v>51</v>
      </c>
      <c r="AC194" s="2" t="s">
        <v>52</v>
      </c>
      <c r="AD194" s="2" t="s">
        <v>53</v>
      </c>
      <c r="AE194" s="2" t="s">
        <v>54</v>
      </c>
      <c r="AF194" s="2" t="s">
        <v>55</v>
      </c>
      <c r="AG194" s="2" t="s">
        <v>85</v>
      </c>
    </row>
    <row r="195" spans="1:33" x14ac:dyDescent="0.2">
      <c r="A195" s="3" t="s">
        <v>783</v>
      </c>
      <c r="B195" s="3" t="s">
        <v>786</v>
      </c>
      <c r="C195" s="3" t="s">
        <v>787</v>
      </c>
      <c r="D195" s="3" t="s">
        <v>88</v>
      </c>
      <c r="E195" s="3" t="s">
        <v>96</v>
      </c>
      <c r="F195" s="3" t="s">
        <v>122</v>
      </c>
      <c r="G195" s="3" t="s">
        <v>98</v>
      </c>
      <c r="H195" s="3" t="s">
        <v>785</v>
      </c>
      <c r="I195" s="3">
        <v>58</v>
      </c>
      <c r="J195" s="3" t="s">
        <v>65</v>
      </c>
      <c r="K195" s="3" t="s">
        <v>78</v>
      </c>
      <c r="L195" s="3" t="s">
        <v>43</v>
      </c>
      <c r="M195" s="3" t="s">
        <v>125</v>
      </c>
      <c r="N195" s="3" t="s">
        <v>45</v>
      </c>
      <c r="O195" s="3" t="s">
        <v>283</v>
      </c>
      <c r="P195" s="3" t="s">
        <v>284</v>
      </c>
      <c r="Q195" s="3" t="s">
        <v>69</v>
      </c>
      <c r="R195" s="3" t="s">
        <v>788</v>
      </c>
      <c r="S195" s="3">
        <v>4</v>
      </c>
      <c r="T195" s="3">
        <v>102</v>
      </c>
      <c r="U195" s="3">
        <v>84</v>
      </c>
      <c r="V195" s="3">
        <v>68</v>
      </c>
      <c r="W195" s="3">
        <v>28</v>
      </c>
      <c r="X195" s="3">
        <v>36.200000000000003</v>
      </c>
      <c r="Y195" s="3">
        <v>23.8</v>
      </c>
      <c r="Z195" s="3">
        <v>95</v>
      </c>
      <c r="AA195" s="3" t="s">
        <v>50</v>
      </c>
      <c r="AB195" s="3" t="s">
        <v>51</v>
      </c>
      <c r="AC195" s="3" t="s">
        <v>52</v>
      </c>
      <c r="AD195" s="3" t="s">
        <v>53</v>
      </c>
      <c r="AE195" s="3" t="s">
        <v>54</v>
      </c>
      <c r="AF195" s="3" t="s">
        <v>55</v>
      </c>
      <c r="AG195" s="3" t="s">
        <v>92</v>
      </c>
    </row>
    <row r="196" spans="1:33" x14ac:dyDescent="0.2">
      <c r="A196" s="2" t="s">
        <v>783</v>
      </c>
      <c r="B196" s="2" t="s">
        <v>789</v>
      </c>
      <c r="C196" s="2" t="s">
        <v>752</v>
      </c>
      <c r="D196" s="2" t="s">
        <v>88</v>
      </c>
      <c r="E196" s="2" t="s">
        <v>167</v>
      </c>
      <c r="F196" s="2" t="s">
        <v>148</v>
      </c>
      <c r="G196" s="2" t="s">
        <v>138</v>
      </c>
      <c r="H196" s="2" t="s">
        <v>785</v>
      </c>
      <c r="I196" s="2">
        <v>58</v>
      </c>
      <c r="J196" s="2" t="s">
        <v>65</v>
      </c>
      <c r="K196" s="2" t="s">
        <v>116</v>
      </c>
      <c r="L196" s="2" t="s">
        <v>43</v>
      </c>
      <c r="M196" s="2" t="s">
        <v>125</v>
      </c>
      <c r="N196" s="2" t="s">
        <v>45</v>
      </c>
      <c r="O196" s="2" t="s">
        <v>283</v>
      </c>
      <c r="P196" s="2" t="s">
        <v>284</v>
      </c>
      <c r="Q196" s="2" t="s">
        <v>69</v>
      </c>
      <c r="R196" s="2" t="s">
        <v>45</v>
      </c>
      <c r="S196" s="2">
        <v>1</v>
      </c>
      <c r="T196" s="2">
        <v>106</v>
      </c>
      <c r="U196" s="2">
        <v>85</v>
      </c>
      <c r="V196" s="2">
        <v>99</v>
      </c>
      <c r="W196" s="2">
        <v>14</v>
      </c>
      <c r="X196" s="2">
        <v>37.299999999999997</v>
      </c>
      <c r="Y196" s="2">
        <v>33.4</v>
      </c>
      <c r="Z196" s="2">
        <v>87</v>
      </c>
      <c r="AA196" s="2" t="s">
        <v>50</v>
      </c>
      <c r="AB196" s="2" t="s">
        <v>51</v>
      </c>
      <c r="AC196" s="2" t="s">
        <v>52</v>
      </c>
      <c r="AD196" s="2" t="s">
        <v>53</v>
      </c>
      <c r="AE196" s="2" t="s">
        <v>54</v>
      </c>
      <c r="AF196" s="2" t="s">
        <v>55</v>
      </c>
      <c r="AG196" s="2" t="s">
        <v>100</v>
      </c>
    </row>
    <row r="197" spans="1:33" x14ac:dyDescent="0.2">
      <c r="A197" s="3" t="s">
        <v>783</v>
      </c>
      <c r="B197" s="3" t="s">
        <v>790</v>
      </c>
      <c r="C197" s="3" t="s">
        <v>791</v>
      </c>
      <c r="D197" s="3" t="s">
        <v>103</v>
      </c>
      <c r="E197" s="3" t="s">
        <v>37</v>
      </c>
      <c r="F197" s="3" t="s">
        <v>109</v>
      </c>
      <c r="G197" s="3" t="s">
        <v>76</v>
      </c>
      <c r="H197" s="3" t="s">
        <v>785</v>
      </c>
      <c r="I197" s="3">
        <v>58</v>
      </c>
      <c r="J197" s="3" t="s">
        <v>65</v>
      </c>
      <c r="K197" s="3" t="s">
        <v>66</v>
      </c>
      <c r="L197" s="3" t="s">
        <v>43</v>
      </c>
      <c r="M197" s="3" t="s">
        <v>125</v>
      </c>
      <c r="N197" s="3" t="s">
        <v>45</v>
      </c>
      <c r="O197" s="3" t="s">
        <v>283</v>
      </c>
      <c r="P197" s="3" t="s">
        <v>284</v>
      </c>
      <c r="Q197" s="3" t="s">
        <v>69</v>
      </c>
      <c r="R197" s="3" t="s">
        <v>792</v>
      </c>
      <c r="S197" s="3">
        <v>4</v>
      </c>
      <c r="T197" s="3">
        <v>136</v>
      </c>
      <c r="U197" s="3">
        <v>75</v>
      </c>
      <c r="V197" s="3">
        <v>112</v>
      </c>
      <c r="W197" s="3">
        <v>25</v>
      </c>
      <c r="X197" s="3">
        <v>38.700000000000003</v>
      </c>
      <c r="Y197" s="3">
        <v>27</v>
      </c>
      <c r="Z197" s="3">
        <v>97</v>
      </c>
      <c r="AA197" s="3" t="s">
        <v>50</v>
      </c>
      <c r="AB197" s="3" t="s">
        <v>51</v>
      </c>
      <c r="AC197" s="3" t="s">
        <v>52</v>
      </c>
      <c r="AD197" s="3" t="s">
        <v>53</v>
      </c>
      <c r="AE197" s="3" t="s">
        <v>54</v>
      </c>
      <c r="AF197" s="3" t="s">
        <v>55</v>
      </c>
      <c r="AG197" s="3" t="s">
        <v>106</v>
      </c>
    </row>
    <row r="198" spans="1:33" x14ac:dyDescent="0.2">
      <c r="A198" s="2" t="s">
        <v>783</v>
      </c>
      <c r="B198" s="2" t="s">
        <v>793</v>
      </c>
      <c r="C198" s="2" t="s">
        <v>794</v>
      </c>
      <c r="D198" s="2" t="s">
        <v>60</v>
      </c>
      <c r="E198" s="2" t="s">
        <v>96</v>
      </c>
      <c r="F198" s="2" t="s">
        <v>189</v>
      </c>
      <c r="G198" s="2" t="s">
        <v>98</v>
      </c>
      <c r="H198" s="2" t="s">
        <v>785</v>
      </c>
      <c r="I198" s="2">
        <v>58</v>
      </c>
      <c r="J198" s="2" t="s">
        <v>65</v>
      </c>
      <c r="K198" s="2" t="s">
        <v>66</v>
      </c>
      <c r="L198" s="2" t="s">
        <v>43</v>
      </c>
      <c r="M198" s="2" t="s">
        <v>125</v>
      </c>
      <c r="N198" s="2" t="s">
        <v>45</v>
      </c>
      <c r="O198" s="2" t="s">
        <v>283</v>
      </c>
      <c r="P198" s="2" t="s">
        <v>284</v>
      </c>
      <c r="Q198" s="2" t="s">
        <v>69</v>
      </c>
      <c r="R198" s="2" t="s">
        <v>795</v>
      </c>
      <c r="S198" s="2">
        <v>4</v>
      </c>
      <c r="T198" s="2">
        <v>182</v>
      </c>
      <c r="U198" s="2">
        <v>73</v>
      </c>
      <c r="V198" s="2">
        <v>89</v>
      </c>
      <c r="W198" s="2">
        <v>23</v>
      </c>
      <c r="X198" s="2">
        <v>36.1</v>
      </c>
      <c r="Y198" s="2">
        <v>22.2</v>
      </c>
      <c r="Z198" s="2">
        <v>89</v>
      </c>
      <c r="AA198" s="2" t="s">
        <v>50</v>
      </c>
      <c r="AB198" s="2" t="s">
        <v>51</v>
      </c>
      <c r="AC198" s="2" t="s">
        <v>52</v>
      </c>
      <c r="AD198" s="2" t="s">
        <v>53</v>
      </c>
      <c r="AE198" s="2" t="s">
        <v>54</v>
      </c>
      <c r="AF198" s="2" t="s">
        <v>55</v>
      </c>
      <c r="AG198" s="2" t="s">
        <v>112</v>
      </c>
    </row>
    <row r="199" spans="1:33" x14ac:dyDescent="0.2">
      <c r="A199" s="3" t="s">
        <v>783</v>
      </c>
      <c r="B199" s="3" t="s">
        <v>796</v>
      </c>
      <c r="C199" s="3" t="s">
        <v>797</v>
      </c>
      <c r="D199" s="3" t="s">
        <v>95</v>
      </c>
      <c r="E199" s="3" t="s">
        <v>37</v>
      </c>
      <c r="F199" s="3" t="s">
        <v>148</v>
      </c>
      <c r="G199" s="3" t="s">
        <v>123</v>
      </c>
      <c r="H199" s="3" t="s">
        <v>785</v>
      </c>
      <c r="I199" s="3">
        <v>58</v>
      </c>
      <c r="J199" s="3" t="s">
        <v>65</v>
      </c>
      <c r="K199" s="3" t="s">
        <v>90</v>
      </c>
      <c r="L199" s="3" t="s">
        <v>43</v>
      </c>
      <c r="M199" s="3" t="s">
        <v>125</v>
      </c>
      <c r="N199" s="3" t="s">
        <v>45</v>
      </c>
      <c r="O199" s="3" t="s">
        <v>283</v>
      </c>
      <c r="P199" s="3" t="s">
        <v>284</v>
      </c>
      <c r="Q199" s="3" t="s">
        <v>69</v>
      </c>
      <c r="R199" s="3" t="s">
        <v>798</v>
      </c>
      <c r="S199" s="3">
        <v>4</v>
      </c>
      <c r="T199" s="3">
        <v>112</v>
      </c>
      <c r="U199" s="3">
        <v>75</v>
      </c>
      <c r="V199" s="3">
        <v>107</v>
      </c>
      <c r="W199" s="3">
        <v>13</v>
      </c>
      <c r="X199" s="3">
        <v>38</v>
      </c>
      <c r="Y199" s="3">
        <v>36.700000000000003</v>
      </c>
      <c r="Z199" s="3">
        <v>89</v>
      </c>
      <c r="AA199" s="3" t="s">
        <v>50</v>
      </c>
      <c r="AB199" s="3" t="s">
        <v>51</v>
      </c>
      <c r="AC199" s="3" t="s">
        <v>52</v>
      </c>
      <c r="AD199" s="3" t="s">
        <v>53</v>
      </c>
      <c r="AE199" s="3" t="s">
        <v>54</v>
      </c>
      <c r="AF199" s="3" t="s">
        <v>55</v>
      </c>
      <c r="AG199" s="3" t="s">
        <v>118</v>
      </c>
    </row>
    <row r="200" spans="1:33" x14ac:dyDescent="0.2">
      <c r="A200" s="2" t="s">
        <v>799</v>
      </c>
      <c r="B200" s="2" t="s">
        <v>800</v>
      </c>
      <c r="C200" s="2" t="s">
        <v>801</v>
      </c>
      <c r="D200" s="2" t="s">
        <v>103</v>
      </c>
      <c r="E200" s="2" t="s">
        <v>96</v>
      </c>
      <c r="F200" s="2" t="s">
        <v>97</v>
      </c>
      <c r="G200" s="2" t="s">
        <v>104</v>
      </c>
      <c r="H200" s="2" t="s">
        <v>802</v>
      </c>
      <c r="I200" s="2">
        <v>79</v>
      </c>
      <c r="J200" s="2" t="s">
        <v>65</v>
      </c>
      <c r="K200" s="2" t="s">
        <v>66</v>
      </c>
      <c r="L200" s="2" t="s">
        <v>43</v>
      </c>
      <c r="M200" s="2" t="s">
        <v>80</v>
      </c>
      <c r="N200" s="2" t="s">
        <v>45</v>
      </c>
      <c r="O200" s="2" t="s">
        <v>497</v>
      </c>
      <c r="P200" s="2" t="s">
        <v>498</v>
      </c>
      <c r="Q200" s="2" t="s">
        <v>69</v>
      </c>
      <c r="R200" s="2" t="s">
        <v>803</v>
      </c>
      <c r="S200" s="2">
        <v>4</v>
      </c>
      <c r="T200" s="2">
        <v>150</v>
      </c>
      <c r="U200" s="2">
        <v>74</v>
      </c>
      <c r="V200" s="2">
        <v>116</v>
      </c>
      <c r="W200" s="2">
        <v>19</v>
      </c>
      <c r="X200" s="2">
        <v>37.9</v>
      </c>
      <c r="Y200" s="2">
        <v>37.200000000000003</v>
      </c>
      <c r="Z200" s="2">
        <v>90</v>
      </c>
      <c r="AA200" s="2" t="s">
        <v>50</v>
      </c>
      <c r="AB200" s="2" t="s">
        <v>51</v>
      </c>
      <c r="AC200" s="2" t="s">
        <v>52</v>
      </c>
      <c r="AD200" s="2" t="s">
        <v>53</v>
      </c>
      <c r="AE200" s="2" t="s">
        <v>54</v>
      </c>
      <c r="AF200" s="2" t="s">
        <v>55</v>
      </c>
      <c r="AG200" s="2" t="s">
        <v>85</v>
      </c>
    </row>
    <row r="201" spans="1:33" x14ac:dyDescent="0.2">
      <c r="A201" s="3" t="s">
        <v>799</v>
      </c>
      <c r="B201" s="3" t="s">
        <v>804</v>
      </c>
      <c r="C201" s="3" t="s">
        <v>805</v>
      </c>
      <c r="D201" s="3" t="s">
        <v>88</v>
      </c>
      <c r="E201" s="3" t="s">
        <v>167</v>
      </c>
      <c r="F201" s="3" t="s">
        <v>122</v>
      </c>
      <c r="G201" s="3" t="s">
        <v>76</v>
      </c>
      <c r="H201" s="3" t="s">
        <v>802</v>
      </c>
      <c r="I201" s="3">
        <v>79</v>
      </c>
      <c r="J201" s="3" t="s">
        <v>65</v>
      </c>
      <c r="K201" s="3" t="s">
        <v>90</v>
      </c>
      <c r="L201" s="3" t="s">
        <v>43</v>
      </c>
      <c r="M201" s="3" t="s">
        <v>80</v>
      </c>
      <c r="N201" s="3" t="s">
        <v>45</v>
      </c>
      <c r="O201" s="3" t="s">
        <v>497</v>
      </c>
      <c r="P201" s="3" t="s">
        <v>498</v>
      </c>
      <c r="Q201" s="3" t="s">
        <v>69</v>
      </c>
      <c r="R201" s="3" t="s">
        <v>806</v>
      </c>
      <c r="S201" s="3">
        <v>3</v>
      </c>
      <c r="T201" s="3">
        <v>144</v>
      </c>
      <c r="U201" s="3">
        <v>74</v>
      </c>
      <c r="V201" s="3">
        <v>105</v>
      </c>
      <c r="W201" s="3">
        <v>21</v>
      </c>
      <c r="X201" s="3">
        <v>36.700000000000003</v>
      </c>
      <c r="Y201" s="3">
        <v>23.5</v>
      </c>
      <c r="Z201" s="3">
        <v>96</v>
      </c>
      <c r="AA201" s="3" t="s">
        <v>50</v>
      </c>
      <c r="AB201" s="3" t="s">
        <v>51</v>
      </c>
      <c r="AC201" s="3" t="s">
        <v>52</v>
      </c>
      <c r="AD201" s="3" t="s">
        <v>53</v>
      </c>
      <c r="AE201" s="3" t="s">
        <v>54</v>
      </c>
      <c r="AF201" s="3" t="s">
        <v>55</v>
      </c>
      <c r="AG201" s="3" t="s">
        <v>92</v>
      </c>
    </row>
    <row r="202" spans="1:33" x14ac:dyDescent="0.2">
      <c r="A202" s="2" t="s">
        <v>799</v>
      </c>
      <c r="B202" s="2" t="s">
        <v>807</v>
      </c>
      <c r="C202" s="2" t="s">
        <v>708</v>
      </c>
      <c r="D202" s="2" t="s">
        <v>95</v>
      </c>
      <c r="E202" s="2" t="s">
        <v>61</v>
      </c>
      <c r="F202" s="2" t="s">
        <v>75</v>
      </c>
      <c r="G202" s="2" t="s">
        <v>123</v>
      </c>
      <c r="H202" s="2" t="s">
        <v>802</v>
      </c>
      <c r="I202" s="2">
        <v>79</v>
      </c>
      <c r="J202" s="2" t="s">
        <v>65</v>
      </c>
      <c r="K202" s="2" t="s">
        <v>140</v>
      </c>
      <c r="L202" s="2" t="s">
        <v>43</v>
      </c>
      <c r="M202" s="2" t="s">
        <v>80</v>
      </c>
      <c r="N202" s="2" t="s">
        <v>45</v>
      </c>
      <c r="O202" s="2" t="s">
        <v>497</v>
      </c>
      <c r="P202" s="2" t="s">
        <v>498</v>
      </c>
      <c r="Q202" s="2" t="s">
        <v>69</v>
      </c>
      <c r="R202" s="2" t="s">
        <v>808</v>
      </c>
      <c r="S202" s="2">
        <v>4</v>
      </c>
      <c r="T202" s="2">
        <v>147</v>
      </c>
      <c r="U202" s="2">
        <v>112</v>
      </c>
      <c r="V202" s="2">
        <v>103</v>
      </c>
      <c r="W202" s="2">
        <v>23</v>
      </c>
      <c r="X202" s="2">
        <v>38.9</v>
      </c>
      <c r="Y202" s="2">
        <v>32.700000000000003</v>
      </c>
      <c r="Z202" s="2">
        <v>98</v>
      </c>
      <c r="AA202" s="2" t="s">
        <v>50</v>
      </c>
      <c r="AB202" s="2" t="s">
        <v>51</v>
      </c>
      <c r="AC202" s="2" t="s">
        <v>52</v>
      </c>
      <c r="AD202" s="2" t="s">
        <v>53</v>
      </c>
      <c r="AE202" s="2" t="s">
        <v>54</v>
      </c>
      <c r="AF202" s="2" t="s">
        <v>55</v>
      </c>
      <c r="AG202" s="2" t="s">
        <v>100</v>
      </c>
    </row>
    <row r="203" spans="1:33" x14ac:dyDescent="0.2">
      <c r="A203" s="3" t="s">
        <v>799</v>
      </c>
      <c r="B203" s="3" t="s">
        <v>809</v>
      </c>
      <c r="C203" s="3" t="s">
        <v>810</v>
      </c>
      <c r="D203" s="3" t="s">
        <v>95</v>
      </c>
      <c r="E203" s="3" t="s">
        <v>37</v>
      </c>
      <c r="F203" s="3" t="s">
        <v>97</v>
      </c>
      <c r="G203" s="3" t="s">
        <v>138</v>
      </c>
      <c r="H203" s="3" t="s">
        <v>802</v>
      </c>
      <c r="I203" s="3">
        <v>79</v>
      </c>
      <c r="J203" s="3" t="s">
        <v>65</v>
      </c>
      <c r="K203" s="3" t="s">
        <v>116</v>
      </c>
      <c r="L203" s="3" t="s">
        <v>43</v>
      </c>
      <c r="M203" s="3" t="s">
        <v>80</v>
      </c>
      <c r="N203" s="3" t="s">
        <v>45</v>
      </c>
      <c r="O203" s="3" t="s">
        <v>497</v>
      </c>
      <c r="P203" s="3" t="s">
        <v>498</v>
      </c>
      <c r="Q203" s="3" t="s">
        <v>69</v>
      </c>
      <c r="R203" s="3" t="s">
        <v>237</v>
      </c>
      <c r="S203" s="3">
        <v>1</v>
      </c>
      <c r="T203" s="3">
        <v>163</v>
      </c>
      <c r="U203" s="3">
        <v>65</v>
      </c>
      <c r="V203" s="3">
        <v>71</v>
      </c>
      <c r="W203" s="3">
        <v>16</v>
      </c>
      <c r="X203" s="3">
        <v>38.700000000000003</v>
      </c>
      <c r="Y203" s="3">
        <v>37.200000000000003</v>
      </c>
      <c r="Z203" s="3">
        <v>91</v>
      </c>
      <c r="AA203" s="3" t="s">
        <v>50</v>
      </c>
      <c r="AB203" s="3" t="s">
        <v>51</v>
      </c>
      <c r="AC203" s="3" t="s">
        <v>52</v>
      </c>
      <c r="AD203" s="3" t="s">
        <v>53</v>
      </c>
      <c r="AE203" s="3" t="s">
        <v>54</v>
      </c>
      <c r="AF203" s="3" t="s">
        <v>55</v>
      </c>
      <c r="AG203" s="3" t="s">
        <v>106</v>
      </c>
    </row>
    <row r="204" spans="1:33" x14ac:dyDescent="0.2">
      <c r="A204" s="2" t="s">
        <v>799</v>
      </c>
      <c r="B204" s="2" t="s">
        <v>811</v>
      </c>
      <c r="C204" s="2" t="s">
        <v>812</v>
      </c>
      <c r="D204" s="2" t="s">
        <v>60</v>
      </c>
      <c r="E204" s="2" t="s">
        <v>167</v>
      </c>
      <c r="F204" s="2" t="s">
        <v>189</v>
      </c>
      <c r="G204" s="2" t="s">
        <v>98</v>
      </c>
      <c r="H204" s="2" t="s">
        <v>802</v>
      </c>
      <c r="I204" s="2">
        <v>79</v>
      </c>
      <c r="J204" s="2" t="s">
        <v>65</v>
      </c>
      <c r="K204" s="2" t="s">
        <v>66</v>
      </c>
      <c r="L204" s="2" t="s">
        <v>43</v>
      </c>
      <c r="M204" s="2" t="s">
        <v>80</v>
      </c>
      <c r="N204" s="2" t="s">
        <v>45</v>
      </c>
      <c r="O204" s="2" t="s">
        <v>497</v>
      </c>
      <c r="P204" s="2" t="s">
        <v>498</v>
      </c>
      <c r="Q204" s="2" t="s">
        <v>69</v>
      </c>
      <c r="R204" s="2" t="s">
        <v>813</v>
      </c>
      <c r="S204" s="2">
        <v>4</v>
      </c>
      <c r="T204" s="2">
        <v>146</v>
      </c>
      <c r="U204" s="2">
        <v>69</v>
      </c>
      <c r="V204" s="2">
        <v>109</v>
      </c>
      <c r="W204" s="2">
        <v>25</v>
      </c>
      <c r="X204" s="2">
        <v>36.9</v>
      </c>
      <c r="Y204" s="2">
        <v>36.4</v>
      </c>
      <c r="Z204" s="2">
        <v>99</v>
      </c>
      <c r="AA204" s="2" t="s">
        <v>50</v>
      </c>
      <c r="AB204" s="2" t="s">
        <v>51</v>
      </c>
      <c r="AC204" s="2" t="s">
        <v>52</v>
      </c>
      <c r="AD204" s="2" t="s">
        <v>53</v>
      </c>
      <c r="AE204" s="2" t="s">
        <v>54</v>
      </c>
      <c r="AF204" s="2" t="s">
        <v>55</v>
      </c>
      <c r="AG204" s="2" t="s">
        <v>112</v>
      </c>
    </row>
    <row r="205" spans="1:33" x14ac:dyDescent="0.2">
      <c r="A205" s="3" t="s">
        <v>799</v>
      </c>
      <c r="B205" s="3" t="s">
        <v>814</v>
      </c>
      <c r="C205" s="3" t="s">
        <v>293</v>
      </c>
      <c r="D205" s="3" t="s">
        <v>103</v>
      </c>
      <c r="E205" s="3" t="s">
        <v>37</v>
      </c>
      <c r="F205" s="3" t="s">
        <v>38</v>
      </c>
      <c r="G205" s="3" t="s">
        <v>115</v>
      </c>
      <c r="H205" s="3" t="s">
        <v>802</v>
      </c>
      <c r="I205" s="3">
        <v>79</v>
      </c>
      <c r="J205" s="3" t="s">
        <v>65</v>
      </c>
      <c r="K205" s="3" t="s">
        <v>116</v>
      </c>
      <c r="L205" s="3" t="s">
        <v>43</v>
      </c>
      <c r="M205" s="3" t="s">
        <v>80</v>
      </c>
      <c r="N205" s="3" t="s">
        <v>45</v>
      </c>
      <c r="O205" s="3" t="s">
        <v>497</v>
      </c>
      <c r="P205" s="3" t="s">
        <v>498</v>
      </c>
      <c r="Q205" s="3" t="s">
        <v>69</v>
      </c>
      <c r="R205" s="3" t="s">
        <v>815</v>
      </c>
      <c r="S205" s="3">
        <v>2</v>
      </c>
      <c r="T205" s="3">
        <v>177</v>
      </c>
      <c r="U205" s="3">
        <v>97</v>
      </c>
      <c r="V205" s="3">
        <v>99</v>
      </c>
      <c r="W205" s="3">
        <v>24</v>
      </c>
      <c r="X205" s="3">
        <v>37.700000000000003</v>
      </c>
      <c r="Y205" s="3">
        <v>34.700000000000003</v>
      </c>
      <c r="Z205" s="3">
        <v>97</v>
      </c>
      <c r="AA205" s="3" t="s">
        <v>50</v>
      </c>
      <c r="AB205" s="3" t="s">
        <v>51</v>
      </c>
      <c r="AC205" s="3" t="s">
        <v>52</v>
      </c>
      <c r="AD205" s="3" t="s">
        <v>53</v>
      </c>
      <c r="AE205" s="3" t="s">
        <v>54</v>
      </c>
      <c r="AF205" s="3" t="s">
        <v>55</v>
      </c>
      <c r="AG205" s="3" t="s">
        <v>118</v>
      </c>
    </row>
    <row r="206" spans="1:33" x14ac:dyDescent="0.2">
      <c r="A206" s="2" t="s">
        <v>816</v>
      </c>
      <c r="B206" s="2" t="s">
        <v>817</v>
      </c>
      <c r="C206" s="2" t="s">
        <v>818</v>
      </c>
      <c r="D206" s="2" t="s">
        <v>36</v>
      </c>
      <c r="E206" s="2" t="s">
        <v>37</v>
      </c>
      <c r="F206" s="2" t="s">
        <v>109</v>
      </c>
      <c r="G206" s="2" t="s">
        <v>138</v>
      </c>
      <c r="H206" s="2" t="s">
        <v>819</v>
      </c>
      <c r="I206" s="2">
        <v>66</v>
      </c>
      <c r="J206" s="2" t="s">
        <v>41</v>
      </c>
      <c r="K206" s="2" t="s">
        <v>140</v>
      </c>
      <c r="L206" s="2" t="s">
        <v>79</v>
      </c>
      <c r="M206" s="2" t="s">
        <v>80</v>
      </c>
      <c r="N206" s="2" t="s">
        <v>182</v>
      </c>
      <c r="O206" s="2" t="s">
        <v>254</v>
      </c>
      <c r="P206" s="2" t="s">
        <v>255</v>
      </c>
      <c r="Q206" s="2" t="s">
        <v>69</v>
      </c>
      <c r="R206" s="2" t="s">
        <v>820</v>
      </c>
      <c r="S206" s="2">
        <v>3</v>
      </c>
      <c r="T206" s="2">
        <v>96</v>
      </c>
      <c r="U206" s="2">
        <v>83</v>
      </c>
      <c r="V206" s="2">
        <v>120</v>
      </c>
      <c r="W206" s="2">
        <v>13</v>
      </c>
      <c r="X206" s="2">
        <v>39</v>
      </c>
      <c r="Y206" s="2">
        <v>34.5</v>
      </c>
      <c r="Z206" s="2">
        <v>97</v>
      </c>
      <c r="AA206" s="2" t="s">
        <v>50</v>
      </c>
      <c r="AB206" s="2" t="s">
        <v>51</v>
      </c>
      <c r="AC206" s="2" t="s">
        <v>52</v>
      </c>
      <c r="AD206" s="2" t="s">
        <v>53</v>
      </c>
      <c r="AE206" s="2" t="s">
        <v>54</v>
      </c>
      <c r="AF206" s="2" t="s">
        <v>55</v>
      </c>
      <c r="AG206" s="2" t="s">
        <v>160</v>
      </c>
    </row>
    <row r="207" spans="1:33" x14ac:dyDescent="0.2">
      <c r="A207" s="3" t="s">
        <v>816</v>
      </c>
      <c r="B207" s="3" t="s">
        <v>821</v>
      </c>
      <c r="C207" s="3" t="s">
        <v>822</v>
      </c>
      <c r="D207" s="3" t="s">
        <v>103</v>
      </c>
      <c r="E207" s="3" t="s">
        <v>89</v>
      </c>
      <c r="F207" s="3" t="s">
        <v>148</v>
      </c>
      <c r="G207" s="3" t="s">
        <v>98</v>
      </c>
      <c r="H207" s="3" t="s">
        <v>819</v>
      </c>
      <c r="I207" s="3">
        <v>66</v>
      </c>
      <c r="J207" s="3" t="s">
        <v>41</v>
      </c>
      <c r="K207" s="3" t="s">
        <v>90</v>
      </c>
      <c r="L207" s="3" t="s">
        <v>79</v>
      </c>
      <c r="M207" s="3" t="s">
        <v>80</v>
      </c>
      <c r="N207" s="3" t="s">
        <v>182</v>
      </c>
      <c r="O207" s="3" t="s">
        <v>254</v>
      </c>
      <c r="P207" s="3" t="s">
        <v>255</v>
      </c>
      <c r="Q207" s="3" t="s">
        <v>69</v>
      </c>
      <c r="R207" s="3" t="s">
        <v>823</v>
      </c>
      <c r="S207" s="3">
        <v>3</v>
      </c>
      <c r="T207" s="3">
        <v>101</v>
      </c>
      <c r="U207" s="3">
        <v>85</v>
      </c>
      <c r="V207" s="3">
        <v>81</v>
      </c>
      <c r="W207" s="3">
        <v>21</v>
      </c>
      <c r="X207" s="3">
        <v>36.299999999999997</v>
      </c>
      <c r="Y207" s="3">
        <v>23.8</v>
      </c>
      <c r="Z207" s="3">
        <v>90</v>
      </c>
      <c r="AA207" s="3" t="s">
        <v>50</v>
      </c>
      <c r="AB207" s="3" t="s">
        <v>51</v>
      </c>
      <c r="AC207" s="3" t="s">
        <v>52</v>
      </c>
      <c r="AD207" s="3" t="s">
        <v>53</v>
      </c>
      <c r="AE207" s="3" t="s">
        <v>54</v>
      </c>
      <c r="AF207" s="3" t="s">
        <v>55</v>
      </c>
      <c r="AG207" s="3" t="s">
        <v>164</v>
      </c>
    </row>
    <row r="208" spans="1:33" x14ac:dyDescent="0.2">
      <c r="A208" s="2" t="s">
        <v>816</v>
      </c>
      <c r="B208" s="2" t="s">
        <v>824</v>
      </c>
      <c r="C208" s="2" t="s">
        <v>598</v>
      </c>
      <c r="D208" s="2" t="s">
        <v>95</v>
      </c>
      <c r="E208" s="2" t="s">
        <v>37</v>
      </c>
      <c r="F208" s="2" t="s">
        <v>132</v>
      </c>
      <c r="G208" s="2" t="s">
        <v>104</v>
      </c>
      <c r="H208" s="2" t="s">
        <v>819</v>
      </c>
      <c r="I208" s="2">
        <v>66</v>
      </c>
      <c r="J208" s="2" t="s">
        <v>41</v>
      </c>
      <c r="K208" s="2" t="s">
        <v>90</v>
      </c>
      <c r="L208" s="2" t="s">
        <v>79</v>
      </c>
      <c r="M208" s="2" t="s">
        <v>80</v>
      </c>
      <c r="N208" s="2" t="s">
        <v>182</v>
      </c>
      <c r="O208" s="2" t="s">
        <v>254</v>
      </c>
      <c r="P208" s="2" t="s">
        <v>255</v>
      </c>
      <c r="Q208" s="2" t="s">
        <v>69</v>
      </c>
      <c r="R208" s="2" t="s">
        <v>460</v>
      </c>
      <c r="S208" s="2">
        <v>1</v>
      </c>
      <c r="T208" s="2">
        <v>183</v>
      </c>
      <c r="U208" s="2">
        <v>56</v>
      </c>
      <c r="V208" s="2">
        <v>100</v>
      </c>
      <c r="W208" s="2">
        <v>19</v>
      </c>
      <c r="X208" s="2">
        <v>38.9</v>
      </c>
      <c r="Y208" s="2">
        <v>35</v>
      </c>
      <c r="Z208" s="2">
        <v>95</v>
      </c>
      <c r="AA208" s="2" t="s">
        <v>50</v>
      </c>
      <c r="AB208" s="2" t="s">
        <v>51</v>
      </c>
      <c r="AC208" s="2" t="s">
        <v>52</v>
      </c>
      <c r="AD208" s="2" t="s">
        <v>53</v>
      </c>
      <c r="AE208" s="2" t="s">
        <v>54</v>
      </c>
      <c r="AF208" s="2" t="s">
        <v>55</v>
      </c>
      <c r="AG208" s="2" t="s">
        <v>169</v>
      </c>
    </row>
    <row r="209" spans="1:33" x14ac:dyDescent="0.2">
      <c r="A209" s="3" t="s">
        <v>816</v>
      </c>
      <c r="B209" s="3" t="s">
        <v>825</v>
      </c>
      <c r="C209" s="3" t="s">
        <v>826</v>
      </c>
      <c r="D209" s="3" t="s">
        <v>60</v>
      </c>
      <c r="E209" s="3" t="s">
        <v>37</v>
      </c>
      <c r="F209" s="3" t="s">
        <v>38</v>
      </c>
      <c r="G209" s="3" t="s">
        <v>123</v>
      </c>
      <c r="H209" s="3" t="s">
        <v>819</v>
      </c>
      <c r="I209" s="3">
        <v>66</v>
      </c>
      <c r="J209" s="3" t="s">
        <v>41</v>
      </c>
      <c r="K209" s="3" t="s">
        <v>116</v>
      </c>
      <c r="L209" s="3" t="s">
        <v>79</v>
      </c>
      <c r="M209" s="3" t="s">
        <v>80</v>
      </c>
      <c r="N209" s="3" t="s">
        <v>182</v>
      </c>
      <c r="O209" s="3" t="s">
        <v>254</v>
      </c>
      <c r="P209" s="3" t="s">
        <v>255</v>
      </c>
      <c r="Q209" s="3" t="s">
        <v>69</v>
      </c>
      <c r="R209" s="3" t="s">
        <v>827</v>
      </c>
      <c r="S209" s="3">
        <v>2</v>
      </c>
      <c r="T209" s="3">
        <v>120</v>
      </c>
      <c r="U209" s="3">
        <v>110</v>
      </c>
      <c r="V209" s="3">
        <v>112</v>
      </c>
      <c r="W209" s="3">
        <v>18</v>
      </c>
      <c r="X209" s="3">
        <v>38.6</v>
      </c>
      <c r="Y209" s="3">
        <v>30.2</v>
      </c>
      <c r="Z209" s="3">
        <v>88</v>
      </c>
      <c r="AA209" s="3" t="s">
        <v>50</v>
      </c>
      <c r="AB209" s="3" t="s">
        <v>51</v>
      </c>
      <c r="AC209" s="3" t="s">
        <v>52</v>
      </c>
      <c r="AD209" s="3" t="s">
        <v>53</v>
      </c>
      <c r="AE209" s="3" t="s">
        <v>54</v>
      </c>
      <c r="AF209" s="3" t="s">
        <v>55</v>
      </c>
      <c r="AG209" s="3" t="s">
        <v>173</v>
      </c>
    </row>
    <row r="210" spans="1:33" x14ac:dyDescent="0.2">
      <c r="A210" s="2" t="s">
        <v>816</v>
      </c>
      <c r="B210" s="2" t="s">
        <v>828</v>
      </c>
      <c r="C210" s="2" t="s">
        <v>829</v>
      </c>
      <c r="D210" s="2" t="s">
        <v>36</v>
      </c>
      <c r="E210" s="2" t="s">
        <v>37</v>
      </c>
      <c r="F210" s="2" t="s">
        <v>122</v>
      </c>
      <c r="G210" s="2" t="s">
        <v>63</v>
      </c>
      <c r="H210" s="2" t="s">
        <v>819</v>
      </c>
      <c r="I210" s="2">
        <v>66</v>
      </c>
      <c r="J210" s="2" t="s">
        <v>41</v>
      </c>
      <c r="K210" s="2" t="s">
        <v>110</v>
      </c>
      <c r="L210" s="2" t="s">
        <v>79</v>
      </c>
      <c r="M210" s="2" t="s">
        <v>80</v>
      </c>
      <c r="N210" s="2" t="s">
        <v>182</v>
      </c>
      <c r="O210" s="2" t="s">
        <v>254</v>
      </c>
      <c r="P210" s="2" t="s">
        <v>255</v>
      </c>
      <c r="Q210" s="2" t="s">
        <v>69</v>
      </c>
      <c r="R210" s="2" t="s">
        <v>830</v>
      </c>
      <c r="S210" s="2">
        <v>4</v>
      </c>
      <c r="T210" s="2">
        <v>114</v>
      </c>
      <c r="U210" s="2">
        <v>93</v>
      </c>
      <c r="V210" s="2">
        <v>66</v>
      </c>
      <c r="W210" s="2">
        <v>23</v>
      </c>
      <c r="X210" s="2">
        <v>38.700000000000003</v>
      </c>
      <c r="Y210" s="2">
        <v>23.4</v>
      </c>
      <c r="Z210" s="2">
        <v>98</v>
      </c>
      <c r="AA210" s="2" t="s">
        <v>50</v>
      </c>
      <c r="AB210" s="2" t="s">
        <v>51</v>
      </c>
      <c r="AC210" s="2" t="s">
        <v>52</v>
      </c>
      <c r="AD210" s="2" t="s">
        <v>53</v>
      </c>
      <c r="AE210" s="2" t="s">
        <v>54</v>
      </c>
      <c r="AF210" s="2" t="s">
        <v>55</v>
      </c>
      <c r="AG210" s="2" t="s">
        <v>177</v>
      </c>
    </row>
    <row r="211" spans="1:33" x14ac:dyDescent="0.2">
      <c r="A211" s="3" t="s">
        <v>831</v>
      </c>
      <c r="B211" s="3" t="s">
        <v>832</v>
      </c>
      <c r="C211" s="3" t="s">
        <v>833</v>
      </c>
      <c r="D211" s="3" t="s">
        <v>36</v>
      </c>
      <c r="E211" s="3" t="s">
        <v>89</v>
      </c>
      <c r="F211" s="3" t="s">
        <v>122</v>
      </c>
      <c r="G211" s="3" t="s">
        <v>104</v>
      </c>
      <c r="H211" s="3" t="s">
        <v>834</v>
      </c>
      <c r="I211" s="3">
        <v>50</v>
      </c>
      <c r="J211" s="3" t="s">
        <v>41</v>
      </c>
      <c r="K211" s="3" t="s">
        <v>66</v>
      </c>
      <c r="L211" s="3" t="s">
        <v>141</v>
      </c>
      <c r="M211" s="3"/>
      <c r="N211" s="3"/>
      <c r="O211" s="3" t="s">
        <v>46</v>
      </c>
      <c r="P211" s="3" t="s">
        <v>47</v>
      </c>
      <c r="Q211" s="3" t="s">
        <v>48</v>
      </c>
      <c r="R211" s="3" t="s">
        <v>176</v>
      </c>
      <c r="S211" s="3">
        <v>1</v>
      </c>
      <c r="T211" s="3">
        <v>123</v>
      </c>
      <c r="U211" s="3">
        <v>78</v>
      </c>
      <c r="V211" s="3">
        <v>59</v>
      </c>
      <c r="W211" s="3">
        <v>12</v>
      </c>
      <c r="X211" s="3">
        <v>38.299999999999997</v>
      </c>
      <c r="Y211" s="3">
        <v>19.3</v>
      </c>
      <c r="Z211" s="3">
        <v>97</v>
      </c>
      <c r="AA211" s="3" t="s">
        <v>50</v>
      </c>
      <c r="AB211" s="3" t="s">
        <v>51</v>
      </c>
      <c r="AC211" s="3" t="s">
        <v>52</v>
      </c>
      <c r="AD211" s="3" t="s">
        <v>53</v>
      </c>
      <c r="AE211" s="3" t="s">
        <v>54</v>
      </c>
      <c r="AF211" s="3" t="s">
        <v>55</v>
      </c>
      <c r="AG211" s="3" t="s">
        <v>186</v>
      </c>
    </row>
    <row r="212" spans="1:33" x14ac:dyDescent="0.2">
      <c r="A212" s="2" t="s">
        <v>831</v>
      </c>
      <c r="B212" s="2" t="s">
        <v>835</v>
      </c>
      <c r="C212" s="2" t="s">
        <v>836</v>
      </c>
      <c r="D212" s="2" t="s">
        <v>88</v>
      </c>
      <c r="E212" s="2" t="s">
        <v>167</v>
      </c>
      <c r="F212" s="2" t="s">
        <v>38</v>
      </c>
      <c r="G212" s="2" t="s">
        <v>104</v>
      </c>
      <c r="H212" s="2" t="s">
        <v>834</v>
      </c>
      <c r="I212" s="2">
        <v>50</v>
      </c>
      <c r="J212" s="2" t="s">
        <v>41</v>
      </c>
      <c r="K212" s="2" t="s">
        <v>116</v>
      </c>
      <c r="L212" s="2" t="s">
        <v>141</v>
      </c>
      <c r="M212" s="2"/>
      <c r="N212" s="2"/>
      <c r="O212" s="2" t="s">
        <v>46</v>
      </c>
      <c r="P212" s="2" t="s">
        <v>47</v>
      </c>
      <c r="Q212" s="2" t="s">
        <v>48</v>
      </c>
      <c r="R212" s="2" t="s">
        <v>837</v>
      </c>
      <c r="S212" s="2">
        <v>2</v>
      </c>
      <c r="T212" s="2">
        <v>122</v>
      </c>
      <c r="U212" s="2">
        <v>60</v>
      </c>
      <c r="V212" s="2">
        <v>107</v>
      </c>
      <c r="W212" s="2">
        <v>19</v>
      </c>
      <c r="X212" s="2">
        <v>37.299999999999997</v>
      </c>
      <c r="Y212" s="2">
        <v>36.299999999999997</v>
      </c>
      <c r="Z212" s="2">
        <v>93</v>
      </c>
      <c r="AA212" s="2" t="s">
        <v>50</v>
      </c>
      <c r="AB212" s="2" t="s">
        <v>51</v>
      </c>
      <c r="AC212" s="2" t="s">
        <v>52</v>
      </c>
      <c r="AD212" s="2" t="s">
        <v>53</v>
      </c>
      <c r="AE212" s="2" t="s">
        <v>54</v>
      </c>
      <c r="AF212" s="2" t="s">
        <v>55</v>
      </c>
      <c r="AG212" s="2" t="s">
        <v>191</v>
      </c>
    </row>
    <row r="213" spans="1:33" x14ac:dyDescent="0.2">
      <c r="A213" s="3" t="s">
        <v>838</v>
      </c>
      <c r="B213" s="3" t="s">
        <v>839</v>
      </c>
      <c r="C213" s="3" t="s">
        <v>840</v>
      </c>
      <c r="D213" s="3" t="s">
        <v>88</v>
      </c>
      <c r="E213" s="3" t="s">
        <v>167</v>
      </c>
      <c r="F213" s="3" t="s">
        <v>189</v>
      </c>
      <c r="G213" s="3" t="s">
        <v>63</v>
      </c>
      <c r="H213" s="3" t="s">
        <v>841</v>
      </c>
      <c r="I213" s="3">
        <v>19</v>
      </c>
      <c r="J213" s="3" t="s">
        <v>65</v>
      </c>
      <c r="K213" s="3" t="s">
        <v>140</v>
      </c>
      <c r="L213" s="3" t="s">
        <v>45</v>
      </c>
      <c r="M213" s="3" t="s">
        <v>44</v>
      </c>
      <c r="N213" s="3"/>
      <c r="O213" s="3" t="s">
        <v>305</v>
      </c>
      <c r="P213" s="3" t="s">
        <v>306</v>
      </c>
      <c r="Q213" s="3" t="s">
        <v>48</v>
      </c>
      <c r="R213" s="3" t="s">
        <v>691</v>
      </c>
      <c r="S213" s="3">
        <v>2</v>
      </c>
      <c r="T213" s="3">
        <v>122</v>
      </c>
      <c r="U213" s="3">
        <v>100</v>
      </c>
      <c r="V213" s="3">
        <v>118</v>
      </c>
      <c r="W213" s="3">
        <v>18</v>
      </c>
      <c r="X213" s="3">
        <v>37.299999999999997</v>
      </c>
      <c r="Y213" s="3">
        <v>35.9</v>
      </c>
      <c r="Z213" s="3">
        <v>94</v>
      </c>
      <c r="AA213" s="3" t="s">
        <v>50</v>
      </c>
      <c r="AB213" s="3" t="s">
        <v>51</v>
      </c>
      <c r="AC213" s="3" t="s">
        <v>52</v>
      </c>
      <c r="AD213" s="3" t="s">
        <v>53</v>
      </c>
      <c r="AE213" s="3" t="s">
        <v>54</v>
      </c>
      <c r="AF213" s="3" t="s">
        <v>55</v>
      </c>
      <c r="AG213" s="3" t="s">
        <v>56</v>
      </c>
    </row>
    <row r="214" spans="1:33" x14ac:dyDescent="0.2">
      <c r="A214" s="2" t="s">
        <v>842</v>
      </c>
      <c r="B214" s="2" t="s">
        <v>843</v>
      </c>
      <c r="C214" s="2" t="s">
        <v>844</v>
      </c>
      <c r="D214" s="2" t="s">
        <v>88</v>
      </c>
      <c r="E214" s="2" t="s">
        <v>167</v>
      </c>
      <c r="F214" s="2" t="s">
        <v>97</v>
      </c>
      <c r="G214" s="2" t="s">
        <v>115</v>
      </c>
      <c r="H214" s="2" t="s">
        <v>845</v>
      </c>
      <c r="I214" s="2">
        <v>77</v>
      </c>
      <c r="J214" s="2" t="s">
        <v>41</v>
      </c>
      <c r="K214" s="2" t="s">
        <v>90</v>
      </c>
      <c r="L214" s="2" t="s">
        <v>45</v>
      </c>
      <c r="M214" s="2" t="s">
        <v>125</v>
      </c>
      <c r="N214" s="2" t="s">
        <v>45</v>
      </c>
      <c r="O214" s="2" t="s">
        <v>195</v>
      </c>
      <c r="P214" s="2" t="s">
        <v>196</v>
      </c>
      <c r="Q214" s="2" t="s">
        <v>69</v>
      </c>
      <c r="R214" s="2" t="s">
        <v>846</v>
      </c>
      <c r="S214" s="2">
        <v>3</v>
      </c>
      <c r="T214" s="2">
        <v>139</v>
      </c>
      <c r="U214" s="2">
        <v>75</v>
      </c>
      <c r="V214" s="2">
        <v>60</v>
      </c>
      <c r="W214" s="2">
        <v>22</v>
      </c>
      <c r="X214" s="2">
        <v>36.299999999999997</v>
      </c>
      <c r="Y214" s="2">
        <v>35.200000000000003</v>
      </c>
      <c r="Z214" s="2">
        <v>99</v>
      </c>
      <c r="AA214" s="2" t="s">
        <v>50</v>
      </c>
      <c r="AB214" s="2" t="s">
        <v>51</v>
      </c>
      <c r="AC214" s="2" t="s">
        <v>52</v>
      </c>
      <c r="AD214" s="2" t="s">
        <v>53</v>
      </c>
      <c r="AE214" s="2" t="s">
        <v>54</v>
      </c>
      <c r="AF214" s="2" t="s">
        <v>55</v>
      </c>
      <c r="AG214" s="2" t="s">
        <v>198</v>
      </c>
    </row>
    <row r="215" spans="1:33" x14ac:dyDescent="0.2">
      <c r="A215" s="3" t="s">
        <v>842</v>
      </c>
      <c r="B215" s="3" t="s">
        <v>847</v>
      </c>
      <c r="C215" s="3" t="s">
        <v>848</v>
      </c>
      <c r="D215" s="3" t="s">
        <v>95</v>
      </c>
      <c r="E215" s="3" t="s">
        <v>96</v>
      </c>
      <c r="F215" s="3" t="s">
        <v>219</v>
      </c>
      <c r="G215" s="3" t="s">
        <v>76</v>
      </c>
      <c r="H215" s="3" t="s">
        <v>845</v>
      </c>
      <c r="I215" s="3">
        <v>77</v>
      </c>
      <c r="J215" s="3" t="s">
        <v>41</v>
      </c>
      <c r="K215" s="3" t="s">
        <v>66</v>
      </c>
      <c r="L215" s="3" t="s">
        <v>45</v>
      </c>
      <c r="M215" s="3" t="s">
        <v>125</v>
      </c>
      <c r="N215" s="3" t="s">
        <v>45</v>
      </c>
      <c r="O215" s="3" t="s">
        <v>195</v>
      </c>
      <c r="P215" s="3" t="s">
        <v>196</v>
      </c>
      <c r="Q215" s="3" t="s">
        <v>69</v>
      </c>
      <c r="R215" s="3" t="s">
        <v>849</v>
      </c>
      <c r="S215" s="3">
        <v>4</v>
      </c>
      <c r="T215" s="3">
        <v>128</v>
      </c>
      <c r="U215" s="3">
        <v>74</v>
      </c>
      <c r="V215" s="3">
        <v>82</v>
      </c>
      <c r="W215" s="3">
        <v>12</v>
      </c>
      <c r="X215" s="3">
        <v>36.799999999999997</v>
      </c>
      <c r="Y215" s="3">
        <v>23.8</v>
      </c>
      <c r="Z215" s="3">
        <v>97</v>
      </c>
      <c r="AA215" s="3" t="s">
        <v>50</v>
      </c>
      <c r="AB215" s="3" t="s">
        <v>51</v>
      </c>
      <c r="AC215" s="3" t="s">
        <v>52</v>
      </c>
      <c r="AD215" s="3" t="s">
        <v>53</v>
      </c>
      <c r="AE215" s="3" t="s">
        <v>54</v>
      </c>
      <c r="AF215" s="3" t="s">
        <v>55</v>
      </c>
      <c r="AG215" s="3" t="s">
        <v>202</v>
      </c>
    </row>
    <row r="216" spans="1:33" x14ac:dyDescent="0.2">
      <c r="A216" s="2" t="s">
        <v>842</v>
      </c>
      <c r="B216" s="2" t="s">
        <v>850</v>
      </c>
      <c r="C216" s="2" t="s">
        <v>851</v>
      </c>
      <c r="D216" s="2" t="s">
        <v>60</v>
      </c>
      <c r="E216" s="2" t="s">
        <v>37</v>
      </c>
      <c r="F216" s="2" t="s">
        <v>148</v>
      </c>
      <c r="G216" s="2" t="s">
        <v>123</v>
      </c>
      <c r="H216" s="2" t="s">
        <v>845</v>
      </c>
      <c r="I216" s="2">
        <v>77</v>
      </c>
      <c r="J216" s="2" t="s">
        <v>41</v>
      </c>
      <c r="K216" s="2" t="s">
        <v>66</v>
      </c>
      <c r="L216" s="2" t="s">
        <v>45</v>
      </c>
      <c r="M216" s="2" t="s">
        <v>125</v>
      </c>
      <c r="N216" s="2" t="s">
        <v>45</v>
      </c>
      <c r="O216" s="2" t="s">
        <v>195</v>
      </c>
      <c r="P216" s="2" t="s">
        <v>196</v>
      </c>
      <c r="Q216" s="2" t="s">
        <v>69</v>
      </c>
      <c r="R216" s="2" t="s">
        <v>627</v>
      </c>
      <c r="S216" s="2">
        <v>2</v>
      </c>
      <c r="T216" s="2">
        <v>139</v>
      </c>
      <c r="U216" s="2">
        <v>62</v>
      </c>
      <c r="V216" s="2">
        <v>98</v>
      </c>
      <c r="W216" s="2">
        <v>13</v>
      </c>
      <c r="X216" s="2">
        <v>36.9</v>
      </c>
      <c r="Y216" s="2">
        <v>41.1</v>
      </c>
      <c r="Z216" s="2">
        <v>99</v>
      </c>
      <c r="AA216" s="2" t="s">
        <v>50</v>
      </c>
      <c r="AB216" s="2" t="s">
        <v>51</v>
      </c>
      <c r="AC216" s="2" t="s">
        <v>52</v>
      </c>
      <c r="AD216" s="2" t="s">
        <v>53</v>
      </c>
      <c r="AE216" s="2" t="s">
        <v>54</v>
      </c>
      <c r="AF216" s="2" t="s">
        <v>55</v>
      </c>
      <c r="AG216" s="2" t="s">
        <v>206</v>
      </c>
    </row>
    <row r="217" spans="1:33" x14ac:dyDescent="0.2">
      <c r="A217" s="3" t="s">
        <v>852</v>
      </c>
      <c r="B217" s="3" t="s">
        <v>853</v>
      </c>
      <c r="C217" s="3" t="s">
        <v>854</v>
      </c>
      <c r="D217" s="3" t="s">
        <v>88</v>
      </c>
      <c r="E217" s="3" t="s">
        <v>61</v>
      </c>
      <c r="F217" s="3" t="s">
        <v>219</v>
      </c>
      <c r="G217" s="3" t="s">
        <v>115</v>
      </c>
      <c r="H217" s="3" t="s">
        <v>855</v>
      </c>
      <c r="I217" s="3">
        <v>45</v>
      </c>
      <c r="J217" s="3" t="s">
        <v>65</v>
      </c>
      <c r="K217" s="3" t="s">
        <v>140</v>
      </c>
      <c r="L217" s="3" t="s">
        <v>141</v>
      </c>
      <c r="M217" s="3" t="s">
        <v>80</v>
      </c>
      <c r="N217" s="3" t="s">
        <v>81</v>
      </c>
      <c r="O217" s="3" t="s">
        <v>254</v>
      </c>
      <c r="P217" s="3" t="s">
        <v>255</v>
      </c>
      <c r="Q217" s="3" t="s">
        <v>69</v>
      </c>
      <c r="R217" s="3" t="s">
        <v>856</v>
      </c>
      <c r="S217" s="3">
        <v>2</v>
      </c>
      <c r="T217" s="3">
        <v>148</v>
      </c>
      <c r="U217" s="3">
        <v>106</v>
      </c>
      <c r="V217" s="3">
        <v>60</v>
      </c>
      <c r="W217" s="3">
        <v>20</v>
      </c>
      <c r="X217" s="3">
        <v>36.299999999999997</v>
      </c>
      <c r="Y217" s="3">
        <v>27.9</v>
      </c>
      <c r="Z217" s="3">
        <v>87</v>
      </c>
      <c r="AA217" s="3" t="s">
        <v>50</v>
      </c>
      <c r="AB217" s="3" t="s">
        <v>51</v>
      </c>
      <c r="AC217" s="3" t="s">
        <v>52</v>
      </c>
      <c r="AD217" s="3" t="s">
        <v>53</v>
      </c>
      <c r="AE217" s="3" t="s">
        <v>54</v>
      </c>
      <c r="AF217" s="3" t="s">
        <v>55</v>
      </c>
      <c r="AG217" s="3" t="s">
        <v>160</v>
      </c>
    </row>
    <row r="218" spans="1:33" x14ac:dyDescent="0.2">
      <c r="A218" s="2" t="s">
        <v>852</v>
      </c>
      <c r="B218" s="2" t="s">
        <v>857</v>
      </c>
      <c r="C218" s="2" t="s">
        <v>858</v>
      </c>
      <c r="D218" s="2" t="s">
        <v>103</v>
      </c>
      <c r="E218" s="2" t="s">
        <v>37</v>
      </c>
      <c r="F218" s="2" t="s">
        <v>189</v>
      </c>
      <c r="G218" s="2" t="s">
        <v>76</v>
      </c>
      <c r="H218" s="2" t="s">
        <v>855</v>
      </c>
      <c r="I218" s="2">
        <v>45</v>
      </c>
      <c r="J218" s="2" t="s">
        <v>65</v>
      </c>
      <c r="K218" s="2" t="s">
        <v>78</v>
      </c>
      <c r="L218" s="2" t="s">
        <v>141</v>
      </c>
      <c r="M218" s="2" t="s">
        <v>80</v>
      </c>
      <c r="N218" s="2" t="s">
        <v>81</v>
      </c>
      <c r="O218" s="2" t="s">
        <v>254</v>
      </c>
      <c r="P218" s="2" t="s">
        <v>255</v>
      </c>
      <c r="Q218" s="2" t="s">
        <v>69</v>
      </c>
      <c r="R218" s="2" t="s">
        <v>859</v>
      </c>
      <c r="S218" s="2">
        <v>4</v>
      </c>
      <c r="T218" s="2">
        <v>180</v>
      </c>
      <c r="U218" s="2">
        <v>95</v>
      </c>
      <c r="V218" s="2">
        <v>123</v>
      </c>
      <c r="W218" s="2">
        <v>24</v>
      </c>
      <c r="X218" s="2">
        <v>37.5</v>
      </c>
      <c r="Y218" s="2">
        <v>27.7</v>
      </c>
      <c r="Z218" s="2">
        <v>90</v>
      </c>
      <c r="AA218" s="2" t="s">
        <v>50</v>
      </c>
      <c r="AB218" s="2" t="s">
        <v>51</v>
      </c>
      <c r="AC218" s="2" t="s">
        <v>52</v>
      </c>
      <c r="AD218" s="2" t="s">
        <v>53</v>
      </c>
      <c r="AE218" s="2" t="s">
        <v>54</v>
      </c>
      <c r="AF218" s="2" t="s">
        <v>55</v>
      </c>
      <c r="AG218" s="2" t="s">
        <v>164</v>
      </c>
    </row>
    <row r="219" spans="1:33" x14ac:dyDescent="0.2">
      <c r="A219" s="3" t="s">
        <v>852</v>
      </c>
      <c r="B219" s="3" t="s">
        <v>860</v>
      </c>
      <c r="C219" s="3" t="s">
        <v>861</v>
      </c>
      <c r="D219" s="3" t="s">
        <v>88</v>
      </c>
      <c r="E219" s="3" t="s">
        <v>61</v>
      </c>
      <c r="F219" s="3" t="s">
        <v>132</v>
      </c>
      <c r="G219" s="3" t="s">
        <v>39</v>
      </c>
      <c r="H219" s="3" t="s">
        <v>855</v>
      </c>
      <c r="I219" s="3">
        <v>45</v>
      </c>
      <c r="J219" s="3" t="s">
        <v>65</v>
      </c>
      <c r="K219" s="3" t="s">
        <v>42</v>
      </c>
      <c r="L219" s="3" t="s">
        <v>141</v>
      </c>
      <c r="M219" s="3" t="s">
        <v>80</v>
      </c>
      <c r="N219" s="3" t="s">
        <v>81</v>
      </c>
      <c r="O219" s="3" t="s">
        <v>254</v>
      </c>
      <c r="P219" s="3" t="s">
        <v>255</v>
      </c>
      <c r="Q219" s="3" t="s">
        <v>69</v>
      </c>
      <c r="R219" s="3" t="s">
        <v>862</v>
      </c>
      <c r="S219" s="3">
        <v>3</v>
      </c>
      <c r="T219" s="3">
        <v>178</v>
      </c>
      <c r="U219" s="3">
        <v>108</v>
      </c>
      <c r="V219" s="3">
        <v>53</v>
      </c>
      <c r="W219" s="3">
        <v>22</v>
      </c>
      <c r="X219" s="3">
        <v>36.299999999999997</v>
      </c>
      <c r="Y219" s="3">
        <v>45.1</v>
      </c>
      <c r="Z219" s="3">
        <v>95</v>
      </c>
      <c r="AA219" s="3" t="s">
        <v>50</v>
      </c>
      <c r="AB219" s="3" t="s">
        <v>51</v>
      </c>
      <c r="AC219" s="3" t="s">
        <v>52</v>
      </c>
      <c r="AD219" s="3" t="s">
        <v>53</v>
      </c>
      <c r="AE219" s="3" t="s">
        <v>54</v>
      </c>
      <c r="AF219" s="3" t="s">
        <v>55</v>
      </c>
      <c r="AG219" s="3" t="s">
        <v>169</v>
      </c>
    </row>
    <row r="220" spans="1:33" x14ac:dyDescent="0.2">
      <c r="A220" s="2" t="s">
        <v>852</v>
      </c>
      <c r="B220" s="2" t="s">
        <v>863</v>
      </c>
      <c r="C220" s="2" t="s">
        <v>864</v>
      </c>
      <c r="D220" s="2" t="s">
        <v>88</v>
      </c>
      <c r="E220" s="2" t="s">
        <v>61</v>
      </c>
      <c r="F220" s="2" t="s">
        <v>219</v>
      </c>
      <c r="G220" s="2" t="s">
        <v>115</v>
      </c>
      <c r="H220" s="2" t="s">
        <v>855</v>
      </c>
      <c r="I220" s="2">
        <v>45</v>
      </c>
      <c r="J220" s="2" t="s">
        <v>65</v>
      </c>
      <c r="K220" s="2" t="s">
        <v>140</v>
      </c>
      <c r="L220" s="2" t="s">
        <v>141</v>
      </c>
      <c r="M220" s="2" t="s">
        <v>80</v>
      </c>
      <c r="N220" s="2" t="s">
        <v>81</v>
      </c>
      <c r="O220" s="2" t="s">
        <v>254</v>
      </c>
      <c r="P220" s="2" t="s">
        <v>255</v>
      </c>
      <c r="Q220" s="2" t="s">
        <v>69</v>
      </c>
      <c r="R220" s="2" t="s">
        <v>865</v>
      </c>
      <c r="S220" s="2">
        <v>3</v>
      </c>
      <c r="T220" s="2">
        <v>154</v>
      </c>
      <c r="U220" s="2">
        <v>105</v>
      </c>
      <c r="V220" s="2">
        <v>89</v>
      </c>
      <c r="W220" s="2">
        <v>18</v>
      </c>
      <c r="X220" s="2">
        <v>38.9</v>
      </c>
      <c r="Y220" s="2">
        <v>32.200000000000003</v>
      </c>
      <c r="Z220" s="2">
        <v>92</v>
      </c>
      <c r="AA220" s="2" t="s">
        <v>50</v>
      </c>
      <c r="AB220" s="2" t="s">
        <v>51</v>
      </c>
      <c r="AC220" s="2" t="s">
        <v>52</v>
      </c>
      <c r="AD220" s="2" t="s">
        <v>53</v>
      </c>
      <c r="AE220" s="2" t="s">
        <v>54</v>
      </c>
      <c r="AF220" s="2" t="s">
        <v>55</v>
      </c>
      <c r="AG220" s="2" t="s">
        <v>173</v>
      </c>
    </row>
    <row r="221" spans="1:33" x14ac:dyDescent="0.2">
      <c r="A221" s="3" t="s">
        <v>852</v>
      </c>
      <c r="B221" s="3" t="s">
        <v>866</v>
      </c>
      <c r="C221" s="3" t="s">
        <v>867</v>
      </c>
      <c r="D221" s="3" t="s">
        <v>95</v>
      </c>
      <c r="E221" s="3" t="s">
        <v>61</v>
      </c>
      <c r="F221" s="3" t="s">
        <v>97</v>
      </c>
      <c r="G221" s="3" t="s">
        <v>115</v>
      </c>
      <c r="H221" s="3" t="s">
        <v>855</v>
      </c>
      <c r="I221" s="3">
        <v>45</v>
      </c>
      <c r="J221" s="3" t="s">
        <v>65</v>
      </c>
      <c r="K221" s="3" t="s">
        <v>116</v>
      </c>
      <c r="L221" s="3" t="s">
        <v>141</v>
      </c>
      <c r="M221" s="3" t="s">
        <v>80</v>
      </c>
      <c r="N221" s="3" t="s">
        <v>81</v>
      </c>
      <c r="O221" s="3" t="s">
        <v>254</v>
      </c>
      <c r="P221" s="3" t="s">
        <v>255</v>
      </c>
      <c r="Q221" s="3" t="s">
        <v>69</v>
      </c>
      <c r="R221" s="3" t="s">
        <v>868</v>
      </c>
      <c r="S221" s="3">
        <v>4</v>
      </c>
      <c r="T221" s="3">
        <v>141</v>
      </c>
      <c r="U221" s="3">
        <v>72</v>
      </c>
      <c r="V221" s="3">
        <v>61</v>
      </c>
      <c r="W221" s="3">
        <v>15</v>
      </c>
      <c r="X221" s="3">
        <v>37.9</v>
      </c>
      <c r="Y221" s="3">
        <v>40.799999999999997</v>
      </c>
      <c r="Z221" s="3">
        <v>96</v>
      </c>
      <c r="AA221" s="3" t="s">
        <v>50</v>
      </c>
      <c r="AB221" s="3" t="s">
        <v>51</v>
      </c>
      <c r="AC221" s="3" t="s">
        <v>52</v>
      </c>
      <c r="AD221" s="3" t="s">
        <v>53</v>
      </c>
      <c r="AE221" s="3" t="s">
        <v>54</v>
      </c>
      <c r="AF221" s="3" t="s">
        <v>55</v>
      </c>
      <c r="AG221" s="3" t="s">
        <v>177</v>
      </c>
    </row>
    <row r="222" spans="1:33" x14ac:dyDescent="0.2">
      <c r="A222" s="2" t="s">
        <v>869</v>
      </c>
      <c r="B222" s="2" t="s">
        <v>870</v>
      </c>
      <c r="C222" s="2" t="s">
        <v>871</v>
      </c>
      <c r="D222" s="2" t="s">
        <v>88</v>
      </c>
      <c r="E222" s="2" t="s">
        <v>96</v>
      </c>
      <c r="F222" s="2" t="s">
        <v>219</v>
      </c>
      <c r="G222" s="2" t="s">
        <v>115</v>
      </c>
      <c r="H222" s="2" t="s">
        <v>872</v>
      </c>
      <c r="I222" s="2">
        <v>20</v>
      </c>
      <c r="J222" s="2" t="s">
        <v>65</v>
      </c>
      <c r="K222" s="2" t="s">
        <v>140</v>
      </c>
      <c r="L222" s="2" t="s">
        <v>43</v>
      </c>
      <c r="M222" s="2" t="s">
        <v>80</v>
      </c>
      <c r="N222" s="2" t="s">
        <v>45</v>
      </c>
      <c r="O222" s="2" t="s">
        <v>305</v>
      </c>
      <c r="P222" s="2" t="s">
        <v>306</v>
      </c>
      <c r="Q222" s="2" t="s">
        <v>48</v>
      </c>
      <c r="R222" s="2" t="s">
        <v>873</v>
      </c>
      <c r="S222" s="2">
        <v>3</v>
      </c>
      <c r="T222" s="2">
        <v>100</v>
      </c>
      <c r="U222" s="2">
        <v>70</v>
      </c>
      <c r="V222" s="2">
        <v>64</v>
      </c>
      <c r="W222" s="2">
        <v>27</v>
      </c>
      <c r="X222" s="2">
        <v>37.9</v>
      </c>
      <c r="Y222" s="2">
        <v>33.6</v>
      </c>
      <c r="Z222" s="2">
        <v>87</v>
      </c>
      <c r="AA222" s="2" t="s">
        <v>50</v>
      </c>
      <c r="AB222" s="2" t="s">
        <v>51</v>
      </c>
      <c r="AC222" s="2" t="s">
        <v>52</v>
      </c>
      <c r="AD222" s="2" t="s">
        <v>53</v>
      </c>
      <c r="AE222" s="2" t="s">
        <v>54</v>
      </c>
      <c r="AF222" s="2" t="s">
        <v>55</v>
      </c>
      <c r="AG222" s="2" t="s">
        <v>213</v>
      </c>
    </row>
    <row r="223" spans="1:33" x14ac:dyDescent="0.2">
      <c r="A223" s="3" t="s">
        <v>869</v>
      </c>
      <c r="B223" s="3" t="s">
        <v>874</v>
      </c>
      <c r="C223" s="3" t="s">
        <v>875</v>
      </c>
      <c r="D223" s="3" t="s">
        <v>103</v>
      </c>
      <c r="E223" s="3" t="s">
        <v>96</v>
      </c>
      <c r="F223" s="3" t="s">
        <v>132</v>
      </c>
      <c r="G223" s="3" t="s">
        <v>115</v>
      </c>
      <c r="H223" s="3" t="s">
        <v>872</v>
      </c>
      <c r="I223" s="3">
        <v>20</v>
      </c>
      <c r="J223" s="3" t="s">
        <v>65</v>
      </c>
      <c r="K223" s="3" t="s">
        <v>110</v>
      </c>
      <c r="L223" s="3" t="s">
        <v>43</v>
      </c>
      <c r="M223" s="3" t="s">
        <v>80</v>
      </c>
      <c r="N223" s="3" t="s">
        <v>45</v>
      </c>
      <c r="O223" s="3" t="s">
        <v>305</v>
      </c>
      <c r="P223" s="3" t="s">
        <v>306</v>
      </c>
      <c r="Q223" s="3" t="s">
        <v>48</v>
      </c>
      <c r="R223" s="3" t="s">
        <v>876</v>
      </c>
      <c r="S223" s="3">
        <v>3</v>
      </c>
      <c r="T223" s="3">
        <v>149</v>
      </c>
      <c r="U223" s="3">
        <v>103</v>
      </c>
      <c r="V223" s="3">
        <v>112</v>
      </c>
      <c r="W223" s="3">
        <v>15</v>
      </c>
      <c r="X223" s="3">
        <v>38.1</v>
      </c>
      <c r="Y223" s="3">
        <v>25</v>
      </c>
      <c r="Z223" s="3">
        <v>96</v>
      </c>
      <c r="AA223" s="3" t="s">
        <v>50</v>
      </c>
      <c r="AB223" s="3" t="s">
        <v>51</v>
      </c>
      <c r="AC223" s="3" t="s">
        <v>52</v>
      </c>
      <c r="AD223" s="3" t="s">
        <v>53</v>
      </c>
      <c r="AE223" s="3" t="s">
        <v>54</v>
      </c>
      <c r="AF223" s="3" t="s">
        <v>55</v>
      </c>
      <c r="AG223" s="3" t="s">
        <v>216</v>
      </c>
    </row>
    <row r="224" spans="1:33" x14ac:dyDescent="0.2">
      <c r="A224" s="2" t="s">
        <v>869</v>
      </c>
      <c r="B224" s="2" t="s">
        <v>877</v>
      </c>
      <c r="C224" s="2" t="s">
        <v>878</v>
      </c>
      <c r="D224" s="2" t="s">
        <v>88</v>
      </c>
      <c r="E224" s="2" t="s">
        <v>37</v>
      </c>
      <c r="F224" s="2" t="s">
        <v>122</v>
      </c>
      <c r="G224" s="2" t="s">
        <v>98</v>
      </c>
      <c r="H224" s="2" t="s">
        <v>872</v>
      </c>
      <c r="I224" s="2">
        <v>20</v>
      </c>
      <c r="J224" s="2" t="s">
        <v>65</v>
      </c>
      <c r="K224" s="2" t="s">
        <v>116</v>
      </c>
      <c r="L224" s="2" t="s">
        <v>43</v>
      </c>
      <c r="M224" s="2" t="s">
        <v>80</v>
      </c>
      <c r="N224" s="2" t="s">
        <v>45</v>
      </c>
      <c r="O224" s="2" t="s">
        <v>305</v>
      </c>
      <c r="P224" s="2" t="s">
        <v>306</v>
      </c>
      <c r="Q224" s="2" t="s">
        <v>48</v>
      </c>
      <c r="R224" s="2" t="s">
        <v>268</v>
      </c>
      <c r="S224" s="2">
        <v>1</v>
      </c>
      <c r="T224" s="2">
        <v>113</v>
      </c>
      <c r="U224" s="2">
        <v>107</v>
      </c>
      <c r="V224" s="2">
        <v>88</v>
      </c>
      <c r="W224" s="2">
        <v>19</v>
      </c>
      <c r="X224" s="2">
        <v>36.5</v>
      </c>
      <c r="Y224" s="2">
        <v>20.2</v>
      </c>
      <c r="Z224" s="2">
        <v>93</v>
      </c>
      <c r="AA224" s="2" t="s">
        <v>50</v>
      </c>
      <c r="AB224" s="2" t="s">
        <v>51</v>
      </c>
      <c r="AC224" s="2" t="s">
        <v>52</v>
      </c>
      <c r="AD224" s="2" t="s">
        <v>53</v>
      </c>
      <c r="AE224" s="2" t="s">
        <v>54</v>
      </c>
      <c r="AF224" s="2" t="s">
        <v>55</v>
      </c>
      <c r="AG224" s="2" t="s">
        <v>221</v>
      </c>
    </row>
    <row r="225" spans="1:33" x14ac:dyDescent="0.2">
      <c r="A225" s="3" t="s">
        <v>879</v>
      </c>
      <c r="B225" s="3" t="s">
        <v>880</v>
      </c>
      <c r="C225" s="3" t="s">
        <v>881</v>
      </c>
      <c r="D225" s="3" t="s">
        <v>103</v>
      </c>
      <c r="E225" s="3" t="s">
        <v>167</v>
      </c>
      <c r="F225" s="3" t="s">
        <v>219</v>
      </c>
      <c r="G225" s="3" t="s">
        <v>138</v>
      </c>
      <c r="H225" s="3" t="s">
        <v>882</v>
      </c>
      <c r="I225" s="3">
        <v>18</v>
      </c>
      <c r="J225" s="3" t="s">
        <v>41</v>
      </c>
      <c r="K225" s="3" t="s">
        <v>66</v>
      </c>
      <c r="L225" s="3" t="s">
        <v>141</v>
      </c>
      <c r="M225" s="3" t="s">
        <v>125</v>
      </c>
      <c r="N225" s="3" t="s">
        <v>45</v>
      </c>
      <c r="O225" s="3" t="s">
        <v>126</v>
      </c>
      <c r="P225" s="3" t="s">
        <v>127</v>
      </c>
      <c r="Q225" s="3" t="s">
        <v>69</v>
      </c>
      <c r="R225" s="3" t="s">
        <v>159</v>
      </c>
      <c r="S225" s="3">
        <v>1</v>
      </c>
      <c r="T225" s="3">
        <v>116</v>
      </c>
      <c r="U225" s="3">
        <v>103</v>
      </c>
      <c r="V225" s="3">
        <v>109</v>
      </c>
      <c r="W225" s="3">
        <v>18</v>
      </c>
      <c r="X225" s="3">
        <v>37.9</v>
      </c>
      <c r="Y225" s="3">
        <v>38.6</v>
      </c>
      <c r="Z225" s="3">
        <v>97</v>
      </c>
      <c r="AA225" s="3" t="s">
        <v>50</v>
      </c>
      <c r="AB225" s="3" t="s">
        <v>51</v>
      </c>
      <c r="AC225" s="3" t="s">
        <v>52</v>
      </c>
      <c r="AD225" s="3" t="s">
        <v>53</v>
      </c>
      <c r="AE225" s="3" t="s">
        <v>54</v>
      </c>
      <c r="AF225" s="3" t="s">
        <v>55</v>
      </c>
      <c r="AG225" s="3" t="s">
        <v>160</v>
      </c>
    </row>
    <row r="226" spans="1:33" x14ac:dyDescent="0.2">
      <c r="A226" s="2" t="s">
        <v>879</v>
      </c>
      <c r="B226" s="2" t="s">
        <v>883</v>
      </c>
      <c r="C226" s="2" t="s">
        <v>884</v>
      </c>
      <c r="D226" s="2" t="s">
        <v>60</v>
      </c>
      <c r="E226" s="2" t="s">
        <v>96</v>
      </c>
      <c r="F226" s="2" t="s">
        <v>189</v>
      </c>
      <c r="G226" s="2" t="s">
        <v>76</v>
      </c>
      <c r="H226" s="2" t="s">
        <v>882</v>
      </c>
      <c r="I226" s="2">
        <v>18</v>
      </c>
      <c r="J226" s="2" t="s">
        <v>41</v>
      </c>
      <c r="K226" s="2" t="s">
        <v>78</v>
      </c>
      <c r="L226" s="2" t="s">
        <v>141</v>
      </c>
      <c r="M226" s="2" t="s">
        <v>125</v>
      </c>
      <c r="N226" s="2" t="s">
        <v>45</v>
      </c>
      <c r="O226" s="2" t="s">
        <v>126</v>
      </c>
      <c r="P226" s="2" t="s">
        <v>127</v>
      </c>
      <c r="Q226" s="2" t="s">
        <v>69</v>
      </c>
      <c r="R226" s="2" t="s">
        <v>885</v>
      </c>
      <c r="S226" s="2">
        <v>1</v>
      </c>
      <c r="T226" s="2">
        <v>120</v>
      </c>
      <c r="U226" s="2">
        <v>108</v>
      </c>
      <c r="V226" s="2">
        <v>81</v>
      </c>
      <c r="W226" s="2">
        <v>15</v>
      </c>
      <c r="X226" s="2">
        <v>38.299999999999997</v>
      </c>
      <c r="Y226" s="2">
        <v>40</v>
      </c>
      <c r="Z226" s="2">
        <v>95</v>
      </c>
      <c r="AA226" s="2" t="s">
        <v>50</v>
      </c>
      <c r="AB226" s="2" t="s">
        <v>51</v>
      </c>
      <c r="AC226" s="2" t="s">
        <v>52</v>
      </c>
      <c r="AD226" s="2" t="s">
        <v>53</v>
      </c>
      <c r="AE226" s="2" t="s">
        <v>54</v>
      </c>
      <c r="AF226" s="2" t="s">
        <v>55</v>
      </c>
      <c r="AG226" s="2" t="s">
        <v>164</v>
      </c>
    </row>
    <row r="227" spans="1:33" x14ac:dyDescent="0.2">
      <c r="A227" s="3" t="s">
        <v>879</v>
      </c>
      <c r="B227" s="3" t="s">
        <v>886</v>
      </c>
      <c r="C227" s="3" t="s">
        <v>887</v>
      </c>
      <c r="D227" s="3" t="s">
        <v>103</v>
      </c>
      <c r="E227" s="3" t="s">
        <v>167</v>
      </c>
      <c r="F227" s="3" t="s">
        <v>148</v>
      </c>
      <c r="G227" s="3" t="s">
        <v>98</v>
      </c>
      <c r="H227" s="3" t="s">
        <v>882</v>
      </c>
      <c r="I227" s="3">
        <v>18</v>
      </c>
      <c r="J227" s="3" t="s">
        <v>41</v>
      </c>
      <c r="K227" s="3" t="s">
        <v>42</v>
      </c>
      <c r="L227" s="3" t="s">
        <v>141</v>
      </c>
      <c r="M227" s="3" t="s">
        <v>125</v>
      </c>
      <c r="N227" s="3" t="s">
        <v>45</v>
      </c>
      <c r="O227" s="3" t="s">
        <v>126</v>
      </c>
      <c r="P227" s="3" t="s">
        <v>127</v>
      </c>
      <c r="Q227" s="3" t="s">
        <v>69</v>
      </c>
      <c r="R227" s="3" t="s">
        <v>888</v>
      </c>
      <c r="S227" s="3">
        <v>4</v>
      </c>
      <c r="T227" s="3">
        <v>105</v>
      </c>
      <c r="U227" s="3">
        <v>81</v>
      </c>
      <c r="V227" s="3">
        <v>94</v>
      </c>
      <c r="W227" s="3">
        <v>16</v>
      </c>
      <c r="X227" s="3">
        <v>37.700000000000003</v>
      </c>
      <c r="Y227" s="3">
        <v>33.6</v>
      </c>
      <c r="Z227" s="3">
        <v>95</v>
      </c>
      <c r="AA227" s="3" t="s">
        <v>50</v>
      </c>
      <c r="AB227" s="3" t="s">
        <v>51</v>
      </c>
      <c r="AC227" s="3" t="s">
        <v>52</v>
      </c>
      <c r="AD227" s="3" t="s">
        <v>53</v>
      </c>
      <c r="AE227" s="3" t="s">
        <v>54</v>
      </c>
      <c r="AF227" s="3" t="s">
        <v>55</v>
      </c>
      <c r="AG227" s="3" t="s">
        <v>169</v>
      </c>
    </row>
    <row r="228" spans="1:33" x14ac:dyDescent="0.2">
      <c r="A228" s="2" t="s">
        <v>879</v>
      </c>
      <c r="B228" s="2" t="s">
        <v>889</v>
      </c>
      <c r="C228" s="2" t="s">
        <v>890</v>
      </c>
      <c r="D228" s="2" t="s">
        <v>88</v>
      </c>
      <c r="E228" s="2" t="s">
        <v>96</v>
      </c>
      <c r="F228" s="2" t="s">
        <v>109</v>
      </c>
      <c r="G228" s="2" t="s">
        <v>123</v>
      </c>
      <c r="H228" s="2" t="s">
        <v>882</v>
      </c>
      <c r="I228" s="2">
        <v>18</v>
      </c>
      <c r="J228" s="2" t="s">
        <v>41</v>
      </c>
      <c r="K228" s="2" t="s">
        <v>140</v>
      </c>
      <c r="L228" s="2" t="s">
        <v>141</v>
      </c>
      <c r="M228" s="2" t="s">
        <v>125</v>
      </c>
      <c r="N228" s="2" t="s">
        <v>45</v>
      </c>
      <c r="O228" s="2" t="s">
        <v>126</v>
      </c>
      <c r="P228" s="2" t="s">
        <v>127</v>
      </c>
      <c r="Q228" s="2" t="s">
        <v>69</v>
      </c>
      <c r="R228" s="2" t="s">
        <v>891</v>
      </c>
      <c r="S228" s="2">
        <v>2</v>
      </c>
      <c r="T228" s="2">
        <v>147</v>
      </c>
      <c r="U228" s="2">
        <v>101</v>
      </c>
      <c r="V228" s="2">
        <v>80</v>
      </c>
      <c r="W228" s="2">
        <v>14</v>
      </c>
      <c r="X228" s="2">
        <v>38.799999999999997</v>
      </c>
      <c r="Y228" s="2">
        <v>20.9</v>
      </c>
      <c r="Z228" s="2">
        <v>90</v>
      </c>
      <c r="AA228" s="2" t="s">
        <v>50</v>
      </c>
      <c r="AB228" s="2" t="s">
        <v>51</v>
      </c>
      <c r="AC228" s="2" t="s">
        <v>52</v>
      </c>
      <c r="AD228" s="2" t="s">
        <v>53</v>
      </c>
      <c r="AE228" s="2" t="s">
        <v>54</v>
      </c>
      <c r="AF228" s="2" t="s">
        <v>55</v>
      </c>
      <c r="AG228" s="2" t="s">
        <v>173</v>
      </c>
    </row>
    <row r="229" spans="1:33" x14ac:dyDescent="0.2">
      <c r="A229" s="3" t="s">
        <v>879</v>
      </c>
      <c r="B229" s="3" t="s">
        <v>892</v>
      </c>
      <c r="C229" s="3" t="s">
        <v>893</v>
      </c>
      <c r="D229" s="3" t="s">
        <v>88</v>
      </c>
      <c r="E229" s="3" t="s">
        <v>37</v>
      </c>
      <c r="F229" s="3" t="s">
        <v>132</v>
      </c>
      <c r="G229" s="3" t="s">
        <v>39</v>
      </c>
      <c r="H229" s="3" t="s">
        <v>882</v>
      </c>
      <c r="I229" s="3">
        <v>18</v>
      </c>
      <c r="J229" s="3" t="s">
        <v>41</v>
      </c>
      <c r="K229" s="3" t="s">
        <v>90</v>
      </c>
      <c r="L229" s="3" t="s">
        <v>141</v>
      </c>
      <c r="M229" s="3" t="s">
        <v>125</v>
      </c>
      <c r="N229" s="3" t="s">
        <v>45</v>
      </c>
      <c r="O229" s="3" t="s">
        <v>126</v>
      </c>
      <c r="P229" s="3" t="s">
        <v>127</v>
      </c>
      <c r="Q229" s="3" t="s">
        <v>69</v>
      </c>
      <c r="R229" s="3" t="s">
        <v>894</v>
      </c>
      <c r="S229" s="3">
        <v>2</v>
      </c>
      <c r="T229" s="3">
        <v>182</v>
      </c>
      <c r="U229" s="3">
        <v>55</v>
      </c>
      <c r="V229" s="3">
        <v>57</v>
      </c>
      <c r="W229" s="3">
        <v>14</v>
      </c>
      <c r="X229" s="3">
        <v>39</v>
      </c>
      <c r="Y229" s="3">
        <v>29.9</v>
      </c>
      <c r="Z229" s="3">
        <v>88</v>
      </c>
      <c r="AA229" s="3" t="s">
        <v>50</v>
      </c>
      <c r="AB229" s="3" t="s">
        <v>51</v>
      </c>
      <c r="AC229" s="3" t="s">
        <v>52</v>
      </c>
      <c r="AD229" s="3" t="s">
        <v>53</v>
      </c>
      <c r="AE229" s="3" t="s">
        <v>54</v>
      </c>
      <c r="AF229" s="3" t="s">
        <v>55</v>
      </c>
      <c r="AG229" s="3" t="s">
        <v>177</v>
      </c>
    </row>
    <row r="230" spans="1:33" x14ac:dyDescent="0.2">
      <c r="A230" s="2" t="s">
        <v>895</v>
      </c>
      <c r="B230" s="2" t="s">
        <v>896</v>
      </c>
      <c r="C230" s="2" t="s">
        <v>405</v>
      </c>
      <c r="D230" s="2" t="s">
        <v>95</v>
      </c>
      <c r="E230" s="2" t="s">
        <v>167</v>
      </c>
      <c r="F230" s="2" t="s">
        <v>132</v>
      </c>
      <c r="G230" s="2" t="s">
        <v>39</v>
      </c>
      <c r="H230" s="2" t="s">
        <v>897</v>
      </c>
      <c r="I230" s="2">
        <v>25</v>
      </c>
      <c r="J230" s="2" t="s">
        <v>65</v>
      </c>
      <c r="K230" s="2" t="s">
        <v>90</v>
      </c>
      <c r="L230" s="2" t="s">
        <v>45</v>
      </c>
      <c r="M230" s="2" t="s">
        <v>80</v>
      </c>
      <c r="N230" s="2" t="s">
        <v>81</v>
      </c>
      <c r="O230" s="2" t="s">
        <v>157</v>
      </c>
      <c r="P230" s="2" t="s">
        <v>158</v>
      </c>
      <c r="Q230" s="2" t="s">
        <v>69</v>
      </c>
      <c r="R230" s="2" t="s">
        <v>898</v>
      </c>
      <c r="S230" s="2">
        <v>2</v>
      </c>
      <c r="T230" s="2">
        <v>149</v>
      </c>
      <c r="U230" s="2">
        <v>86</v>
      </c>
      <c r="V230" s="2">
        <v>67</v>
      </c>
      <c r="W230" s="2">
        <v>15</v>
      </c>
      <c r="X230" s="2">
        <v>36.1</v>
      </c>
      <c r="Y230" s="2">
        <v>24.3</v>
      </c>
      <c r="Z230" s="2">
        <v>87</v>
      </c>
      <c r="AA230" s="2" t="s">
        <v>50</v>
      </c>
      <c r="AB230" s="2" t="s">
        <v>51</v>
      </c>
      <c r="AC230" s="2" t="s">
        <v>52</v>
      </c>
      <c r="AD230" s="2" t="s">
        <v>53</v>
      </c>
      <c r="AE230" s="2" t="s">
        <v>54</v>
      </c>
      <c r="AF230" s="2" t="s">
        <v>55</v>
      </c>
      <c r="AG230" s="2" t="s">
        <v>394</v>
      </c>
    </row>
    <row r="231" spans="1:33" x14ac:dyDescent="0.2">
      <c r="A231" s="3" t="s">
        <v>895</v>
      </c>
      <c r="B231" s="3" t="s">
        <v>899</v>
      </c>
      <c r="C231" s="3" t="s">
        <v>900</v>
      </c>
      <c r="D231" s="3" t="s">
        <v>88</v>
      </c>
      <c r="E231" s="3" t="s">
        <v>61</v>
      </c>
      <c r="F231" s="3" t="s">
        <v>219</v>
      </c>
      <c r="G231" s="3" t="s">
        <v>39</v>
      </c>
      <c r="H231" s="3" t="s">
        <v>897</v>
      </c>
      <c r="I231" s="3">
        <v>25</v>
      </c>
      <c r="J231" s="3" t="s">
        <v>65</v>
      </c>
      <c r="K231" s="3" t="s">
        <v>90</v>
      </c>
      <c r="L231" s="3" t="s">
        <v>45</v>
      </c>
      <c r="M231" s="3" t="s">
        <v>80</v>
      </c>
      <c r="N231" s="3" t="s">
        <v>81</v>
      </c>
      <c r="O231" s="3" t="s">
        <v>157</v>
      </c>
      <c r="P231" s="3" t="s">
        <v>158</v>
      </c>
      <c r="Q231" s="3" t="s">
        <v>69</v>
      </c>
      <c r="R231" s="3" t="s">
        <v>901</v>
      </c>
      <c r="S231" s="3">
        <v>3</v>
      </c>
      <c r="T231" s="3">
        <v>142</v>
      </c>
      <c r="U231" s="3">
        <v>99</v>
      </c>
      <c r="V231" s="3">
        <v>55</v>
      </c>
      <c r="W231" s="3">
        <v>13</v>
      </c>
      <c r="X231" s="3">
        <v>36.9</v>
      </c>
      <c r="Y231" s="3">
        <v>41.1</v>
      </c>
      <c r="Z231" s="3">
        <v>99</v>
      </c>
      <c r="AA231" s="3" t="s">
        <v>50</v>
      </c>
      <c r="AB231" s="3" t="s">
        <v>51</v>
      </c>
      <c r="AC231" s="3" t="s">
        <v>52</v>
      </c>
      <c r="AD231" s="3" t="s">
        <v>53</v>
      </c>
      <c r="AE231" s="3" t="s">
        <v>54</v>
      </c>
      <c r="AF231" s="3" t="s">
        <v>55</v>
      </c>
      <c r="AG231" s="3" t="s">
        <v>399</v>
      </c>
    </row>
    <row r="232" spans="1:33" x14ac:dyDescent="0.2">
      <c r="A232" s="2" t="s">
        <v>895</v>
      </c>
      <c r="B232" s="2" t="s">
        <v>902</v>
      </c>
      <c r="C232" s="2" t="s">
        <v>903</v>
      </c>
      <c r="D232" s="2" t="s">
        <v>95</v>
      </c>
      <c r="E232" s="2" t="s">
        <v>96</v>
      </c>
      <c r="F232" s="2" t="s">
        <v>97</v>
      </c>
      <c r="G232" s="2" t="s">
        <v>98</v>
      </c>
      <c r="H232" s="2" t="s">
        <v>897</v>
      </c>
      <c r="I232" s="2">
        <v>25</v>
      </c>
      <c r="J232" s="2" t="s">
        <v>65</v>
      </c>
      <c r="K232" s="2" t="s">
        <v>66</v>
      </c>
      <c r="L232" s="2" t="s">
        <v>45</v>
      </c>
      <c r="M232" s="2" t="s">
        <v>80</v>
      </c>
      <c r="N232" s="2" t="s">
        <v>81</v>
      </c>
      <c r="O232" s="2" t="s">
        <v>157</v>
      </c>
      <c r="P232" s="2" t="s">
        <v>158</v>
      </c>
      <c r="Q232" s="2" t="s">
        <v>69</v>
      </c>
      <c r="R232" s="2" t="s">
        <v>904</v>
      </c>
      <c r="S232" s="2">
        <v>3</v>
      </c>
      <c r="T232" s="2">
        <v>118</v>
      </c>
      <c r="U232" s="2">
        <v>79</v>
      </c>
      <c r="V232" s="2">
        <v>58</v>
      </c>
      <c r="W232" s="2">
        <v>13</v>
      </c>
      <c r="X232" s="2">
        <v>36.9</v>
      </c>
      <c r="Y232" s="2">
        <v>44.5</v>
      </c>
      <c r="Z232" s="2">
        <v>97</v>
      </c>
      <c r="AA232" s="2" t="s">
        <v>50</v>
      </c>
      <c r="AB232" s="2" t="s">
        <v>51</v>
      </c>
      <c r="AC232" s="2" t="s">
        <v>52</v>
      </c>
      <c r="AD232" s="2" t="s">
        <v>53</v>
      </c>
      <c r="AE232" s="2" t="s">
        <v>54</v>
      </c>
      <c r="AF232" s="2" t="s">
        <v>55</v>
      </c>
      <c r="AG232" s="2" t="s">
        <v>403</v>
      </c>
    </row>
    <row r="233" spans="1:33" x14ac:dyDescent="0.2">
      <c r="A233" s="3" t="s">
        <v>895</v>
      </c>
      <c r="B233" s="3" t="s">
        <v>905</v>
      </c>
      <c r="C233" s="3" t="s">
        <v>555</v>
      </c>
      <c r="D233" s="3" t="s">
        <v>103</v>
      </c>
      <c r="E233" s="3" t="s">
        <v>61</v>
      </c>
      <c r="F233" s="3" t="s">
        <v>109</v>
      </c>
      <c r="G233" s="3" t="s">
        <v>39</v>
      </c>
      <c r="H233" s="3" t="s">
        <v>897</v>
      </c>
      <c r="I233" s="3">
        <v>25</v>
      </c>
      <c r="J233" s="3" t="s">
        <v>65</v>
      </c>
      <c r="K233" s="3" t="s">
        <v>42</v>
      </c>
      <c r="L233" s="3" t="s">
        <v>45</v>
      </c>
      <c r="M233" s="3" t="s">
        <v>80</v>
      </c>
      <c r="N233" s="3" t="s">
        <v>81</v>
      </c>
      <c r="O233" s="3" t="s">
        <v>157</v>
      </c>
      <c r="P233" s="3" t="s">
        <v>158</v>
      </c>
      <c r="Q233" s="3" t="s">
        <v>69</v>
      </c>
      <c r="R233" s="3" t="s">
        <v>556</v>
      </c>
      <c r="S233" s="3">
        <v>1</v>
      </c>
      <c r="T233" s="3">
        <v>163</v>
      </c>
      <c r="U233" s="3">
        <v>113</v>
      </c>
      <c r="V233" s="3">
        <v>84</v>
      </c>
      <c r="W233" s="3">
        <v>19</v>
      </c>
      <c r="X233" s="3">
        <v>37.9</v>
      </c>
      <c r="Y233" s="3">
        <v>18.3</v>
      </c>
      <c r="Z233" s="3">
        <v>89</v>
      </c>
      <c r="AA233" s="3" t="s">
        <v>50</v>
      </c>
      <c r="AB233" s="3" t="s">
        <v>51</v>
      </c>
      <c r="AC233" s="3" t="s">
        <v>52</v>
      </c>
      <c r="AD233" s="3" t="s">
        <v>53</v>
      </c>
      <c r="AE233" s="3" t="s">
        <v>54</v>
      </c>
      <c r="AF233" s="3" t="s">
        <v>55</v>
      </c>
      <c r="AG233" s="3" t="s">
        <v>408</v>
      </c>
    </row>
    <row r="234" spans="1:33" x14ac:dyDescent="0.2">
      <c r="A234" s="2" t="s">
        <v>906</v>
      </c>
      <c r="B234" s="2" t="s">
        <v>907</v>
      </c>
      <c r="C234" s="2" t="s">
        <v>908</v>
      </c>
      <c r="D234" s="2" t="s">
        <v>103</v>
      </c>
      <c r="E234" s="2" t="s">
        <v>61</v>
      </c>
      <c r="F234" s="2" t="s">
        <v>189</v>
      </c>
      <c r="G234" s="2" t="s">
        <v>138</v>
      </c>
      <c r="H234" s="2" t="s">
        <v>909</v>
      </c>
      <c r="I234" s="2">
        <v>51</v>
      </c>
      <c r="J234" s="2" t="s">
        <v>41</v>
      </c>
      <c r="K234" s="2" t="s">
        <v>66</v>
      </c>
      <c r="L234" s="2" t="s">
        <v>79</v>
      </c>
      <c r="M234" s="2" t="s">
        <v>44</v>
      </c>
      <c r="N234" s="2" t="s">
        <v>182</v>
      </c>
      <c r="O234" s="2" t="s">
        <v>195</v>
      </c>
      <c r="P234" s="2" t="s">
        <v>196</v>
      </c>
      <c r="Q234" s="2" t="s">
        <v>69</v>
      </c>
      <c r="R234" s="2" t="s">
        <v>910</v>
      </c>
      <c r="S234" s="2">
        <v>2</v>
      </c>
      <c r="T234" s="2">
        <v>115</v>
      </c>
      <c r="U234" s="2">
        <v>89</v>
      </c>
      <c r="V234" s="2">
        <v>64</v>
      </c>
      <c r="W234" s="2">
        <v>24</v>
      </c>
      <c r="X234" s="2">
        <v>39</v>
      </c>
      <c r="Y234" s="2">
        <v>22.9</v>
      </c>
      <c r="Z234" s="2">
        <v>97</v>
      </c>
      <c r="AA234" s="2" t="s">
        <v>50</v>
      </c>
      <c r="AB234" s="2" t="s">
        <v>51</v>
      </c>
      <c r="AC234" s="2" t="s">
        <v>52</v>
      </c>
      <c r="AD234" s="2" t="s">
        <v>53</v>
      </c>
      <c r="AE234" s="2" t="s">
        <v>54</v>
      </c>
      <c r="AF234" s="2" t="s">
        <v>55</v>
      </c>
      <c r="AG234" s="2" t="s">
        <v>394</v>
      </c>
    </row>
    <row r="235" spans="1:33" x14ac:dyDescent="0.2">
      <c r="A235" s="3" t="s">
        <v>906</v>
      </c>
      <c r="B235" s="3" t="s">
        <v>911</v>
      </c>
      <c r="C235" s="3" t="s">
        <v>912</v>
      </c>
      <c r="D235" s="3" t="s">
        <v>36</v>
      </c>
      <c r="E235" s="3" t="s">
        <v>89</v>
      </c>
      <c r="F235" s="3" t="s">
        <v>109</v>
      </c>
      <c r="G235" s="3" t="s">
        <v>98</v>
      </c>
      <c r="H235" s="3" t="s">
        <v>909</v>
      </c>
      <c r="I235" s="3">
        <v>51</v>
      </c>
      <c r="J235" s="3" t="s">
        <v>41</v>
      </c>
      <c r="K235" s="3" t="s">
        <v>90</v>
      </c>
      <c r="L235" s="3" t="s">
        <v>79</v>
      </c>
      <c r="M235" s="3" t="s">
        <v>44</v>
      </c>
      <c r="N235" s="3" t="s">
        <v>182</v>
      </c>
      <c r="O235" s="3" t="s">
        <v>195</v>
      </c>
      <c r="P235" s="3" t="s">
        <v>196</v>
      </c>
      <c r="Q235" s="3" t="s">
        <v>69</v>
      </c>
      <c r="R235" s="3" t="s">
        <v>117</v>
      </c>
      <c r="S235" s="3">
        <v>1</v>
      </c>
      <c r="T235" s="3">
        <v>127</v>
      </c>
      <c r="U235" s="3">
        <v>102</v>
      </c>
      <c r="V235" s="3">
        <v>59</v>
      </c>
      <c r="W235" s="3">
        <v>13</v>
      </c>
      <c r="X235" s="3">
        <v>39.1</v>
      </c>
      <c r="Y235" s="3">
        <v>31.5</v>
      </c>
      <c r="Z235" s="3">
        <v>87</v>
      </c>
      <c r="AA235" s="3" t="s">
        <v>50</v>
      </c>
      <c r="AB235" s="3" t="s">
        <v>51</v>
      </c>
      <c r="AC235" s="3" t="s">
        <v>52</v>
      </c>
      <c r="AD235" s="3" t="s">
        <v>53</v>
      </c>
      <c r="AE235" s="3" t="s">
        <v>54</v>
      </c>
      <c r="AF235" s="3" t="s">
        <v>55</v>
      </c>
      <c r="AG235" s="3" t="s">
        <v>399</v>
      </c>
    </row>
    <row r="236" spans="1:33" x14ac:dyDescent="0.2">
      <c r="A236" s="2" t="s">
        <v>906</v>
      </c>
      <c r="B236" s="2" t="s">
        <v>913</v>
      </c>
      <c r="C236" s="2" t="s">
        <v>914</v>
      </c>
      <c r="D236" s="2" t="s">
        <v>36</v>
      </c>
      <c r="E236" s="2" t="s">
        <v>96</v>
      </c>
      <c r="F236" s="2" t="s">
        <v>38</v>
      </c>
      <c r="G236" s="2" t="s">
        <v>98</v>
      </c>
      <c r="H236" s="2" t="s">
        <v>909</v>
      </c>
      <c r="I236" s="2">
        <v>51</v>
      </c>
      <c r="J236" s="2" t="s">
        <v>41</v>
      </c>
      <c r="K236" s="2" t="s">
        <v>110</v>
      </c>
      <c r="L236" s="2" t="s">
        <v>79</v>
      </c>
      <c r="M236" s="2" t="s">
        <v>44</v>
      </c>
      <c r="N236" s="2" t="s">
        <v>182</v>
      </c>
      <c r="O236" s="2" t="s">
        <v>195</v>
      </c>
      <c r="P236" s="2" t="s">
        <v>196</v>
      </c>
      <c r="Q236" s="2" t="s">
        <v>69</v>
      </c>
      <c r="R236" s="2" t="s">
        <v>915</v>
      </c>
      <c r="S236" s="2">
        <v>4</v>
      </c>
      <c r="T236" s="2">
        <v>139</v>
      </c>
      <c r="U236" s="2">
        <v>114</v>
      </c>
      <c r="V236" s="2">
        <v>119</v>
      </c>
      <c r="W236" s="2">
        <v>16</v>
      </c>
      <c r="X236" s="2">
        <v>36.700000000000003</v>
      </c>
      <c r="Y236" s="2">
        <v>33.9</v>
      </c>
      <c r="Z236" s="2">
        <v>88</v>
      </c>
      <c r="AA236" s="2" t="s">
        <v>50</v>
      </c>
      <c r="AB236" s="2" t="s">
        <v>51</v>
      </c>
      <c r="AC236" s="2" t="s">
        <v>52</v>
      </c>
      <c r="AD236" s="2" t="s">
        <v>53</v>
      </c>
      <c r="AE236" s="2" t="s">
        <v>54</v>
      </c>
      <c r="AF236" s="2" t="s">
        <v>55</v>
      </c>
      <c r="AG236" s="2" t="s">
        <v>403</v>
      </c>
    </row>
    <row r="237" spans="1:33" x14ac:dyDescent="0.2">
      <c r="A237" s="3" t="s">
        <v>906</v>
      </c>
      <c r="B237" s="3" t="s">
        <v>916</v>
      </c>
      <c r="C237" s="3" t="s">
        <v>917</v>
      </c>
      <c r="D237" s="3" t="s">
        <v>103</v>
      </c>
      <c r="E237" s="3" t="s">
        <v>167</v>
      </c>
      <c r="F237" s="3" t="s">
        <v>219</v>
      </c>
      <c r="G237" s="3" t="s">
        <v>76</v>
      </c>
      <c r="H237" s="3" t="s">
        <v>909</v>
      </c>
      <c r="I237" s="3">
        <v>51</v>
      </c>
      <c r="J237" s="3" t="s">
        <v>41</v>
      </c>
      <c r="K237" s="3" t="s">
        <v>42</v>
      </c>
      <c r="L237" s="3" t="s">
        <v>79</v>
      </c>
      <c r="M237" s="3" t="s">
        <v>44</v>
      </c>
      <c r="N237" s="3" t="s">
        <v>182</v>
      </c>
      <c r="O237" s="3" t="s">
        <v>195</v>
      </c>
      <c r="P237" s="3" t="s">
        <v>196</v>
      </c>
      <c r="Q237" s="3" t="s">
        <v>69</v>
      </c>
      <c r="R237" s="3" t="s">
        <v>918</v>
      </c>
      <c r="S237" s="3">
        <v>3</v>
      </c>
      <c r="T237" s="3">
        <v>142</v>
      </c>
      <c r="U237" s="3">
        <v>74</v>
      </c>
      <c r="V237" s="3">
        <v>51</v>
      </c>
      <c r="W237" s="3">
        <v>23</v>
      </c>
      <c r="X237" s="3">
        <v>37.200000000000003</v>
      </c>
      <c r="Y237" s="3">
        <v>20.399999999999999</v>
      </c>
      <c r="Z237" s="3">
        <v>92</v>
      </c>
      <c r="AA237" s="3" t="s">
        <v>50</v>
      </c>
      <c r="AB237" s="3" t="s">
        <v>51</v>
      </c>
      <c r="AC237" s="3" t="s">
        <v>52</v>
      </c>
      <c r="AD237" s="3" t="s">
        <v>53</v>
      </c>
      <c r="AE237" s="3" t="s">
        <v>54</v>
      </c>
      <c r="AF237" s="3" t="s">
        <v>55</v>
      </c>
      <c r="AG237" s="3" t="s">
        <v>408</v>
      </c>
    </row>
    <row r="238" spans="1:33" x14ac:dyDescent="0.2">
      <c r="A238" s="2" t="s">
        <v>919</v>
      </c>
      <c r="B238" s="2" t="s">
        <v>920</v>
      </c>
      <c r="C238" s="2" t="s">
        <v>921</v>
      </c>
      <c r="D238" s="2" t="s">
        <v>60</v>
      </c>
      <c r="E238" s="2" t="s">
        <v>61</v>
      </c>
      <c r="F238" s="2" t="s">
        <v>132</v>
      </c>
      <c r="G238" s="2" t="s">
        <v>98</v>
      </c>
      <c r="H238" s="2" t="s">
        <v>922</v>
      </c>
      <c r="I238" s="2">
        <v>81</v>
      </c>
      <c r="J238" s="2" t="s">
        <v>41</v>
      </c>
      <c r="K238" s="2" t="s">
        <v>140</v>
      </c>
      <c r="L238" s="2" t="s">
        <v>79</v>
      </c>
      <c r="M238" s="2" t="s">
        <v>125</v>
      </c>
      <c r="N238" s="2"/>
      <c r="O238" s="2" t="s">
        <v>126</v>
      </c>
      <c r="P238" s="2" t="s">
        <v>127</v>
      </c>
      <c r="Q238" s="2" t="s">
        <v>69</v>
      </c>
      <c r="R238" s="2" t="s">
        <v>923</v>
      </c>
      <c r="S238" s="2">
        <v>4</v>
      </c>
      <c r="T238" s="2">
        <v>146</v>
      </c>
      <c r="U238" s="2">
        <v>114</v>
      </c>
      <c r="V238" s="2">
        <v>101</v>
      </c>
      <c r="W238" s="2">
        <v>25</v>
      </c>
      <c r="X238" s="2">
        <v>38.299999999999997</v>
      </c>
      <c r="Y238" s="2">
        <v>40.4</v>
      </c>
      <c r="Z238" s="2">
        <v>94</v>
      </c>
      <c r="AA238" s="2" t="s">
        <v>50</v>
      </c>
      <c r="AB238" s="2" t="s">
        <v>51</v>
      </c>
      <c r="AC238" s="2" t="s">
        <v>52</v>
      </c>
      <c r="AD238" s="2" t="s">
        <v>53</v>
      </c>
      <c r="AE238" s="2" t="s">
        <v>54</v>
      </c>
      <c r="AF238" s="2" t="s">
        <v>55</v>
      </c>
      <c r="AG238" s="2" t="s">
        <v>85</v>
      </c>
    </row>
    <row r="239" spans="1:33" x14ac:dyDescent="0.2">
      <c r="A239" s="3" t="s">
        <v>919</v>
      </c>
      <c r="B239" s="3" t="s">
        <v>924</v>
      </c>
      <c r="C239" s="3" t="s">
        <v>925</v>
      </c>
      <c r="D239" s="3" t="s">
        <v>36</v>
      </c>
      <c r="E239" s="3" t="s">
        <v>96</v>
      </c>
      <c r="F239" s="3" t="s">
        <v>122</v>
      </c>
      <c r="G239" s="3" t="s">
        <v>98</v>
      </c>
      <c r="H239" s="3" t="s">
        <v>922</v>
      </c>
      <c r="I239" s="3">
        <v>81</v>
      </c>
      <c r="J239" s="3" t="s">
        <v>41</v>
      </c>
      <c r="K239" s="3" t="s">
        <v>116</v>
      </c>
      <c r="L239" s="3" t="s">
        <v>79</v>
      </c>
      <c r="M239" s="3" t="s">
        <v>125</v>
      </c>
      <c r="N239" s="3"/>
      <c r="O239" s="3" t="s">
        <v>126</v>
      </c>
      <c r="P239" s="3" t="s">
        <v>127</v>
      </c>
      <c r="Q239" s="3" t="s">
        <v>69</v>
      </c>
      <c r="R239" s="3" t="s">
        <v>926</v>
      </c>
      <c r="S239" s="3">
        <v>2</v>
      </c>
      <c r="T239" s="3">
        <v>142</v>
      </c>
      <c r="U239" s="3">
        <v>98</v>
      </c>
      <c r="V239" s="3">
        <v>109</v>
      </c>
      <c r="W239" s="3">
        <v>17</v>
      </c>
      <c r="X239" s="3">
        <v>37.799999999999997</v>
      </c>
      <c r="Y239" s="3">
        <v>33.700000000000003</v>
      </c>
      <c r="Z239" s="3">
        <v>92</v>
      </c>
      <c r="AA239" s="3" t="s">
        <v>50</v>
      </c>
      <c r="AB239" s="3" t="s">
        <v>51</v>
      </c>
      <c r="AC239" s="3" t="s">
        <v>52</v>
      </c>
      <c r="AD239" s="3" t="s">
        <v>53</v>
      </c>
      <c r="AE239" s="3" t="s">
        <v>54</v>
      </c>
      <c r="AF239" s="3" t="s">
        <v>55</v>
      </c>
      <c r="AG239" s="3" t="s">
        <v>92</v>
      </c>
    </row>
    <row r="240" spans="1:33" x14ac:dyDescent="0.2">
      <c r="A240" s="2" t="s">
        <v>919</v>
      </c>
      <c r="B240" s="2" t="s">
        <v>927</v>
      </c>
      <c r="C240" s="2" t="s">
        <v>928</v>
      </c>
      <c r="D240" s="2" t="s">
        <v>88</v>
      </c>
      <c r="E240" s="2" t="s">
        <v>61</v>
      </c>
      <c r="F240" s="2" t="s">
        <v>62</v>
      </c>
      <c r="G240" s="2" t="s">
        <v>76</v>
      </c>
      <c r="H240" s="2" t="s">
        <v>922</v>
      </c>
      <c r="I240" s="2">
        <v>81</v>
      </c>
      <c r="J240" s="2" t="s">
        <v>41</v>
      </c>
      <c r="K240" s="2" t="s">
        <v>42</v>
      </c>
      <c r="L240" s="2" t="s">
        <v>79</v>
      </c>
      <c r="M240" s="2" t="s">
        <v>125</v>
      </c>
      <c r="N240" s="2"/>
      <c r="O240" s="2" t="s">
        <v>126</v>
      </c>
      <c r="P240" s="2" t="s">
        <v>127</v>
      </c>
      <c r="Q240" s="2" t="s">
        <v>69</v>
      </c>
      <c r="R240" s="2" t="s">
        <v>455</v>
      </c>
      <c r="S240" s="2">
        <v>2</v>
      </c>
      <c r="T240" s="2">
        <v>118</v>
      </c>
      <c r="U240" s="2">
        <v>77</v>
      </c>
      <c r="V240" s="2">
        <v>92</v>
      </c>
      <c r="W240" s="2">
        <v>25</v>
      </c>
      <c r="X240" s="2">
        <v>37.1</v>
      </c>
      <c r="Y240" s="2">
        <v>29.2</v>
      </c>
      <c r="Z240" s="2">
        <v>92</v>
      </c>
      <c r="AA240" s="2" t="s">
        <v>50</v>
      </c>
      <c r="AB240" s="2" t="s">
        <v>51</v>
      </c>
      <c r="AC240" s="2" t="s">
        <v>52</v>
      </c>
      <c r="AD240" s="2" t="s">
        <v>53</v>
      </c>
      <c r="AE240" s="2" t="s">
        <v>54</v>
      </c>
      <c r="AF240" s="2" t="s">
        <v>55</v>
      </c>
      <c r="AG240" s="2" t="s">
        <v>100</v>
      </c>
    </row>
    <row r="241" spans="1:33" x14ac:dyDescent="0.2">
      <c r="A241" s="3" t="s">
        <v>919</v>
      </c>
      <c r="B241" s="3" t="s">
        <v>929</v>
      </c>
      <c r="C241" s="3" t="s">
        <v>930</v>
      </c>
      <c r="D241" s="3" t="s">
        <v>88</v>
      </c>
      <c r="E241" s="3" t="s">
        <v>89</v>
      </c>
      <c r="F241" s="3" t="s">
        <v>132</v>
      </c>
      <c r="G241" s="3" t="s">
        <v>63</v>
      </c>
      <c r="H241" s="3" t="s">
        <v>922</v>
      </c>
      <c r="I241" s="3">
        <v>81</v>
      </c>
      <c r="J241" s="3" t="s">
        <v>41</v>
      </c>
      <c r="K241" s="3" t="s">
        <v>110</v>
      </c>
      <c r="L241" s="3" t="s">
        <v>79</v>
      </c>
      <c r="M241" s="3" t="s">
        <v>125</v>
      </c>
      <c r="N241" s="3"/>
      <c r="O241" s="3" t="s">
        <v>126</v>
      </c>
      <c r="P241" s="3" t="s">
        <v>127</v>
      </c>
      <c r="Q241" s="3" t="s">
        <v>69</v>
      </c>
      <c r="R241" s="3" t="s">
        <v>931</v>
      </c>
      <c r="S241" s="3">
        <v>2</v>
      </c>
      <c r="T241" s="3">
        <v>141</v>
      </c>
      <c r="U241" s="3">
        <v>101</v>
      </c>
      <c r="V241" s="3">
        <v>84</v>
      </c>
      <c r="W241" s="3">
        <v>13</v>
      </c>
      <c r="X241" s="3">
        <v>38</v>
      </c>
      <c r="Y241" s="3">
        <v>30.7</v>
      </c>
      <c r="Z241" s="3">
        <v>99</v>
      </c>
      <c r="AA241" s="3" t="s">
        <v>50</v>
      </c>
      <c r="AB241" s="3" t="s">
        <v>51</v>
      </c>
      <c r="AC241" s="3" t="s">
        <v>52</v>
      </c>
      <c r="AD241" s="3" t="s">
        <v>53</v>
      </c>
      <c r="AE241" s="3" t="s">
        <v>54</v>
      </c>
      <c r="AF241" s="3" t="s">
        <v>55</v>
      </c>
      <c r="AG241" s="3" t="s">
        <v>106</v>
      </c>
    </row>
    <row r="242" spans="1:33" x14ac:dyDescent="0.2">
      <c r="A242" s="2" t="s">
        <v>919</v>
      </c>
      <c r="B242" s="2" t="s">
        <v>932</v>
      </c>
      <c r="C242" s="2" t="s">
        <v>933</v>
      </c>
      <c r="D242" s="2" t="s">
        <v>95</v>
      </c>
      <c r="E242" s="2" t="s">
        <v>61</v>
      </c>
      <c r="F242" s="2" t="s">
        <v>38</v>
      </c>
      <c r="G242" s="2" t="s">
        <v>123</v>
      </c>
      <c r="H242" s="2" t="s">
        <v>922</v>
      </c>
      <c r="I242" s="2">
        <v>81</v>
      </c>
      <c r="J242" s="2" t="s">
        <v>41</v>
      </c>
      <c r="K242" s="2" t="s">
        <v>140</v>
      </c>
      <c r="L242" s="2" t="s">
        <v>79</v>
      </c>
      <c r="M242" s="2" t="s">
        <v>125</v>
      </c>
      <c r="N242" s="2"/>
      <c r="O242" s="2" t="s">
        <v>126</v>
      </c>
      <c r="P242" s="2" t="s">
        <v>127</v>
      </c>
      <c r="Q242" s="2" t="s">
        <v>69</v>
      </c>
      <c r="R242" s="2" t="s">
        <v>934</v>
      </c>
      <c r="S242" s="2">
        <v>3</v>
      </c>
      <c r="T242" s="2">
        <v>126</v>
      </c>
      <c r="U242" s="2">
        <v>74</v>
      </c>
      <c r="V242" s="2">
        <v>99</v>
      </c>
      <c r="W242" s="2">
        <v>23</v>
      </c>
      <c r="X242" s="2">
        <v>37.9</v>
      </c>
      <c r="Y242" s="2">
        <v>28.8</v>
      </c>
      <c r="Z242" s="2">
        <v>99</v>
      </c>
      <c r="AA242" s="2" t="s">
        <v>50</v>
      </c>
      <c r="AB242" s="2" t="s">
        <v>51</v>
      </c>
      <c r="AC242" s="2" t="s">
        <v>52</v>
      </c>
      <c r="AD242" s="2" t="s">
        <v>53</v>
      </c>
      <c r="AE242" s="2" t="s">
        <v>54</v>
      </c>
      <c r="AF242" s="2" t="s">
        <v>55</v>
      </c>
      <c r="AG242" s="2" t="s">
        <v>112</v>
      </c>
    </row>
    <row r="243" spans="1:33" x14ac:dyDescent="0.2">
      <c r="A243" s="3" t="s">
        <v>919</v>
      </c>
      <c r="B243" s="3" t="s">
        <v>935</v>
      </c>
      <c r="C243" s="3" t="s">
        <v>936</v>
      </c>
      <c r="D243" s="3" t="s">
        <v>88</v>
      </c>
      <c r="E243" s="3" t="s">
        <v>37</v>
      </c>
      <c r="F243" s="3" t="s">
        <v>122</v>
      </c>
      <c r="G243" s="3" t="s">
        <v>104</v>
      </c>
      <c r="H243" s="3" t="s">
        <v>922</v>
      </c>
      <c r="I243" s="3">
        <v>81</v>
      </c>
      <c r="J243" s="3" t="s">
        <v>41</v>
      </c>
      <c r="K243" s="3" t="s">
        <v>90</v>
      </c>
      <c r="L243" s="3" t="s">
        <v>79</v>
      </c>
      <c r="M243" s="3" t="s">
        <v>125</v>
      </c>
      <c r="N243" s="3"/>
      <c r="O243" s="3" t="s">
        <v>126</v>
      </c>
      <c r="P243" s="3" t="s">
        <v>127</v>
      </c>
      <c r="Q243" s="3" t="s">
        <v>69</v>
      </c>
      <c r="R243" s="3" t="s">
        <v>937</v>
      </c>
      <c r="S243" s="3">
        <v>4</v>
      </c>
      <c r="T243" s="3">
        <v>116</v>
      </c>
      <c r="U243" s="3">
        <v>70</v>
      </c>
      <c r="V243" s="3">
        <v>106</v>
      </c>
      <c r="W243" s="3">
        <v>24</v>
      </c>
      <c r="X243" s="3">
        <v>36.700000000000003</v>
      </c>
      <c r="Y243" s="3">
        <v>28.8</v>
      </c>
      <c r="Z243" s="3">
        <v>88</v>
      </c>
      <c r="AA243" s="3" t="s">
        <v>50</v>
      </c>
      <c r="AB243" s="3" t="s">
        <v>51</v>
      </c>
      <c r="AC243" s="3" t="s">
        <v>52</v>
      </c>
      <c r="AD243" s="3" t="s">
        <v>53</v>
      </c>
      <c r="AE243" s="3" t="s">
        <v>54</v>
      </c>
      <c r="AF243" s="3" t="s">
        <v>55</v>
      </c>
      <c r="AG243" s="3" t="s">
        <v>118</v>
      </c>
    </row>
    <row r="244" spans="1:33" x14ac:dyDescent="0.2">
      <c r="A244" s="2" t="s">
        <v>938</v>
      </c>
      <c r="B244" s="2" t="s">
        <v>939</v>
      </c>
      <c r="C244" s="2" t="s">
        <v>940</v>
      </c>
      <c r="D244" s="2" t="s">
        <v>88</v>
      </c>
      <c r="E244" s="2" t="s">
        <v>61</v>
      </c>
      <c r="F244" s="2" t="s">
        <v>97</v>
      </c>
      <c r="G244" s="2" t="s">
        <v>98</v>
      </c>
      <c r="H244" s="2" t="s">
        <v>941</v>
      </c>
      <c r="I244" s="2">
        <v>28</v>
      </c>
      <c r="J244" s="2" t="s">
        <v>41</v>
      </c>
      <c r="K244" s="2" t="s">
        <v>116</v>
      </c>
      <c r="L244" s="2" t="s">
        <v>43</v>
      </c>
      <c r="M244" s="2" t="s">
        <v>125</v>
      </c>
      <c r="N244" s="2"/>
      <c r="O244" s="2" t="s">
        <v>183</v>
      </c>
      <c r="P244" s="2" t="s">
        <v>184</v>
      </c>
      <c r="Q244" s="2" t="s">
        <v>48</v>
      </c>
      <c r="R244" s="2" t="s">
        <v>942</v>
      </c>
      <c r="S244" s="2">
        <v>3</v>
      </c>
      <c r="T244" s="2">
        <v>142</v>
      </c>
      <c r="U244" s="2">
        <v>65</v>
      </c>
      <c r="V244" s="2">
        <v>53</v>
      </c>
      <c r="W244" s="2">
        <v>18</v>
      </c>
      <c r="X244" s="2">
        <v>38.9</v>
      </c>
      <c r="Y244" s="2">
        <v>42.1</v>
      </c>
      <c r="Z244" s="2">
        <v>93</v>
      </c>
      <c r="AA244" s="2" t="s">
        <v>50</v>
      </c>
      <c r="AB244" s="2" t="s">
        <v>51</v>
      </c>
      <c r="AC244" s="2" t="s">
        <v>52</v>
      </c>
      <c r="AD244" s="2" t="s">
        <v>53</v>
      </c>
      <c r="AE244" s="2" t="s">
        <v>54</v>
      </c>
      <c r="AF244" s="2" t="s">
        <v>55</v>
      </c>
      <c r="AG244" s="2" t="s">
        <v>56</v>
      </c>
    </row>
    <row r="245" spans="1:33" x14ac:dyDescent="0.2">
      <c r="A245" s="3" t="s">
        <v>943</v>
      </c>
      <c r="B245" s="3" t="s">
        <v>944</v>
      </c>
      <c r="C245" s="3" t="s">
        <v>466</v>
      </c>
      <c r="D245" s="3" t="s">
        <v>95</v>
      </c>
      <c r="E245" s="3" t="s">
        <v>167</v>
      </c>
      <c r="F245" s="3" t="s">
        <v>75</v>
      </c>
      <c r="G245" s="3" t="s">
        <v>39</v>
      </c>
      <c r="H245" s="3" t="s">
        <v>945</v>
      </c>
      <c r="I245" s="3">
        <v>85</v>
      </c>
      <c r="J245" s="3" t="s">
        <v>65</v>
      </c>
      <c r="K245" s="3" t="s">
        <v>66</v>
      </c>
      <c r="L245" s="3" t="s">
        <v>141</v>
      </c>
      <c r="M245" s="3" t="s">
        <v>80</v>
      </c>
      <c r="N245" s="3" t="s">
        <v>45</v>
      </c>
      <c r="O245" s="3" t="s">
        <v>183</v>
      </c>
      <c r="P245" s="3" t="s">
        <v>184</v>
      </c>
      <c r="Q245" s="3" t="s">
        <v>48</v>
      </c>
      <c r="R245" s="3" t="s">
        <v>117</v>
      </c>
      <c r="S245" s="3">
        <v>1</v>
      </c>
      <c r="T245" s="3">
        <v>132</v>
      </c>
      <c r="U245" s="3">
        <v>64</v>
      </c>
      <c r="V245" s="3">
        <v>51</v>
      </c>
      <c r="W245" s="3">
        <v>20</v>
      </c>
      <c r="X245" s="3">
        <v>38.4</v>
      </c>
      <c r="Y245" s="3">
        <v>21.4</v>
      </c>
      <c r="Z245" s="3">
        <v>91</v>
      </c>
      <c r="AA245" s="3" t="s">
        <v>50</v>
      </c>
      <c r="AB245" s="3" t="s">
        <v>51</v>
      </c>
      <c r="AC245" s="3" t="s">
        <v>52</v>
      </c>
      <c r="AD245" s="3" t="s">
        <v>53</v>
      </c>
      <c r="AE245" s="3" t="s">
        <v>54</v>
      </c>
      <c r="AF245" s="3" t="s">
        <v>55</v>
      </c>
      <c r="AG245" s="3" t="s">
        <v>186</v>
      </c>
    </row>
    <row r="246" spans="1:33" x14ac:dyDescent="0.2">
      <c r="A246" s="2" t="s">
        <v>943</v>
      </c>
      <c r="B246" s="2" t="s">
        <v>946</v>
      </c>
      <c r="C246" s="2" t="s">
        <v>947</v>
      </c>
      <c r="D246" s="2" t="s">
        <v>95</v>
      </c>
      <c r="E246" s="2" t="s">
        <v>61</v>
      </c>
      <c r="F246" s="2" t="s">
        <v>148</v>
      </c>
      <c r="G246" s="2" t="s">
        <v>104</v>
      </c>
      <c r="H246" s="2" t="s">
        <v>945</v>
      </c>
      <c r="I246" s="2">
        <v>85</v>
      </c>
      <c r="J246" s="2" t="s">
        <v>65</v>
      </c>
      <c r="K246" s="2" t="s">
        <v>42</v>
      </c>
      <c r="L246" s="2" t="s">
        <v>141</v>
      </c>
      <c r="M246" s="2" t="s">
        <v>80</v>
      </c>
      <c r="N246" s="2" t="s">
        <v>45</v>
      </c>
      <c r="O246" s="2" t="s">
        <v>183</v>
      </c>
      <c r="P246" s="2" t="s">
        <v>184</v>
      </c>
      <c r="Q246" s="2" t="s">
        <v>48</v>
      </c>
      <c r="R246" s="2" t="s">
        <v>948</v>
      </c>
      <c r="S246" s="2">
        <v>4</v>
      </c>
      <c r="T246" s="2">
        <v>149</v>
      </c>
      <c r="U246" s="2">
        <v>103</v>
      </c>
      <c r="V246" s="2">
        <v>91</v>
      </c>
      <c r="W246" s="2">
        <v>15</v>
      </c>
      <c r="X246" s="2">
        <v>38.799999999999997</v>
      </c>
      <c r="Y246" s="2">
        <v>30</v>
      </c>
      <c r="Z246" s="2">
        <v>90</v>
      </c>
      <c r="AA246" s="2" t="s">
        <v>50</v>
      </c>
      <c r="AB246" s="2" t="s">
        <v>51</v>
      </c>
      <c r="AC246" s="2" t="s">
        <v>52</v>
      </c>
      <c r="AD246" s="2" t="s">
        <v>53</v>
      </c>
      <c r="AE246" s="2" t="s">
        <v>54</v>
      </c>
      <c r="AF246" s="2" t="s">
        <v>55</v>
      </c>
      <c r="AG246" s="2" t="s">
        <v>191</v>
      </c>
    </row>
    <row r="247" spans="1:33" x14ac:dyDescent="0.2">
      <c r="A247" s="3" t="s">
        <v>949</v>
      </c>
      <c r="B247" s="3" t="s">
        <v>950</v>
      </c>
      <c r="C247" s="3" t="s">
        <v>951</v>
      </c>
      <c r="D247" s="3" t="s">
        <v>36</v>
      </c>
      <c r="E247" s="3" t="s">
        <v>61</v>
      </c>
      <c r="F247" s="3" t="s">
        <v>219</v>
      </c>
      <c r="G247" s="3" t="s">
        <v>123</v>
      </c>
      <c r="H247" s="3" t="s">
        <v>952</v>
      </c>
      <c r="I247" s="3">
        <v>70</v>
      </c>
      <c r="J247" s="3" t="s">
        <v>65</v>
      </c>
      <c r="K247" s="3" t="s">
        <v>140</v>
      </c>
      <c r="L247" s="3" t="s">
        <v>43</v>
      </c>
      <c r="M247" s="3" t="s">
        <v>125</v>
      </c>
      <c r="N247" s="3" t="s">
        <v>45</v>
      </c>
      <c r="O247" s="3" t="s">
        <v>195</v>
      </c>
      <c r="P247" s="3" t="s">
        <v>196</v>
      </c>
      <c r="Q247" s="3" t="s">
        <v>69</v>
      </c>
      <c r="R247" s="3" t="s">
        <v>243</v>
      </c>
      <c r="S247" s="3">
        <v>1</v>
      </c>
      <c r="T247" s="3">
        <v>136</v>
      </c>
      <c r="U247" s="3">
        <v>97</v>
      </c>
      <c r="V247" s="3">
        <v>87</v>
      </c>
      <c r="W247" s="3">
        <v>17</v>
      </c>
      <c r="X247" s="3">
        <v>36.5</v>
      </c>
      <c r="Y247" s="3">
        <v>45.1</v>
      </c>
      <c r="Z247" s="3">
        <v>87</v>
      </c>
      <c r="AA247" s="3" t="s">
        <v>50</v>
      </c>
      <c r="AB247" s="3" t="s">
        <v>51</v>
      </c>
      <c r="AC247" s="3" t="s">
        <v>52</v>
      </c>
      <c r="AD247" s="3" t="s">
        <v>53</v>
      </c>
      <c r="AE247" s="3" t="s">
        <v>54</v>
      </c>
      <c r="AF247" s="3" t="s">
        <v>55</v>
      </c>
      <c r="AG247" s="3" t="s">
        <v>129</v>
      </c>
    </row>
    <row r="248" spans="1:33" x14ac:dyDescent="0.2">
      <c r="A248" s="2" t="s">
        <v>949</v>
      </c>
      <c r="B248" s="2" t="s">
        <v>953</v>
      </c>
      <c r="C248" s="2" t="s">
        <v>954</v>
      </c>
      <c r="D248" s="2" t="s">
        <v>60</v>
      </c>
      <c r="E248" s="2" t="s">
        <v>61</v>
      </c>
      <c r="F248" s="2" t="s">
        <v>75</v>
      </c>
      <c r="G248" s="2" t="s">
        <v>104</v>
      </c>
      <c r="H248" s="2" t="s">
        <v>952</v>
      </c>
      <c r="I248" s="2">
        <v>70</v>
      </c>
      <c r="J248" s="2" t="s">
        <v>65</v>
      </c>
      <c r="K248" s="2" t="s">
        <v>66</v>
      </c>
      <c r="L248" s="2" t="s">
        <v>43</v>
      </c>
      <c r="M248" s="2" t="s">
        <v>125</v>
      </c>
      <c r="N248" s="2" t="s">
        <v>45</v>
      </c>
      <c r="O248" s="2" t="s">
        <v>195</v>
      </c>
      <c r="P248" s="2" t="s">
        <v>196</v>
      </c>
      <c r="Q248" s="2" t="s">
        <v>69</v>
      </c>
      <c r="R248" s="2" t="s">
        <v>460</v>
      </c>
      <c r="S248" s="2">
        <v>1</v>
      </c>
      <c r="T248" s="2">
        <v>109</v>
      </c>
      <c r="U248" s="2">
        <v>85</v>
      </c>
      <c r="V248" s="2">
        <v>76</v>
      </c>
      <c r="W248" s="2">
        <v>17</v>
      </c>
      <c r="X248" s="2">
        <v>38.6</v>
      </c>
      <c r="Y248" s="2">
        <v>45.9</v>
      </c>
      <c r="Z248" s="2">
        <v>93</v>
      </c>
      <c r="AA248" s="2" t="s">
        <v>50</v>
      </c>
      <c r="AB248" s="2" t="s">
        <v>51</v>
      </c>
      <c r="AC248" s="2" t="s">
        <v>52</v>
      </c>
      <c r="AD248" s="2" t="s">
        <v>53</v>
      </c>
      <c r="AE248" s="2" t="s">
        <v>54</v>
      </c>
      <c r="AF248" s="2" t="s">
        <v>55</v>
      </c>
      <c r="AG248" s="2" t="s">
        <v>134</v>
      </c>
    </row>
    <row r="249" spans="1:33" x14ac:dyDescent="0.2">
      <c r="A249" s="3" t="s">
        <v>955</v>
      </c>
      <c r="B249" s="3" t="s">
        <v>956</v>
      </c>
      <c r="C249" s="4" t="s">
        <v>582</v>
      </c>
      <c r="D249" s="3" t="s">
        <v>103</v>
      </c>
      <c r="E249" s="3" t="s">
        <v>96</v>
      </c>
      <c r="F249" s="3" t="s">
        <v>132</v>
      </c>
      <c r="G249" s="3" t="s">
        <v>104</v>
      </c>
      <c r="H249" s="3" t="s">
        <v>957</v>
      </c>
      <c r="I249" s="4">
        <v>27</v>
      </c>
      <c r="J249" s="3" t="s">
        <v>65</v>
      </c>
      <c r="K249" s="3" t="s">
        <v>42</v>
      </c>
      <c r="L249" s="3" t="s">
        <v>79</v>
      </c>
      <c r="M249" s="3"/>
      <c r="N249" s="3" t="s">
        <v>45</v>
      </c>
      <c r="O249" s="3" t="s">
        <v>497</v>
      </c>
      <c r="P249" s="3" t="s">
        <v>498</v>
      </c>
      <c r="Q249" s="3" t="s">
        <v>69</v>
      </c>
      <c r="R249" s="3" t="s">
        <v>885</v>
      </c>
      <c r="S249" s="3">
        <v>1</v>
      </c>
      <c r="T249" s="4"/>
      <c r="U249" s="4">
        <v>78</v>
      </c>
      <c r="V249" s="3">
        <v>123</v>
      </c>
      <c r="W249" s="3">
        <v>16</v>
      </c>
      <c r="X249" s="3">
        <v>39.200000000000003</v>
      </c>
      <c r="Y249" s="4">
        <v>-9</v>
      </c>
      <c r="Z249" s="3">
        <v>97</v>
      </c>
      <c r="AA249" s="3" t="s">
        <v>50</v>
      </c>
      <c r="AB249" s="3" t="s">
        <v>51</v>
      </c>
      <c r="AC249" s="3" t="s">
        <v>52</v>
      </c>
      <c r="AD249" s="3" t="s">
        <v>53</v>
      </c>
      <c r="AE249" s="3" t="s">
        <v>54</v>
      </c>
      <c r="AF249" s="3" t="s">
        <v>422</v>
      </c>
      <c r="AG249" s="3" t="s">
        <v>129</v>
      </c>
    </row>
    <row r="250" spans="1:33" x14ac:dyDescent="0.2">
      <c r="A250" s="2" t="s">
        <v>955</v>
      </c>
      <c r="B250" s="2" t="s">
        <v>958</v>
      </c>
      <c r="C250" s="4" t="s">
        <v>959</v>
      </c>
      <c r="D250" s="2" t="s">
        <v>88</v>
      </c>
      <c r="E250" s="2" t="s">
        <v>37</v>
      </c>
      <c r="F250" s="2" t="s">
        <v>132</v>
      </c>
      <c r="G250" s="2" t="s">
        <v>138</v>
      </c>
      <c r="H250" s="2" t="s">
        <v>957</v>
      </c>
      <c r="I250" s="4">
        <v>27</v>
      </c>
      <c r="J250" s="2" t="s">
        <v>65</v>
      </c>
      <c r="K250" s="2" t="s">
        <v>110</v>
      </c>
      <c r="L250" s="2" t="s">
        <v>79</v>
      </c>
      <c r="M250" s="2"/>
      <c r="N250" s="2" t="s">
        <v>45</v>
      </c>
      <c r="O250" s="2" t="s">
        <v>497</v>
      </c>
      <c r="P250" s="2" t="s">
        <v>498</v>
      </c>
      <c r="Q250" s="2" t="s">
        <v>69</v>
      </c>
      <c r="R250" s="2" t="s">
        <v>960</v>
      </c>
      <c r="S250" s="2">
        <v>3</v>
      </c>
      <c r="T250" s="4">
        <v>152</v>
      </c>
      <c r="U250" s="4">
        <v>67</v>
      </c>
      <c r="V250" s="2">
        <v>117</v>
      </c>
      <c r="W250" s="2">
        <v>26</v>
      </c>
      <c r="X250" s="2">
        <v>36.700000000000003</v>
      </c>
      <c r="Y250" s="4">
        <v>-9</v>
      </c>
      <c r="Z250" s="2">
        <v>95</v>
      </c>
      <c r="AA250" s="2" t="s">
        <v>50</v>
      </c>
      <c r="AB250" s="2" t="s">
        <v>51</v>
      </c>
      <c r="AC250" s="2" t="s">
        <v>52</v>
      </c>
      <c r="AD250" s="2" t="s">
        <v>53</v>
      </c>
      <c r="AE250" s="2" t="s">
        <v>54</v>
      </c>
      <c r="AF250" s="2" t="s">
        <v>422</v>
      </c>
      <c r="AG250" s="2" t="s">
        <v>134</v>
      </c>
    </row>
    <row r="251" spans="1:33" x14ac:dyDescent="0.2">
      <c r="A251" s="3" t="s">
        <v>961</v>
      </c>
      <c r="B251" s="3" t="s">
        <v>962</v>
      </c>
      <c r="C251" s="3" t="s">
        <v>963</v>
      </c>
      <c r="D251" s="3" t="s">
        <v>103</v>
      </c>
      <c r="E251" s="3" t="s">
        <v>167</v>
      </c>
      <c r="F251" s="3" t="s">
        <v>75</v>
      </c>
      <c r="G251" s="3" t="s">
        <v>98</v>
      </c>
      <c r="H251" s="3" t="s">
        <v>964</v>
      </c>
      <c r="I251" s="3">
        <v>49</v>
      </c>
      <c r="J251" s="3" t="s">
        <v>41</v>
      </c>
      <c r="K251" s="3" t="s">
        <v>116</v>
      </c>
      <c r="L251" s="3" t="s">
        <v>79</v>
      </c>
      <c r="M251" s="3" t="s">
        <v>44</v>
      </c>
      <c r="N251" s="3" t="s">
        <v>45</v>
      </c>
      <c r="O251" s="3" t="s">
        <v>195</v>
      </c>
      <c r="P251" s="3" t="s">
        <v>196</v>
      </c>
      <c r="Q251" s="3" t="s">
        <v>69</v>
      </c>
      <c r="R251" s="3" t="s">
        <v>965</v>
      </c>
      <c r="S251" s="3">
        <v>4</v>
      </c>
      <c r="T251" s="3">
        <v>158</v>
      </c>
      <c r="U251" s="3">
        <v>102</v>
      </c>
      <c r="V251" s="3">
        <v>59</v>
      </c>
      <c r="W251" s="3">
        <v>16</v>
      </c>
      <c r="X251" s="3">
        <v>39.1</v>
      </c>
      <c r="Y251" s="3">
        <v>40</v>
      </c>
      <c r="Z251" s="3">
        <v>97</v>
      </c>
      <c r="AA251" s="3" t="s">
        <v>50</v>
      </c>
      <c r="AB251" s="3" t="s">
        <v>51</v>
      </c>
      <c r="AC251" s="3" t="s">
        <v>52</v>
      </c>
      <c r="AD251" s="3" t="s">
        <v>53</v>
      </c>
      <c r="AE251" s="3" t="s">
        <v>54</v>
      </c>
      <c r="AF251" s="3" t="s">
        <v>55</v>
      </c>
      <c r="AG251" s="3" t="s">
        <v>85</v>
      </c>
    </row>
    <row r="252" spans="1:33" x14ac:dyDescent="0.2">
      <c r="A252" s="2" t="s">
        <v>961</v>
      </c>
      <c r="B252" s="2" t="s">
        <v>966</v>
      </c>
      <c r="C252" s="2" t="s">
        <v>967</v>
      </c>
      <c r="D252" s="2" t="s">
        <v>103</v>
      </c>
      <c r="E252" s="2" t="s">
        <v>96</v>
      </c>
      <c r="F252" s="2" t="s">
        <v>62</v>
      </c>
      <c r="G252" s="2" t="s">
        <v>104</v>
      </c>
      <c r="H252" s="2" t="s">
        <v>964</v>
      </c>
      <c r="I252" s="2">
        <v>49</v>
      </c>
      <c r="J252" s="2" t="s">
        <v>41</v>
      </c>
      <c r="K252" s="2" t="s">
        <v>90</v>
      </c>
      <c r="L252" s="2" t="s">
        <v>79</v>
      </c>
      <c r="M252" s="2" t="s">
        <v>44</v>
      </c>
      <c r="N252" s="2" t="s">
        <v>45</v>
      </c>
      <c r="O252" s="2" t="s">
        <v>195</v>
      </c>
      <c r="P252" s="2" t="s">
        <v>196</v>
      </c>
      <c r="Q252" s="2" t="s">
        <v>69</v>
      </c>
      <c r="R252" s="2" t="s">
        <v>968</v>
      </c>
      <c r="S252" s="2">
        <v>2</v>
      </c>
      <c r="T252" s="2">
        <v>145</v>
      </c>
      <c r="U252" s="2">
        <v>88</v>
      </c>
      <c r="V252" s="2">
        <v>87</v>
      </c>
      <c r="W252" s="2">
        <v>21</v>
      </c>
      <c r="X252" s="2">
        <v>37.700000000000003</v>
      </c>
      <c r="Y252" s="2">
        <v>26.7</v>
      </c>
      <c r="Z252" s="2">
        <v>93</v>
      </c>
      <c r="AA252" s="2" t="s">
        <v>50</v>
      </c>
      <c r="AB252" s="2" t="s">
        <v>51</v>
      </c>
      <c r="AC252" s="2" t="s">
        <v>52</v>
      </c>
      <c r="AD252" s="2" t="s">
        <v>53</v>
      </c>
      <c r="AE252" s="2" t="s">
        <v>54</v>
      </c>
      <c r="AF252" s="2" t="s">
        <v>55</v>
      </c>
      <c r="AG252" s="2" t="s">
        <v>92</v>
      </c>
    </row>
    <row r="253" spans="1:33" x14ac:dyDescent="0.2">
      <c r="A253" s="3" t="s">
        <v>961</v>
      </c>
      <c r="B253" s="3" t="s">
        <v>969</v>
      </c>
      <c r="C253" s="3" t="s">
        <v>970</v>
      </c>
      <c r="D253" s="3" t="s">
        <v>88</v>
      </c>
      <c r="E253" s="3" t="s">
        <v>96</v>
      </c>
      <c r="F253" s="3" t="s">
        <v>189</v>
      </c>
      <c r="G253" s="3" t="s">
        <v>98</v>
      </c>
      <c r="H253" s="3" t="s">
        <v>964</v>
      </c>
      <c r="I253" s="3">
        <v>49</v>
      </c>
      <c r="J253" s="3" t="s">
        <v>41</v>
      </c>
      <c r="K253" s="3" t="s">
        <v>66</v>
      </c>
      <c r="L253" s="3" t="s">
        <v>79</v>
      </c>
      <c r="M253" s="3" t="s">
        <v>44</v>
      </c>
      <c r="N253" s="3" t="s">
        <v>45</v>
      </c>
      <c r="O253" s="3" t="s">
        <v>195</v>
      </c>
      <c r="P253" s="3" t="s">
        <v>196</v>
      </c>
      <c r="Q253" s="3" t="s">
        <v>69</v>
      </c>
      <c r="R253" s="3" t="s">
        <v>745</v>
      </c>
      <c r="S253" s="3">
        <v>2</v>
      </c>
      <c r="T253" s="3">
        <v>136</v>
      </c>
      <c r="U253" s="3">
        <v>102</v>
      </c>
      <c r="V253" s="3">
        <v>88</v>
      </c>
      <c r="W253" s="3">
        <v>24</v>
      </c>
      <c r="X253" s="3">
        <v>38.799999999999997</v>
      </c>
      <c r="Y253" s="3">
        <v>35.200000000000003</v>
      </c>
      <c r="Z253" s="3">
        <v>92</v>
      </c>
      <c r="AA253" s="3" t="s">
        <v>50</v>
      </c>
      <c r="AB253" s="3" t="s">
        <v>51</v>
      </c>
      <c r="AC253" s="3" t="s">
        <v>52</v>
      </c>
      <c r="AD253" s="3" t="s">
        <v>53</v>
      </c>
      <c r="AE253" s="3" t="s">
        <v>54</v>
      </c>
      <c r="AF253" s="3" t="s">
        <v>55</v>
      </c>
      <c r="AG253" s="3" t="s">
        <v>100</v>
      </c>
    </row>
    <row r="254" spans="1:33" x14ac:dyDescent="0.2">
      <c r="A254" s="2" t="s">
        <v>961</v>
      </c>
      <c r="B254" s="2" t="s">
        <v>971</v>
      </c>
      <c r="C254" s="2" t="s">
        <v>972</v>
      </c>
      <c r="D254" s="2" t="s">
        <v>103</v>
      </c>
      <c r="E254" s="2" t="s">
        <v>37</v>
      </c>
      <c r="F254" s="2" t="s">
        <v>219</v>
      </c>
      <c r="G254" s="2" t="s">
        <v>138</v>
      </c>
      <c r="H254" s="2" t="s">
        <v>964</v>
      </c>
      <c r="I254" s="2">
        <v>49</v>
      </c>
      <c r="J254" s="2" t="s">
        <v>41</v>
      </c>
      <c r="K254" s="2" t="s">
        <v>110</v>
      </c>
      <c r="L254" s="2" t="s">
        <v>79</v>
      </c>
      <c r="M254" s="2" t="s">
        <v>44</v>
      </c>
      <c r="N254" s="2" t="s">
        <v>45</v>
      </c>
      <c r="O254" s="2" t="s">
        <v>195</v>
      </c>
      <c r="P254" s="2" t="s">
        <v>196</v>
      </c>
      <c r="Q254" s="2" t="s">
        <v>69</v>
      </c>
      <c r="R254" s="2" t="s">
        <v>973</v>
      </c>
      <c r="S254" s="2">
        <v>2</v>
      </c>
      <c r="T254" s="2">
        <v>109</v>
      </c>
      <c r="U254" s="2">
        <v>72</v>
      </c>
      <c r="V254" s="2">
        <v>81</v>
      </c>
      <c r="W254" s="2">
        <v>17</v>
      </c>
      <c r="X254" s="2">
        <v>36.299999999999997</v>
      </c>
      <c r="Y254" s="2">
        <v>36.299999999999997</v>
      </c>
      <c r="Z254" s="2">
        <v>88</v>
      </c>
      <c r="AA254" s="2" t="s">
        <v>50</v>
      </c>
      <c r="AB254" s="2" t="s">
        <v>51</v>
      </c>
      <c r="AC254" s="2" t="s">
        <v>52</v>
      </c>
      <c r="AD254" s="2" t="s">
        <v>53</v>
      </c>
      <c r="AE254" s="2" t="s">
        <v>54</v>
      </c>
      <c r="AF254" s="2" t="s">
        <v>55</v>
      </c>
      <c r="AG254" s="2" t="s">
        <v>106</v>
      </c>
    </row>
    <row r="255" spans="1:33" x14ac:dyDescent="0.2">
      <c r="A255" s="3" t="s">
        <v>961</v>
      </c>
      <c r="B255" s="3" t="s">
        <v>974</v>
      </c>
      <c r="C255" s="3" t="s">
        <v>35</v>
      </c>
      <c r="D255" s="3" t="s">
        <v>103</v>
      </c>
      <c r="E255" s="3" t="s">
        <v>96</v>
      </c>
      <c r="F255" s="3" t="s">
        <v>122</v>
      </c>
      <c r="G255" s="3" t="s">
        <v>98</v>
      </c>
      <c r="H255" s="3" t="s">
        <v>964</v>
      </c>
      <c r="I255" s="3">
        <v>49</v>
      </c>
      <c r="J255" s="3" t="s">
        <v>41</v>
      </c>
      <c r="K255" s="3" t="s">
        <v>66</v>
      </c>
      <c r="L255" s="3" t="s">
        <v>79</v>
      </c>
      <c r="M255" s="3" t="s">
        <v>44</v>
      </c>
      <c r="N255" s="3" t="s">
        <v>45</v>
      </c>
      <c r="O255" s="3" t="s">
        <v>195</v>
      </c>
      <c r="P255" s="3" t="s">
        <v>196</v>
      </c>
      <c r="Q255" s="3" t="s">
        <v>69</v>
      </c>
      <c r="R255" s="3" t="s">
        <v>163</v>
      </c>
      <c r="S255" s="3">
        <v>1</v>
      </c>
      <c r="T255" s="3">
        <v>146</v>
      </c>
      <c r="U255" s="3">
        <v>105</v>
      </c>
      <c r="V255" s="3">
        <v>99</v>
      </c>
      <c r="W255" s="3">
        <v>20</v>
      </c>
      <c r="X255" s="3">
        <v>38.200000000000003</v>
      </c>
      <c r="Y255" s="3">
        <v>24.8</v>
      </c>
      <c r="Z255" s="3">
        <v>92</v>
      </c>
      <c r="AA255" s="3" t="s">
        <v>50</v>
      </c>
      <c r="AB255" s="3" t="s">
        <v>51</v>
      </c>
      <c r="AC255" s="3" t="s">
        <v>52</v>
      </c>
      <c r="AD255" s="3" t="s">
        <v>53</v>
      </c>
      <c r="AE255" s="3" t="s">
        <v>54</v>
      </c>
      <c r="AF255" s="3" t="s">
        <v>55</v>
      </c>
      <c r="AG255" s="3" t="s">
        <v>112</v>
      </c>
    </row>
    <row r="256" spans="1:33" x14ac:dyDescent="0.2">
      <c r="A256" s="2" t="s">
        <v>961</v>
      </c>
      <c r="B256" s="2" t="s">
        <v>975</v>
      </c>
      <c r="C256" s="2" t="s">
        <v>502</v>
      </c>
      <c r="D256" s="2" t="s">
        <v>36</v>
      </c>
      <c r="E256" s="2" t="s">
        <v>37</v>
      </c>
      <c r="F256" s="2" t="s">
        <v>189</v>
      </c>
      <c r="G256" s="2" t="s">
        <v>63</v>
      </c>
      <c r="H256" s="2" t="s">
        <v>964</v>
      </c>
      <c r="I256" s="2">
        <v>49</v>
      </c>
      <c r="J256" s="2" t="s">
        <v>41</v>
      </c>
      <c r="K256" s="2" t="s">
        <v>110</v>
      </c>
      <c r="L256" s="2" t="s">
        <v>79</v>
      </c>
      <c r="M256" s="2" t="s">
        <v>44</v>
      </c>
      <c r="N256" s="2" t="s">
        <v>45</v>
      </c>
      <c r="O256" s="2" t="s">
        <v>195</v>
      </c>
      <c r="P256" s="2" t="s">
        <v>196</v>
      </c>
      <c r="Q256" s="2" t="s">
        <v>69</v>
      </c>
      <c r="R256" s="2" t="s">
        <v>976</v>
      </c>
      <c r="S256" s="2">
        <v>3</v>
      </c>
      <c r="T256" s="2">
        <v>100</v>
      </c>
      <c r="U256" s="2">
        <v>88</v>
      </c>
      <c r="V256" s="2">
        <v>120</v>
      </c>
      <c r="W256" s="2">
        <v>19</v>
      </c>
      <c r="X256" s="2">
        <v>37.200000000000003</v>
      </c>
      <c r="Y256" s="2">
        <v>37.700000000000003</v>
      </c>
      <c r="Z256" s="2">
        <v>98</v>
      </c>
      <c r="AA256" s="2" t="s">
        <v>50</v>
      </c>
      <c r="AB256" s="2" t="s">
        <v>51</v>
      </c>
      <c r="AC256" s="2" t="s">
        <v>52</v>
      </c>
      <c r="AD256" s="2" t="s">
        <v>53</v>
      </c>
      <c r="AE256" s="2" t="s">
        <v>54</v>
      </c>
      <c r="AF256" s="2" t="s">
        <v>55</v>
      </c>
      <c r="AG256" s="2" t="s">
        <v>118</v>
      </c>
    </row>
    <row r="257" spans="1:33" x14ac:dyDescent="0.2">
      <c r="A257" s="3" t="s">
        <v>977</v>
      </c>
      <c r="B257" s="3" t="s">
        <v>978</v>
      </c>
      <c r="C257" s="3" t="s">
        <v>979</v>
      </c>
      <c r="D257" s="3" t="s">
        <v>36</v>
      </c>
      <c r="E257" s="3" t="s">
        <v>167</v>
      </c>
      <c r="F257" s="3" t="s">
        <v>148</v>
      </c>
      <c r="G257" s="3" t="s">
        <v>76</v>
      </c>
      <c r="H257" s="3" t="s">
        <v>980</v>
      </c>
      <c r="I257" s="3">
        <v>67</v>
      </c>
      <c r="J257" s="3" t="s">
        <v>41</v>
      </c>
      <c r="K257" s="3" t="s">
        <v>66</v>
      </c>
      <c r="L257" s="3" t="s">
        <v>43</v>
      </c>
      <c r="M257" s="3" t="s">
        <v>80</v>
      </c>
      <c r="N257" s="3"/>
      <c r="O257" s="3" t="s">
        <v>283</v>
      </c>
      <c r="P257" s="3" t="s">
        <v>284</v>
      </c>
      <c r="Q257" s="3" t="s">
        <v>69</v>
      </c>
      <c r="R257" s="3" t="s">
        <v>981</v>
      </c>
      <c r="S257" s="3">
        <v>4</v>
      </c>
      <c r="T257" s="3">
        <v>152</v>
      </c>
      <c r="U257" s="3">
        <v>76</v>
      </c>
      <c r="V257" s="3">
        <v>84</v>
      </c>
      <c r="W257" s="3">
        <v>23</v>
      </c>
      <c r="X257" s="3">
        <v>38.799999999999997</v>
      </c>
      <c r="Y257" s="3">
        <v>22.3</v>
      </c>
      <c r="Z257" s="3">
        <v>89</v>
      </c>
      <c r="AA257" s="3" t="s">
        <v>50</v>
      </c>
      <c r="AB257" s="3" t="s">
        <v>51</v>
      </c>
      <c r="AC257" s="3" t="s">
        <v>52</v>
      </c>
      <c r="AD257" s="3" t="s">
        <v>53</v>
      </c>
      <c r="AE257" s="3" t="s">
        <v>54</v>
      </c>
      <c r="AF257" s="3" t="s">
        <v>55</v>
      </c>
      <c r="AG257" s="3" t="s">
        <v>85</v>
      </c>
    </row>
    <row r="258" spans="1:33" x14ac:dyDescent="0.2">
      <c r="A258" s="2" t="s">
        <v>977</v>
      </c>
      <c r="B258" s="2" t="s">
        <v>982</v>
      </c>
      <c r="C258" s="2" t="s">
        <v>983</v>
      </c>
      <c r="D258" s="2" t="s">
        <v>95</v>
      </c>
      <c r="E258" s="2" t="s">
        <v>37</v>
      </c>
      <c r="F258" s="2" t="s">
        <v>75</v>
      </c>
      <c r="G258" s="2" t="s">
        <v>104</v>
      </c>
      <c r="H258" s="2" t="s">
        <v>980</v>
      </c>
      <c r="I258" s="2">
        <v>67</v>
      </c>
      <c r="J258" s="2" t="s">
        <v>41</v>
      </c>
      <c r="K258" s="2" t="s">
        <v>90</v>
      </c>
      <c r="L258" s="2" t="s">
        <v>43</v>
      </c>
      <c r="M258" s="2" t="s">
        <v>80</v>
      </c>
      <c r="N258" s="2"/>
      <c r="O258" s="2" t="s">
        <v>283</v>
      </c>
      <c r="P258" s="2" t="s">
        <v>284</v>
      </c>
      <c r="Q258" s="2" t="s">
        <v>69</v>
      </c>
      <c r="R258" s="2" t="s">
        <v>984</v>
      </c>
      <c r="S258" s="2">
        <v>3</v>
      </c>
      <c r="T258" s="2">
        <v>132</v>
      </c>
      <c r="U258" s="2">
        <v>93</v>
      </c>
      <c r="V258" s="2">
        <v>112</v>
      </c>
      <c r="W258" s="2">
        <v>17</v>
      </c>
      <c r="X258" s="2">
        <v>36.799999999999997</v>
      </c>
      <c r="Y258" s="2">
        <v>33.1</v>
      </c>
      <c r="Z258" s="2">
        <v>92</v>
      </c>
      <c r="AA258" s="2" t="s">
        <v>50</v>
      </c>
      <c r="AB258" s="2" t="s">
        <v>51</v>
      </c>
      <c r="AC258" s="2" t="s">
        <v>52</v>
      </c>
      <c r="AD258" s="2" t="s">
        <v>53</v>
      </c>
      <c r="AE258" s="2" t="s">
        <v>54</v>
      </c>
      <c r="AF258" s="2" t="s">
        <v>55</v>
      </c>
      <c r="AG258" s="2" t="s">
        <v>92</v>
      </c>
    </row>
    <row r="259" spans="1:33" x14ac:dyDescent="0.2">
      <c r="A259" s="3" t="s">
        <v>977</v>
      </c>
      <c r="B259" s="3" t="s">
        <v>985</v>
      </c>
      <c r="C259" s="3" t="s">
        <v>878</v>
      </c>
      <c r="D259" s="3" t="s">
        <v>88</v>
      </c>
      <c r="E259" s="3" t="s">
        <v>89</v>
      </c>
      <c r="F259" s="3" t="s">
        <v>38</v>
      </c>
      <c r="G259" s="3" t="s">
        <v>63</v>
      </c>
      <c r="H259" s="3" t="s">
        <v>980</v>
      </c>
      <c r="I259" s="3">
        <v>67</v>
      </c>
      <c r="J259" s="3" t="s">
        <v>41</v>
      </c>
      <c r="K259" s="3" t="s">
        <v>110</v>
      </c>
      <c r="L259" s="3" t="s">
        <v>43</v>
      </c>
      <c r="M259" s="3" t="s">
        <v>80</v>
      </c>
      <c r="N259" s="3"/>
      <c r="O259" s="3" t="s">
        <v>283</v>
      </c>
      <c r="P259" s="3" t="s">
        <v>284</v>
      </c>
      <c r="Q259" s="3" t="s">
        <v>69</v>
      </c>
      <c r="R259" s="3" t="s">
        <v>986</v>
      </c>
      <c r="S259" s="3">
        <v>3</v>
      </c>
      <c r="T259" s="3">
        <v>142</v>
      </c>
      <c r="U259" s="3">
        <v>115</v>
      </c>
      <c r="V259" s="3">
        <v>73</v>
      </c>
      <c r="W259" s="3">
        <v>17</v>
      </c>
      <c r="X259" s="3">
        <v>36.700000000000003</v>
      </c>
      <c r="Y259" s="3">
        <v>41.9</v>
      </c>
      <c r="Z259" s="3">
        <v>87</v>
      </c>
      <c r="AA259" s="3" t="s">
        <v>50</v>
      </c>
      <c r="AB259" s="3" t="s">
        <v>51</v>
      </c>
      <c r="AC259" s="3" t="s">
        <v>52</v>
      </c>
      <c r="AD259" s="3" t="s">
        <v>53</v>
      </c>
      <c r="AE259" s="3" t="s">
        <v>54</v>
      </c>
      <c r="AF259" s="3" t="s">
        <v>55</v>
      </c>
      <c r="AG259" s="3" t="s">
        <v>100</v>
      </c>
    </row>
    <row r="260" spans="1:33" x14ac:dyDescent="0.2">
      <c r="A260" s="2" t="s">
        <v>977</v>
      </c>
      <c r="B260" s="2" t="s">
        <v>987</v>
      </c>
      <c r="C260" s="2" t="s">
        <v>988</v>
      </c>
      <c r="D260" s="2" t="s">
        <v>95</v>
      </c>
      <c r="E260" s="2" t="s">
        <v>61</v>
      </c>
      <c r="F260" s="2" t="s">
        <v>219</v>
      </c>
      <c r="G260" s="2" t="s">
        <v>63</v>
      </c>
      <c r="H260" s="2" t="s">
        <v>980</v>
      </c>
      <c r="I260" s="2">
        <v>67</v>
      </c>
      <c r="J260" s="2" t="s">
        <v>41</v>
      </c>
      <c r="K260" s="2" t="s">
        <v>90</v>
      </c>
      <c r="L260" s="2" t="s">
        <v>43</v>
      </c>
      <c r="M260" s="2" t="s">
        <v>80</v>
      </c>
      <c r="N260" s="2"/>
      <c r="O260" s="2" t="s">
        <v>283</v>
      </c>
      <c r="P260" s="2" t="s">
        <v>284</v>
      </c>
      <c r="Q260" s="2" t="s">
        <v>69</v>
      </c>
      <c r="R260" s="2" t="s">
        <v>989</v>
      </c>
      <c r="S260" s="2">
        <v>4</v>
      </c>
      <c r="T260" s="2">
        <v>127</v>
      </c>
      <c r="U260" s="2">
        <v>63</v>
      </c>
      <c r="V260" s="2">
        <v>78</v>
      </c>
      <c r="W260" s="2">
        <v>21</v>
      </c>
      <c r="X260" s="2">
        <v>36.700000000000003</v>
      </c>
      <c r="Y260" s="2">
        <v>40.6</v>
      </c>
      <c r="Z260" s="2">
        <v>88</v>
      </c>
      <c r="AA260" s="2" t="s">
        <v>50</v>
      </c>
      <c r="AB260" s="2" t="s">
        <v>51</v>
      </c>
      <c r="AC260" s="2" t="s">
        <v>52</v>
      </c>
      <c r="AD260" s="2" t="s">
        <v>53</v>
      </c>
      <c r="AE260" s="2" t="s">
        <v>54</v>
      </c>
      <c r="AF260" s="2" t="s">
        <v>55</v>
      </c>
      <c r="AG260" s="2" t="s">
        <v>106</v>
      </c>
    </row>
    <row r="261" spans="1:33" x14ac:dyDescent="0.2">
      <c r="A261" s="3" t="s">
        <v>977</v>
      </c>
      <c r="B261" s="3" t="s">
        <v>990</v>
      </c>
      <c r="C261" s="3" t="s">
        <v>991</v>
      </c>
      <c r="D261" s="3" t="s">
        <v>95</v>
      </c>
      <c r="E261" s="3" t="s">
        <v>37</v>
      </c>
      <c r="F261" s="3" t="s">
        <v>62</v>
      </c>
      <c r="G261" s="3" t="s">
        <v>123</v>
      </c>
      <c r="H261" s="3" t="s">
        <v>980</v>
      </c>
      <c r="I261" s="3">
        <v>67</v>
      </c>
      <c r="J261" s="3" t="s">
        <v>41</v>
      </c>
      <c r="K261" s="3" t="s">
        <v>42</v>
      </c>
      <c r="L261" s="3" t="s">
        <v>43</v>
      </c>
      <c r="M261" s="3" t="s">
        <v>80</v>
      </c>
      <c r="N261" s="3"/>
      <c r="O261" s="3" t="s">
        <v>283</v>
      </c>
      <c r="P261" s="3" t="s">
        <v>284</v>
      </c>
      <c r="Q261" s="3" t="s">
        <v>69</v>
      </c>
      <c r="R261" s="3" t="s">
        <v>992</v>
      </c>
      <c r="S261" s="3">
        <v>4</v>
      </c>
      <c r="T261" s="3">
        <v>122</v>
      </c>
      <c r="U261" s="3">
        <v>99</v>
      </c>
      <c r="V261" s="3">
        <v>93</v>
      </c>
      <c r="W261" s="3">
        <v>13</v>
      </c>
      <c r="X261" s="3">
        <v>36.200000000000003</v>
      </c>
      <c r="Y261" s="3">
        <v>39.5</v>
      </c>
      <c r="Z261" s="3">
        <v>92</v>
      </c>
      <c r="AA261" s="3" t="s">
        <v>50</v>
      </c>
      <c r="AB261" s="3" t="s">
        <v>51</v>
      </c>
      <c r="AC261" s="3" t="s">
        <v>52</v>
      </c>
      <c r="AD261" s="3" t="s">
        <v>53</v>
      </c>
      <c r="AE261" s="3" t="s">
        <v>54</v>
      </c>
      <c r="AF261" s="3" t="s">
        <v>55</v>
      </c>
      <c r="AG261" s="3" t="s">
        <v>112</v>
      </c>
    </row>
    <row r="262" spans="1:33" x14ac:dyDescent="0.2">
      <c r="A262" s="2" t="s">
        <v>977</v>
      </c>
      <c r="B262" s="2" t="s">
        <v>993</v>
      </c>
      <c r="C262" s="2" t="s">
        <v>994</v>
      </c>
      <c r="D262" s="2" t="s">
        <v>95</v>
      </c>
      <c r="E262" s="2" t="s">
        <v>167</v>
      </c>
      <c r="F262" s="2" t="s">
        <v>132</v>
      </c>
      <c r="G262" s="2" t="s">
        <v>115</v>
      </c>
      <c r="H262" s="2" t="s">
        <v>980</v>
      </c>
      <c r="I262" s="2">
        <v>67</v>
      </c>
      <c r="J262" s="2" t="s">
        <v>41</v>
      </c>
      <c r="K262" s="2" t="s">
        <v>140</v>
      </c>
      <c r="L262" s="2" t="s">
        <v>43</v>
      </c>
      <c r="M262" s="2" t="s">
        <v>80</v>
      </c>
      <c r="N262" s="2"/>
      <c r="O262" s="2" t="s">
        <v>283</v>
      </c>
      <c r="P262" s="2" t="s">
        <v>284</v>
      </c>
      <c r="Q262" s="2" t="s">
        <v>69</v>
      </c>
      <c r="R262" s="2" t="s">
        <v>320</v>
      </c>
      <c r="S262" s="2">
        <v>1</v>
      </c>
      <c r="T262" s="2">
        <v>146</v>
      </c>
      <c r="U262" s="2">
        <v>75</v>
      </c>
      <c r="V262" s="2">
        <v>102</v>
      </c>
      <c r="W262" s="2">
        <v>14</v>
      </c>
      <c r="X262" s="2">
        <v>38.200000000000003</v>
      </c>
      <c r="Y262" s="2">
        <v>45.9</v>
      </c>
      <c r="Z262" s="2">
        <v>100</v>
      </c>
      <c r="AA262" s="2" t="s">
        <v>50</v>
      </c>
      <c r="AB262" s="2" t="s">
        <v>51</v>
      </c>
      <c r="AC262" s="2" t="s">
        <v>52</v>
      </c>
      <c r="AD262" s="2" t="s">
        <v>53</v>
      </c>
      <c r="AE262" s="2" t="s">
        <v>54</v>
      </c>
      <c r="AF262" s="2" t="s">
        <v>55</v>
      </c>
      <c r="AG262" s="2" t="s">
        <v>118</v>
      </c>
    </row>
    <row r="263" spans="1:33" x14ac:dyDescent="0.2">
      <c r="A263" s="3" t="s">
        <v>995</v>
      </c>
      <c r="B263" s="3" t="s">
        <v>996</v>
      </c>
      <c r="C263" s="3" t="s">
        <v>997</v>
      </c>
      <c r="D263" s="3" t="s">
        <v>36</v>
      </c>
      <c r="E263" s="3" t="s">
        <v>96</v>
      </c>
      <c r="F263" s="3" t="s">
        <v>109</v>
      </c>
      <c r="G263" s="3" t="s">
        <v>63</v>
      </c>
      <c r="H263" s="3" t="s">
        <v>998</v>
      </c>
      <c r="I263" s="3">
        <v>28</v>
      </c>
      <c r="J263" s="3" t="s">
        <v>65</v>
      </c>
      <c r="K263" s="3" t="s">
        <v>110</v>
      </c>
      <c r="L263" s="3" t="s">
        <v>141</v>
      </c>
      <c r="M263" s="3" t="s">
        <v>125</v>
      </c>
      <c r="N263" s="3" t="s">
        <v>45</v>
      </c>
      <c r="O263" s="3" t="s">
        <v>315</v>
      </c>
      <c r="P263" s="3" t="s">
        <v>316</v>
      </c>
      <c r="Q263" s="3" t="s">
        <v>69</v>
      </c>
      <c r="R263" s="3" t="s">
        <v>999</v>
      </c>
      <c r="S263" s="3">
        <v>2</v>
      </c>
      <c r="T263" s="3">
        <v>165</v>
      </c>
      <c r="U263" s="3">
        <v>63</v>
      </c>
      <c r="V263" s="3">
        <v>60</v>
      </c>
      <c r="W263" s="3">
        <v>21</v>
      </c>
      <c r="X263" s="3">
        <v>37.6</v>
      </c>
      <c r="Y263" s="3">
        <v>36.1</v>
      </c>
      <c r="Z263" s="3">
        <v>90</v>
      </c>
      <c r="AA263" s="3" t="s">
        <v>50</v>
      </c>
      <c r="AB263" s="3" t="s">
        <v>51</v>
      </c>
      <c r="AC263" s="3" t="s">
        <v>52</v>
      </c>
      <c r="AD263" s="3" t="s">
        <v>53</v>
      </c>
      <c r="AE263" s="3" t="s">
        <v>54</v>
      </c>
      <c r="AF263" s="3" t="s">
        <v>55</v>
      </c>
      <c r="AG263" s="3" t="s">
        <v>160</v>
      </c>
    </row>
    <row r="264" spans="1:33" x14ac:dyDescent="0.2">
      <c r="A264" s="2" t="s">
        <v>995</v>
      </c>
      <c r="B264" s="2" t="s">
        <v>1000</v>
      </c>
      <c r="C264" s="2" t="s">
        <v>791</v>
      </c>
      <c r="D264" s="2" t="s">
        <v>95</v>
      </c>
      <c r="E264" s="2" t="s">
        <v>37</v>
      </c>
      <c r="F264" s="2" t="s">
        <v>189</v>
      </c>
      <c r="G264" s="2" t="s">
        <v>138</v>
      </c>
      <c r="H264" s="2" t="s">
        <v>998</v>
      </c>
      <c r="I264" s="2">
        <v>28</v>
      </c>
      <c r="J264" s="2" t="s">
        <v>65</v>
      </c>
      <c r="K264" s="2" t="s">
        <v>116</v>
      </c>
      <c r="L264" s="2" t="s">
        <v>141</v>
      </c>
      <c r="M264" s="2" t="s">
        <v>125</v>
      </c>
      <c r="N264" s="2" t="s">
        <v>45</v>
      </c>
      <c r="O264" s="2" t="s">
        <v>315</v>
      </c>
      <c r="P264" s="2" t="s">
        <v>316</v>
      </c>
      <c r="Q264" s="2" t="s">
        <v>69</v>
      </c>
      <c r="R264" s="2" t="s">
        <v>1001</v>
      </c>
      <c r="S264" s="2">
        <v>3</v>
      </c>
      <c r="T264" s="2">
        <v>132</v>
      </c>
      <c r="U264" s="2">
        <v>77</v>
      </c>
      <c r="V264" s="2">
        <v>64</v>
      </c>
      <c r="W264" s="2">
        <v>18</v>
      </c>
      <c r="X264" s="2">
        <v>38.1</v>
      </c>
      <c r="Y264" s="2">
        <v>39.4</v>
      </c>
      <c r="Z264" s="2">
        <v>89</v>
      </c>
      <c r="AA264" s="2" t="s">
        <v>50</v>
      </c>
      <c r="AB264" s="2" t="s">
        <v>51</v>
      </c>
      <c r="AC264" s="2" t="s">
        <v>52</v>
      </c>
      <c r="AD264" s="2" t="s">
        <v>53</v>
      </c>
      <c r="AE264" s="2" t="s">
        <v>54</v>
      </c>
      <c r="AF264" s="2" t="s">
        <v>55</v>
      </c>
      <c r="AG264" s="2" t="s">
        <v>164</v>
      </c>
    </row>
    <row r="265" spans="1:33" x14ac:dyDescent="0.2">
      <c r="A265" s="3" t="s">
        <v>995</v>
      </c>
      <c r="B265" s="3" t="s">
        <v>1002</v>
      </c>
      <c r="C265" s="3" t="s">
        <v>1003</v>
      </c>
      <c r="D265" s="3" t="s">
        <v>36</v>
      </c>
      <c r="E265" s="3" t="s">
        <v>96</v>
      </c>
      <c r="F265" s="3" t="s">
        <v>219</v>
      </c>
      <c r="G265" s="3" t="s">
        <v>123</v>
      </c>
      <c r="H265" s="3" t="s">
        <v>998</v>
      </c>
      <c r="I265" s="3">
        <v>28</v>
      </c>
      <c r="J265" s="3" t="s">
        <v>65</v>
      </c>
      <c r="K265" s="3" t="s">
        <v>42</v>
      </c>
      <c r="L265" s="3" t="s">
        <v>141</v>
      </c>
      <c r="M265" s="3" t="s">
        <v>125</v>
      </c>
      <c r="N265" s="3" t="s">
        <v>45</v>
      </c>
      <c r="O265" s="3" t="s">
        <v>315</v>
      </c>
      <c r="P265" s="3" t="s">
        <v>316</v>
      </c>
      <c r="Q265" s="3" t="s">
        <v>69</v>
      </c>
      <c r="R265" s="3" t="s">
        <v>1004</v>
      </c>
      <c r="S265" s="3">
        <v>3</v>
      </c>
      <c r="T265" s="3">
        <v>109</v>
      </c>
      <c r="U265" s="3">
        <v>99</v>
      </c>
      <c r="V265" s="3">
        <v>56</v>
      </c>
      <c r="W265" s="3">
        <v>24</v>
      </c>
      <c r="X265" s="3">
        <v>36.799999999999997</v>
      </c>
      <c r="Y265" s="3">
        <v>35.200000000000003</v>
      </c>
      <c r="Z265" s="3">
        <v>89</v>
      </c>
      <c r="AA265" s="3" t="s">
        <v>50</v>
      </c>
      <c r="AB265" s="3" t="s">
        <v>51</v>
      </c>
      <c r="AC265" s="3" t="s">
        <v>52</v>
      </c>
      <c r="AD265" s="3" t="s">
        <v>53</v>
      </c>
      <c r="AE265" s="3" t="s">
        <v>54</v>
      </c>
      <c r="AF265" s="3" t="s">
        <v>55</v>
      </c>
      <c r="AG265" s="3" t="s">
        <v>169</v>
      </c>
    </row>
    <row r="266" spans="1:33" x14ac:dyDescent="0.2">
      <c r="A266" s="2" t="s">
        <v>995</v>
      </c>
      <c r="B266" s="2" t="s">
        <v>1005</v>
      </c>
      <c r="C266" s="2" t="s">
        <v>1006</v>
      </c>
      <c r="D266" s="2" t="s">
        <v>88</v>
      </c>
      <c r="E266" s="2" t="s">
        <v>89</v>
      </c>
      <c r="F266" s="2" t="s">
        <v>75</v>
      </c>
      <c r="G266" s="2" t="s">
        <v>104</v>
      </c>
      <c r="H266" s="2" t="s">
        <v>998</v>
      </c>
      <c r="I266" s="2">
        <v>28</v>
      </c>
      <c r="J266" s="2" t="s">
        <v>65</v>
      </c>
      <c r="K266" s="2" t="s">
        <v>140</v>
      </c>
      <c r="L266" s="2" t="s">
        <v>141</v>
      </c>
      <c r="M266" s="2" t="s">
        <v>125</v>
      </c>
      <c r="N266" s="2" t="s">
        <v>45</v>
      </c>
      <c r="O266" s="2" t="s">
        <v>315</v>
      </c>
      <c r="P266" s="2" t="s">
        <v>316</v>
      </c>
      <c r="Q266" s="2" t="s">
        <v>69</v>
      </c>
      <c r="R266" s="2" t="s">
        <v>556</v>
      </c>
      <c r="S266" s="2">
        <v>1</v>
      </c>
      <c r="T266" s="2">
        <v>162</v>
      </c>
      <c r="U266" s="2">
        <v>68</v>
      </c>
      <c r="V266" s="2">
        <v>91</v>
      </c>
      <c r="W266" s="2">
        <v>24</v>
      </c>
      <c r="X266" s="2">
        <v>37.799999999999997</v>
      </c>
      <c r="Y266" s="2">
        <v>35.299999999999997</v>
      </c>
      <c r="Z266" s="2">
        <v>100</v>
      </c>
      <c r="AA266" s="2" t="s">
        <v>50</v>
      </c>
      <c r="AB266" s="2" t="s">
        <v>51</v>
      </c>
      <c r="AC266" s="2" t="s">
        <v>52</v>
      </c>
      <c r="AD266" s="2" t="s">
        <v>53</v>
      </c>
      <c r="AE266" s="2" t="s">
        <v>54</v>
      </c>
      <c r="AF266" s="2" t="s">
        <v>55</v>
      </c>
      <c r="AG266" s="2" t="s">
        <v>173</v>
      </c>
    </row>
    <row r="267" spans="1:33" x14ac:dyDescent="0.2">
      <c r="A267" s="3" t="s">
        <v>995</v>
      </c>
      <c r="B267" s="3" t="s">
        <v>1007</v>
      </c>
      <c r="C267" s="3" t="s">
        <v>1008</v>
      </c>
      <c r="D267" s="3" t="s">
        <v>36</v>
      </c>
      <c r="E267" s="3" t="s">
        <v>96</v>
      </c>
      <c r="F267" s="3" t="s">
        <v>189</v>
      </c>
      <c r="G267" s="3" t="s">
        <v>39</v>
      </c>
      <c r="H267" s="3" t="s">
        <v>998</v>
      </c>
      <c r="I267" s="3">
        <v>28</v>
      </c>
      <c r="J267" s="3" t="s">
        <v>65</v>
      </c>
      <c r="K267" s="3" t="s">
        <v>90</v>
      </c>
      <c r="L267" s="3" t="s">
        <v>141</v>
      </c>
      <c r="M267" s="3" t="s">
        <v>125</v>
      </c>
      <c r="N267" s="3" t="s">
        <v>45</v>
      </c>
      <c r="O267" s="3" t="s">
        <v>315</v>
      </c>
      <c r="P267" s="3" t="s">
        <v>316</v>
      </c>
      <c r="Q267" s="3" t="s">
        <v>69</v>
      </c>
      <c r="R267" s="3" t="s">
        <v>1009</v>
      </c>
      <c r="S267" s="3">
        <v>3</v>
      </c>
      <c r="T267" s="3">
        <v>121</v>
      </c>
      <c r="U267" s="3">
        <v>102</v>
      </c>
      <c r="V267" s="3">
        <v>96</v>
      </c>
      <c r="W267" s="3">
        <v>13</v>
      </c>
      <c r="X267" s="3">
        <v>38.1</v>
      </c>
      <c r="Y267" s="3">
        <v>17.7</v>
      </c>
      <c r="Z267" s="3">
        <v>92</v>
      </c>
      <c r="AA267" s="3" t="s">
        <v>50</v>
      </c>
      <c r="AB267" s="3" t="s">
        <v>51</v>
      </c>
      <c r="AC267" s="3" t="s">
        <v>52</v>
      </c>
      <c r="AD267" s="3" t="s">
        <v>53</v>
      </c>
      <c r="AE267" s="3" t="s">
        <v>54</v>
      </c>
      <c r="AF267" s="3" t="s">
        <v>55</v>
      </c>
      <c r="AG267" s="3" t="s">
        <v>177</v>
      </c>
    </row>
    <row r="268" spans="1:33" x14ac:dyDescent="0.2">
      <c r="A268" s="2" t="s">
        <v>1010</v>
      </c>
      <c r="B268" s="2" t="s">
        <v>1011</v>
      </c>
      <c r="C268" s="4" t="s">
        <v>667</v>
      </c>
      <c r="D268" s="2" t="s">
        <v>60</v>
      </c>
      <c r="E268" s="2" t="s">
        <v>89</v>
      </c>
      <c r="F268" s="2" t="s">
        <v>62</v>
      </c>
      <c r="G268" s="2" t="s">
        <v>138</v>
      </c>
      <c r="H268" s="2" t="s">
        <v>1012</v>
      </c>
      <c r="I268" s="4"/>
      <c r="J268" s="2" t="s">
        <v>41</v>
      </c>
      <c r="K268" s="2" t="s">
        <v>140</v>
      </c>
      <c r="L268" s="2" t="s">
        <v>43</v>
      </c>
      <c r="M268" s="2"/>
      <c r="N268" s="2" t="s">
        <v>45</v>
      </c>
      <c r="O268" s="2" t="s">
        <v>195</v>
      </c>
      <c r="P268" s="2" t="s">
        <v>196</v>
      </c>
      <c r="Q268" s="2" t="s">
        <v>69</v>
      </c>
      <c r="R268" s="2" t="s">
        <v>1013</v>
      </c>
      <c r="S268" s="2">
        <v>3</v>
      </c>
      <c r="T268" s="4"/>
      <c r="U268" s="4"/>
      <c r="V268" s="2">
        <v>106</v>
      </c>
      <c r="W268" s="2">
        <v>12</v>
      </c>
      <c r="X268" s="2">
        <v>38.200000000000003</v>
      </c>
      <c r="Y268" s="4">
        <v>27.6</v>
      </c>
      <c r="Z268" s="2">
        <v>91</v>
      </c>
      <c r="AA268" s="2" t="s">
        <v>50</v>
      </c>
      <c r="AB268" s="2" t="s">
        <v>51</v>
      </c>
      <c r="AC268" s="2" t="s">
        <v>52</v>
      </c>
      <c r="AD268" s="2" t="s">
        <v>53</v>
      </c>
      <c r="AE268" s="2" t="s">
        <v>54</v>
      </c>
      <c r="AF268" s="2" t="s">
        <v>407</v>
      </c>
      <c r="AG268" s="2" t="s">
        <v>129</v>
      </c>
    </row>
    <row r="269" spans="1:33" x14ac:dyDescent="0.2">
      <c r="A269" s="3" t="s">
        <v>1010</v>
      </c>
      <c r="B269" s="3" t="s">
        <v>1014</v>
      </c>
      <c r="C269" s="3" t="s">
        <v>1015</v>
      </c>
      <c r="D269" s="3" t="s">
        <v>103</v>
      </c>
      <c r="E269" s="3" t="s">
        <v>61</v>
      </c>
      <c r="F269" s="3" t="s">
        <v>97</v>
      </c>
      <c r="G269" s="3" t="s">
        <v>138</v>
      </c>
      <c r="H269" s="3" t="s">
        <v>1012</v>
      </c>
      <c r="I269" s="3">
        <v>58</v>
      </c>
      <c r="J269" s="3" t="s">
        <v>41</v>
      </c>
      <c r="K269" s="3" t="s">
        <v>66</v>
      </c>
      <c r="L269" s="3" t="s">
        <v>43</v>
      </c>
      <c r="M269" s="3"/>
      <c r="N269" s="3" t="s">
        <v>45</v>
      </c>
      <c r="O269" s="3" t="s">
        <v>195</v>
      </c>
      <c r="P269" s="3" t="s">
        <v>196</v>
      </c>
      <c r="Q269" s="3" t="s">
        <v>69</v>
      </c>
      <c r="R269" s="3" t="s">
        <v>1016</v>
      </c>
      <c r="S269" s="3">
        <v>3</v>
      </c>
      <c r="T269" s="3"/>
      <c r="U269" s="3">
        <v>93</v>
      </c>
      <c r="V269" s="3">
        <v>67</v>
      </c>
      <c r="W269" s="3">
        <v>16</v>
      </c>
      <c r="X269" s="3">
        <v>36.5</v>
      </c>
      <c r="Y269" s="3">
        <v>45.2</v>
      </c>
      <c r="Z269" s="3">
        <v>99</v>
      </c>
      <c r="AA269" s="3" t="s">
        <v>50</v>
      </c>
      <c r="AB269" s="3" t="s">
        <v>51</v>
      </c>
      <c r="AC269" s="3" t="s">
        <v>52</v>
      </c>
      <c r="AD269" s="3" t="s">
        <v>53</v>
      </c>
      <c r="AE269" s="3" t="s">
        <v>54</v>
      </c>
      <c r="AF269" s="3" t="s">
        <v>55</v>
      </c>
      <c r="AG269" s="3" t="s">
        <v>134</v>
      </c>
    </row>
    <row r="270" spans="1:33" x14ac:dyDescent="0.2">
      <c r="A270" s="2" t="s">
        <v>1017</v>
      </c>
      <c r="B270" s="2" t="s">
        <v>1018</v>
      </c>
      <c r="C270" s="2" t="s">
        <v>1019</v>
      </c>
      <c r="D270" s="2" t="s">
        <v>103</v>
      </c>
      <c r="E270" s="2" t="s">
        <v>37</v>
      </c>
      <c r="F270" s="2" t="s">
        <v>97</v>
      </c>
      <c r="G270" s="2" t="s">
        <v>104</v>
      </c>
      <c r="H270" s="2" t="s">
        <v>1020</v>
      </c>
      <c r="I270" s="2">
        <v>38</v>
      </c>
      <c r="J270" s="2" t="s">
        <v>41</v>
      </c>
      <c r="K270" s="2" t="s">
        <v>90</v>
      </c>
      <c r="L270" s="2" t="s">
        <v>79</v>
      </c>
      <c r="M270" s="2" t="s">
        <v>80</v>
      </c>
      <c r="N270" s="2" t="s">
        <v>45</v>
      </c>
      <c r="O270" s="2" t="s">
        <v>142</v>
      </c>
      <c r="P270" s="2" t="s">
        <v>143</v>
      </c>
      <c r="Q270" s="2" t="s">
        <v>48</v>
      </c>
      <c r="R270" s="2" t="s">
        <v>1021</v>
      </c>
      <c r="S270" s="2">
        <v>2</v>
      </c>
      <c r="T270" s="2">
        <v>182</v>
      </c>
      <c r="U270" s="2">
        <v>73</v>
      </c>
      <c r="V270" s="2">
        <v>106</v>
      </c>
      <c r="W270" s="2">
        <v>25</v>
      </c>
      <c r="X270" s="2">
        <v>38</v>
      </c>
      <c r="Y270" s="2">
        <v>38.5</v>
      </c>
      <c r="Z270" s="2">
        <v>89</v>
      </c>
      <c r="AA270" s="2" t="s">
        <v>50</v>
      </c>
      <c r="AB270" s="2" t="s">
        <v>51</v>
      </c>
      <c r="AC270" s="2" t="s">
        <v>52</v>
      </c>
      <c r="AD270" s="2" t="s">
        <v>53</v>
      </c>
      <c r="AE270" s="2" t="s">
        <v>54</v>
      </c>
      <c r="AF270" s="2" t="s">
        <v>55</v>
      </c>
      <c r="AG270" s="2" t="s">
        <v>56</v>
      </c>
    </row>
    <row r="271" spans="1:33" x14ac:dyDescent="0.2">
      <c r="A271" s="3" t="s">
        <v>1022</v>
      </c>
      <c r="B271" s="3" t="s">
        <v>1023</v>
      </c>
      <c r="C271" s="3" t="s">
        <v>1024</v>
      </c>
      <c r="D271" s="3" t="s">
        <v>103</v>
      </c>
      <c r="E271" s="3" t="s">
        <v>61</v>
      </c>
      <c r="F271" s="3" t="s">
        <v>122</v>
      </c>
      <c r="G271" s="3" t="s">
        <v>115</v>
      </c>
      <c r="H271" s="3" t="s">
        <v>1025</v>
      </c>
      <c r="I271" s="3">
        <v>47</v>
      </c>
      <c r="J271" s="3" t="s">
        <v>41</v>
      </c>
      <c r="K271" s="3" t="s">
        <v>78</v>
      </c>
      <c r="L271" s="3" t="s">
        <v>45</v>
      </c>
      <c r="M271" s="3"/>
      <c r="N271" s="3" t="s">
        <v>182</v>
      </c>
      <c r="O271" s="3" t="s">
        <v>504</v>
      </c>
      <c r="P271" s="3" t="s">
        <v>505</v>
      </c>
      <c r="Q271" s="3" t="s">
        <v>69</v>
      </c>
      <c r="R271" s="3" t="s">
        <v>1026</v>
      </c>
      <c r="S271" s="3">
        <v>4</v>
      </c>
      <c r="T271" s="3">
        <v>137</v>
      </c>
      <c r="U271" s="3">
        <v>94</v>
      </c>
      <c r="V271" s="3">
        <v>64</v>
      </c>
      <c r="W271" s="3">
        <v>18</v>
      </c>
      <c r="X271" s="3">
        <v>37.5</v>
      </c>
      <c r="Y271" s="3">
        <v>22.2</v>
      </c>
      <c r="Z271" s="3">
        <v>90</v>
      </c>
      <c r="AA271" s="3" t="s">
        <v>50</v>
      </c>
      <c r="AB271" s="3" t="s">
        <v>51</v>
      </c>
      <c r="AC271" s="3" t="s">
        <v>52</v>
      </c>
      <c r="AD271" s="3" t="s">
        <v>53</v>
      </c>
      <c r="AE271" s="3" t="s">
        <v>54</v>
      </c>
      <c r="AF271" s="3" t="s">
        <v>55</v>
      </c>
      <c r="AG271" s="3" t="s">
        <v>198</v>
      </c>
    </row>
    <row r="272" spans="1:33" x14ac:dyDescent="0.2">
      <c r="A272" s="2" t="s">
        <v>1022</v>
      </c>
      <c r="B272" s="2" t="s">
        <v>1027</v>
      </c>
      <c r="C272" s="2" t="s">
        <v>1028</v>
      </c>
      <c r="D272" s="2" t="s">
        <v>60</v>
      </c>
      <c r="E272" s="2" t="s">
        <v>89</v>
      </c>
      <c r="F272" s="2" t="s">
        <v>122</v>
      </c>
      <c r="G272" s="2" t="s">
        <v>98</v>
      </c>
      <c r="H272" s="2" t="s">
        <v>1025</v>
      </c>
      <c r="I272" s="2">
        <v>47</v>
      </c>
      <c r="J272" s="2" t="s">
        <v>41</v>
      </c>
      <c r="K272" s="2" t="s">
        <v>78</v>
      </c>
      <c r="L272" s="2" t="s">
        <v>45</v>
      </c>
      <c r="M272" s="2"/>
      <c r="N272" s="2" t="s">
        <v>182</v>
      </c>
      <c r="O272" s="2" t="s">
        <v>504</v>
      </c>
      <c r="P272" s="2" t="s">
        <v>505</v>
      </c>
      <c r="Q272" s="2" t="s">
        <v>69</v>
      </c>
      <c r="R272" s="2" t="s">
        <v>1029</v>
      </c>
      <c r="S272" s="2">
        <v>4</v>
      </c>
      <c r="T272" s="2">
        <v>139</v>
      </c>
      <c r="U272" s="2">
        <v>74</v>
      </c>
      <c r="V272" s="2">
        <v>84</v>
      </c>
      <c r="W272" s="2">
        <v>16</v>
      </c>
      <c r="X272" s="2">
        <v>37.299999999999997</v>
      </c>
      <c r="Y272" s="2">
        <v>18.7</v>
      </c>
      <c r="Z272" s="2">
        <v>97</v>
      </c>
      <c r="AA272" s="2" t="s">
        <v>50</v>
      </c>
      <c r="AB272" s="2" t="s">
        <v>51</v>
      </c>
      <c r="AC272" s="2" t="s">
        <v>52</v>
      </c>
      <c r="AD272" s="2" t="s">
        <v>53</v>
      </c>
      <c r="AE272" s="2" t="s">
        <v>54</v>
      </c>
      <c r="AF272" s="2" t="s">
        <v>55</v>
      </c>
      <c r="AG272" s="2" t="s">
        <v>202</v>
      </c>
    </row>
    <row r="273" spans="1:33" x14ac:dyDescent="0.2">
      <c r="A273" s="3" t="s">
        <v>1022</v>
      </c>
      <c r="B273" s="3" t="s">
        <v>1030</v>
      </c>
      <c r="C273" s="3" t="s">
        <v>486</v>
      </c>
      <c r="D273" s="3" t="s">
        <v>36</v>
      </c>
      <c r="E273" s="3" t="s">
        <v>96</v>
      </c>
      <c r="F273" s="3" t="s">
        <v>132</v>
      </c>
      <c r="G273" s="3" t="s">
        <v>104</v>
      </c>
      <c r="H273" s="3" t="s">
        <v>1025</v>
      </c>
      <c r="I273" s="3">
        <v>47</v>
      </c>
      <c r="J273" s="3" t="s">
        <v>41</v>
      </c>
      <c r="K273" s="3" t="s">
        <v>66</v>
      </c>
      <c r="L273" s="3" t="s">
        <v>45</v>
      </c>
      <c r="M273" s="3"/>
      <c r="N273" s="3" t="s">
        <v>182</v>
      </c>
      <c r="O273" s="3" t="s">
        <v>504</v>
      </c>
      <c r="P273" s="3" t="s">
        <v>505</v>
      </c>
      <c r="Q273" s="3" t="s">
        <v>69</v>
      </c>
      <c r="R273" s="3" t="s">
        <v>518</v>
      </c>
      <c r="S273" s="3">
        <v>1</v>
      </c>
      <c r="T273" s="3">
        <v>174</v>
      </c>
      <c r="U273" s="3">
        <v>70</v>
      </c>
      <c r="V273" s="3">
        <v>90</v>
      </c>
      <c r="W273" s="3">
        <v>28</v>
      </c>
      <c r="X273" s="3">
        <v>36.1</v>
      </c>
      <c r="Y273" s="3">
        <v>28.5</v>
      </c>
      <c r="Z273" s="3">
        <v>97</v>
      </c>
      <c r="AA273" s="3" t="s">
        <v>50</v>
      </c>
      <c r="AB273" s="3" t="s">
        <v>51</v>
      </c>
      <c r="AC273" s="3" t="s">
        <v>52</v>
      </c>
      <c r="AD273" s="3" t="s">
        <v>53</v>
      </c>
      <c r="AE273" s="3" t="s">
        <v>54</v>
      </c>
      <c r="AF273" s="3" t="s">
        <v>55</v>
      </c>
      <c r="AG273" s="3" t="s">
        <v>206</v>
      </c>
    </row>
    <row r="274" spans="1:33" x14ac:dyDescent="0.2">
      <c r="A274" s="2" t="s">
        <v>1031</v>
      </c>
      <c r="B274" s="2" t="s">
        <v>1032</v>
      </c>
      <c r="C274" s="2" t="s">
        <v>1033</v>
      </c>
      <c r="D274" s="2" t="s">
        <v>95</v>
      </c>
      <c r="E274" s="2" t="s">
        <v>89</v>
      </c>
      <c r="F274" s="2" t="s">
        <v>189</v>
      </c>
      <c r="G274" s="2" t="s">
        <v>98</v>
      </c>
      <c r="H274" s="2" t="s">
        <v>1034</v>
      </c>
      <c r="I274" s="2">
        <v>77</v>
      </c>
      <c r="J274" s="2" t="s">
        <v>65</v>
      </c>
      <c r="K274" s="2" t="s">
        <v>110</v>
      </c>
      <c r="L274" s="2" t="s">
        <v>45</v>
      </c>
      <c r="M274" s="2" t="s">
        <v>80</v>
      </c>
      <c r="N274" s="2"/>
      <c r="O274" s="2" t="s">
        <v>183</v>
      </c>
      <c r="P274" s="2" t="s">
        <v>184</v>
      </c>
      <c r="Q274" s="2" t="s">
        <v>48</v>
      </c>
      <c r="R274" s="2" t="s">
        <v>1035</v>
      </c>
      <c r="S274" s="2">
        <v>3</v>
      </c>
      <c r="T274" s="2">
        <v>103</v>
      </c>
      <c r="U274" s="2">
        <v>85</v>
      </c>
      <c r="V274" s="2">
        <v>63</v>
      </c>
      <c r="W274" s="2">
        <v>21</v>
      </c>
      <c r="X274" s="2">
        <v>38.9</v>
      </c>
      <c r="Y274" s="2">
        <v>33.1</v>
      </c>
      <c r="Z274" s="2">
        <v>92</v>
      </c>
      <c r="AA274" s="2" t="s">
        <v>50</v>
      </c>
      <c r="AB274" s="2" t="s">
        <v>51</v>
      </c>
      <c r="AC274" s="2" t="s">
        <v>52</v>
      </c>
      <c r="AD274" s="2" t="s">
        <v>53</v>
      </c>
      <c r="AE274" s="2" t="s">
        <v>54</v>
      </c>
      <c r="AF274" s="2" t="s">
        <v>55</v>
      </c>
      <c r="AG274" s="2" t="s">
        <v>213</v>
      </c>
    </row>
    <row r="275" spans="1:33" x14ac:dyDescent="0.2">
      <c r="A275" s="3" t="s">
        <v>1031</v>
      </c>
      <c r="B275" s="3" t="s">
        <v>1036</v>
      </c>
      <c r="C275" s="3" t="s">
        <v>1037</v>
      </c>
      <c r="D275" s="3" t="s">
        <v>88</v>
      </c>
      <c r="E275" s="3" t="s">
        <v>89</v>
      </c>
      <c r="F275" s="3" t="s">
        <v>38</v>
      </c>
      <c r="G275" s="3" t="s">
        <v>39</v>
      </c>
      <c r="H275" s="3" t="s">
        <v>1034</v>
      </c>
      <c r="I275" s="3">
        <v>77</v>
      </c>
      <c r="J275" s="3" t="s">
        <v>65</v>
      </c>
      <c r="K275" s="3" t="s">
        <v>90</v>
      </c>
      <c r="L275" s="3" t="s">
        <v>45</v>
      </c>
      <c r="M275" s="3" t="s">
        <v>80</v>
      </c>
      <c r="N275" s="3"/>
      <c r="O275" s="3" t="s">
        <v>183</v>
      </c>
      <c r="P275" s="3" t="s">
        <v>184</v>
      </c>
      <c r="Q275" s="3" t="s">
        <v>48</v>
      </c>
      <c r="R275" s="3" t="s">
        <v>1038</v>
      </c>
      <c r="S275" s="3">
        <v>3</v>
      </c>
      <c r="T275" s="3">
        <v>124</v>
      </c>
      <c r="U275" s="3">
        <v>94</v>
      </c>
      <c r="V275" s="3">
        <v>103</v>
      </c>
      <c r="W275" s="3">
        <v>15</v>
      </c>
      <c r="X275" s="3">
        <v>38.299999999999997</v>
      </c>
      <c r="Y275" s="3">
        <v>20.100000000000001</v>
      </c>
      <c r="Z275" s="3">
        <v>96</v>
      </c>
      <c r="AA275" s="3" t="s">
        <v>50</v>
      </c>
      <c r="AB275" s="3" t="s">
        <v>51</v>
      </c>
      <c r="AC275" s="3" t="s">
        <v>52</v>
      </c>
      <c r="AD275" s="3" t="s">
        <v>53</v>
      </c>
      <c r="AE275" s="3" t="s">
        <v>54</v>
      </c>
      <c r="AF275" s="3" t="s">
        <v>55</v>
      </c>
      <c r="AG275" s="3" t="s">
        <v>216</v>
      </c>
    </row>
    <row r="276" spans="1:33" x14ac:dyDescent="0.2">
      <c r="A276" s="2" t="s">
        <v>1031</v>
      </c>
      <c r="B276" s="2" t="s">
        <v>1039</v>
      </c>
      <c r="C276" s="2" t="s">
        <v>1040</v>
      </c>
      <c r="D276" s="2" t="s">
        <v>36</v>
      </c>
      <c r="E276" s="2" t="s">
        <v>167</v>
      </c>
      <c r="F276" s="2" t="s">
        <v>219</v>
      </c>
      <c r="G276" s="2" t="s">
        <v>104</v>
      </c>
      <c r="H276" s="2" t="s">
        <v>1034</v>
      </c>
      <c r="I276" s="2">
        <v>77</v>
      </c>
      <c r="J276" s="2" t="s">
        <v>65</v>
      </c>
      <c r="K276" s="2" t="s">
        <v>116</v>
      </c>
      <c r="L276" s="2" t="s">
        <v>45</v>
      </c>
      <c r="M276" s="2" t="s">
        <v>80</v>
      </c>
      <c r="N276" s="2"/>
      <c r="O276" s="2" t="s">
        <v>183</v>
      </c>
      <c r="P276" s="2" t="s">
        <v>184</v>
      </c>
      <c r="Q276" s="2" t="s">
        <v>48</v>
      </c>
      <c r="R276" s="2" t="s">
        <v>159</v>
      </c>
      <c r="S276" s="2">
        <v>1</v>
      </c>
      <c r="T276" s="2">
        <v>99</v>
      </c>
      <c r="U276" s="2">
        <v>65</v>
      </c>
      <c r="V276" s="2">
        <v>75</v>
      </c>
      <c r="W276" s="2">
        <v>26</v>
      </c>
      <c r="X276" s="2">
        <v>38.799999999999997</v>
      </c>
      <c r="Y276" s="2">
        <v>22.1</v>
      </c>
      <c r="Z276" s="2">
        <v>89</v>
      </c>
      <c r="AA276" s="2" t="s">
        <v>50</v>
      </c>
      <c r="AB276" s="2" t="s">
        <v>51</v>
      </c>
      <c r="AC276" s="2" t="s">
        <v>52</v>
      </c>
      <c r="AD276" s="2" t="s">
        <v>53</v>
      </c>
      <c r="AE276" s="2" t="s">
        <v>54</v>
      </c>
      <c r="AF276" s="2" t="s">
        <v>55</v>
      </c>
      <c r="AG276" s="2" t="s">
        <v>221</v>
      </c>
    </row>
    <row r="277" spans="1:33" x14ac:dyDescent="0.2">
      <c r="A277" s="3" t="s">
        <v>1041</v>
      </c>
      <c r="B277" s="3" t="s">
        <v>1042</v>
      </c>
      <c r="C277" s="3" t="s">
        <v>1043</v>
      </c>
      <c r="D277" s="3" t="s">
        <v>88</v>
      </c>
      <c r="E277" s="3" t="s">
        <v>37</v>
      </c>
      <c r="F277" s="3" t="s">
        <v>189</v>
      </c>
      <c r="G277" s="3" t="s">
        <v>104</v>
      </c>
      <c r="H277" s="3" t="s">
        <v>1044</v>
      </c>
      <c r="I277" s="3">
        <v>33</v>
      </c>
      <c r="J277" s="3" t="s">
        <v>41</v>
      </c>
      <c r="K277" s="3" t="s">
        <v>90</v>
      </c>
      <c r="L277" s="3" t="s">
        <v>79</v>
      </c>
      <c r="M277" s="3" t="s">
        <v>44</v>
      </c>
      <c r="N277" s="3"/>
      <c r="O277" s="3" t="s">
        <v>504</v>
      </c>
      <c r="P277" s="3" t="s">
        <v>505</v>
      </c>
      <c r="Q277" s="3" t="s">
        <v>69</v>
      </c>
      <c r="R277" s="3" t="s">
        <v>45</v>
      </c>
      <c r="S277" s="3">
        <v>1</v>
      </c>
      <c r="T277" s="3">
        <v>144</v>
      </c>
      <c r="U277" s="3">
        <v>55</v>
      </c>
      <c r="V277" s="3">
        <v>116</v>
      </c>
      <c r="W277" s="3">
        <v>16</v>
      </c>
      <c r="X277" s="3">
        <v>37.9</v>
      </c>
      <c r="Y277" s="3">
        <v>31.1</v>
      </c>
      <c r="Z277" s="3">
        <v>92</v>
      </c>
      <c r="AA277" s="3" t="s">
        <v>50</v>
      </c>
      <c r="AB277" s="3" t="s">
        <v>51</v>
      </c>
      <c r="AC277" s="3" t="s">
        <v>52</v>
      </c>
      <c r="AD277" s="3" t="s">
        <v>53</v>
      </c>
      <c r="AE277" s="3" t="s">
        <v>54</v>
      </c>
      <c r="AF277" s="3" t="s">
        <v>55</v>
      </c>
      <c r="AG277" s="3" t="s">
        <v>160</v>
      </c>
    </row>
    <row r="278" spans="1:33" x14ac:dyDescent="0.2">
      <c r="A278" s="2" t="s">
        <v>1041</v>
      </c>
      <c r="B278" s="2" t="s">
        <v>1045</v>
      </c>
      <c r="C278" s="2" t="s">
        <v>1046</v>
      </c>
      <c r="D278" s="2" t="s">
        <v>60</v>
      </c>
      <c r="E278" s="2" t="s">
        <v>96</v>
      </c>
      <c r="F278" s="2" t="s">
        <v>38</v>
      </c>
      <c r="G278" s="2" t="s">
        <v>115</v>
      </c>
      <c r="H278" s="2" t="s">
        <v>1044</v>
      </c>
      <c r="I278" s="2">
        <v>33</v>
      </c>
      <c r="J278" s="2" t="s">
        <v>41</v>
      </c>
      <c r="K278" s="2" t="s">
        <v>116</v>
      </c>
      <c r="L278" s="2" t="s">
        <v>79</v>
      </c>
      <c r="M278" s="2" t="s">
        <v>44</v>
      </c>
      <c r="N278" s="2"/>
      <c r="O278" s="2" t="s">
        <v>504</v>
      </c>
      <c r="P278" s="2" t="s">
        <v>505</v>
      </c>
      <c r="Q278" s="2" t="s">
        <v>69</v>
      </c>
      <c r="R278" s="2" t="s">
        <v>1047</v>
      </c>
      <c r="S278" s="2">
        <v>3</v>
      </c>
      <c r="T278" s="2">
        <v>145</v>
      </c>
      <c r="U278" s="2">
        <v>105</v>
      </c>
      <c r="V278" s="2">
        <v>54</v>
      </c>
      <c r="W278" s="2">
        <v>14</v>
      </c>
      <c r="X278" s="2">
        <v>38.1</v>
      </c>
      <c r="Y278" s="2">
        <v>18.5</v>
      </c>
      <c r="Z278" s="2">
        <v>98</v>
      </c>
      <c r="AA278" s="2" t="s">
        <v>50</v>
      </c>
      <c r="AB278" s="2" t="s">
        <v>51</v>
      </c>
      <c r="AC278" s="2" t="s">
        <v>52</v>
      </c>
      <c r="AD278" s="2" t="s">
        <v>53</v>
      </c>
      <c r="AE278" s="2" t="s">
        <v>54</v>
      </c>
      <c r="AF278" s="2" t="s">
        <v>55</v>
      </c>
      <c r="AG278" s="2" t="s">
        <v>164</v>
      </c>
    </row>
    <row r="279" spans="1:33" x14ac:dyDescent="0.2">
      <c r="A279" s="3" t="s">
        <v>1041</v>
      </c>
      <c r="B279" s="3" t="s">
        <v>1048</v>
      </c>
      <c r="C279" s="3" t="s">
        <v>1049</v>
      </c>
      <c r="D279" s="3" t="s">
        <v>36</v>
      </c>
      <c r="E279" s="3" t="s">
        <v>167</v>
      </c>
      <c r="F279" s="3" t="s">
        <v>109</v>
      </c>
      <c r="G279" s="3" t="s">
        <v>39</v>
      </c>
      <c r="H279" s="3" t="s">
        <v>1044</v>
      </c>
      <c r="I279" s="3">
        <v>33</v>
      </c>
      <c r="J279" s="3" t="s">
        <v>41</v>
      </c>
      <c r="K279" s="3" t="s">
        <v>66</v>
      </c>
      <c r="L279" s="3" t="s">
        <v>79</v>
      </c>
      <c r="M279" s="3" t="s">
        <v>44</v>
      </c>
      <c r="N279" s="3"/>
      <c r="O279" s="3" t="s">
        <v>504</v>
      </c>
      <c r="P279" s="3" t="s">
        <v>505</v>
      </c>
      <c r="Q279" s="3" t="s">
        <v>69</v>
      </c>
      <c r="R279" s="3" t="s">
        <v>176</v>
      </c>
      <c r="S279" s="3">
        <v>1</v>
      </c>
      <c r="T279" s="3">
        <v>150</v>
      </c>
      <c r="U279" s="3">
        <v>96</v>
      </c>
      <c r="V279" s="3">
        <v>95</v>
      </c>
      <c r="W279" s="3">
        <v>25</v>
      </c>
      <c r="X279" s="3">
        <v>36.6</v>
      </c>
      <c r="Y279" s="3">
        <v>30.5</v>
      </c>
      <c r="Z279" s="3">
        <v>95</v>
      </c>
      <c r="AA279" s="3" t="s">
        <v>50</v>
      </c>
      <c r="AB279" s="3" t="s">
        <v>51</v>
      </c>
      <c r="AC279" s="3" t="s">
        <v>52</v>
      </c>
      <c r="AD279" s="3" t="s">
        <v>53</v>
      </c>
      <c r="AE279" s="3" t="s">
        <v>54</v>
      </c>
      <c r="AF279" s="3" t="s">
        <v>55</v>
      </c>
      <c r="AG279" s="3" t="s">
        <v>169</v>
      </c>
    </row>
    <row r="280" spans="1:33" x14ac:dyDescent="0.2">
      <c r="A280" s="2" t="s">
        <v>1041</v>
      </c>
      <c r="B280" s="2" t="s">
        <v>1050</v>
      </c>
      <c r="C280" s="2" t="s">
        <v>1051</v>
      </c>
      <c r="D280" s="2" t="s">
        <v>60</v>
      </c>
      <c r="E280" s="2" t="s">
        <v>89</v>
      </c>
      <c r="F280" s="2" t="s">
        <v>148</v>
      </c>
      <c r="G280" s="2" t="s">
        <v>63</v>
      </c>
      <c r="H280" s="2" t="s">
        <v>1044</v>
      </c>
      <c r="I280" s="2">
        <v>33</v>
      </c>
      <c r="J280" s="2" t="s">
        <v>41</v>
      </c>
      <c r="K280" s="2" t="s">
        <v>78</v>
      </c>
      <c r="L280" s="2" t="s">
        <v>79</v>
      </c>
      <c r="M280" s="2" t="s">
        <v>44</v>
      </c>
      <c r="N280" s="2"/>
      <c r="O280" s="2" t="s">
        <v>504</v>
      </c>
      <c r="P280" s="2" t="s">
        <v>505</v>
      </c>
      <c r="Q280" s="2" t="s">
        <v>69</v>
      </c>
      <c r="R280" s="2" t="s">
        <v>1052</v>
      </c>
      <c r="S280" s="2">
        <v>4</v>
      </c>
      <c r="T280" s="2">
        <v>163</v>
      </c>
      <c r="U280" s="2">
        <v>106</v>
      </c>
      <c r="V280" s="2">
        <v>55</v>
      </c>
      <c r="W280" s="2">
        <v>20</v>
      </c>
      <c r="X280" s="2">
        <v>36.4</v>
      </c>
      <c r="Y280" s="2">
        <v>42</v>
      </c>
      <c r="Z280" s="2">
        <v>91</v>
      </c>
      <c r="AA280" s="2" t="s">
        <v>50</v>
      </c>
      <c r="AB280" s="2" t="s">
        <v>51</v>
      </c>
      <c r="AC280" s="2" t="s">
        <v>52</v>
      </c>
      <c r="AD280" s="2" t="s">
        <v>53</v>
      </c>
      <c r="AE280" s="2" t="s">
        <v>54</v>
      </c>
      <c r="AF280" s="2" t="s">
        <v>55</v>
      </c>
      <c r="AG280" s="2" t="s">
        <v>173</v>
      </c>
    </row>
    <row r="281" spans="1:33" x14ac:dyDescent="0.2">
      <c r="A281" s="3" t="s">
        <v>1041</v>
      </c>
      <c r="B281" s="3" t="s">
        <v>1053</v>
      </c>
      <c r="C281" s="3" t="s">
        <v>826</v>
      </c>
      <c r="D281" s="3" t="s">
        <v>88</v>
      </c>
      <c r="E281" s="3" t="s">
        <v>96</v>
      </c>
      <c r="F281" s="3" t="s">
        <v>219</v>
      </c>
      <c r="G281" s="3" t="s">
        <v>115</v>
      </c>
      <c r="H281" s="3" t="s">
        <v>1044</v>
      </c>
      <c r="I281" s="3">
        <v>33</v>
      </c>
      <c r="J281" s="3" t="s">
        <v>41</v>
      </c>
      <c r="K281" s="3" t="s">
        <v>90</v>
      </c>
      <c r="L281" s="3" t="s">
        <v>79</v>
      </c>
      <c r="M281" s="3" t="s">
        <v>44</v>
      </c>
      <c r="N281" s="3"/>
      <c r="O281" s="3" t="s">
        <v>504</v>
      </c>
      <c r="P281" s="3" t="s">
        <v>505</v>
      </c>
      <c r="Q281" s="3" t="s">
        <v>69</v>
      </c>
      <c r="R281" s="3" t="s">
        <v>1054</v>
      </c>
      <c r="S281" s="3">
        <v>3</v>
      </c>
      <c r="T281" s="3">
        <v>157</v>
      </c>
      <c r="U281" s="3">
        <v>111</v>
      </c>
      <c r="V281" s="3">
        <v>124</v>
      </c>
      <c r="W281" s="3">
        <v>17</v>
      </c>
      <c r="X281" s="3">
        <v>37.9</v>
      </c>
      <c r="Y281" s="3">
        <v>26.5</v>
      </c>
      <c r="Z281" s="3">
        <v>94</v>
      </c>
      <c r="AA281" s="3" t="s">
        <v>50</v>
      </c>
      <c r="AB281" s="3" t="s">
        <v>51</v>
      </c>
      <c r="AC281" s="3" t="s">
        <v>52</v>
      </c>
      <c r="AD281" s="3" t="s">
        <v>53</v>
      </c>
      <c r="AE281" s="3" t="s">
        <v>54</v>
      </c>
      <c r="AF281" s="3" t="s">
        <v>55</v>
      </c>
      <c r="AG281" s="3" t="s">
        <v>177</v>
      </c>
    </row>
    <row r="282" spans="1:33" x14ac:dyDescent="0.2">
      <c r="A282" s="2" t="s">
        <v>1055</v>
      </c>
      <c r="B282" s="2" t="s">
        <v>1056</v>
      </c>
      <c r="C282" s="2" t="s">
        <v>215</v>
      </c>
      <c r="D282" s="2" t="s">
        <v>36</v>
      </c>
      <c r="E282" s="2" t="s">
        <v>89</v>
      </c>
      <c r="F282" s="2" t="s">
        <v>148</v>
      </c>
      <c r="G282" s="2" t="s">
        <v>76</v>
      </c>
      <c r="H282" s="2" t="s">
        <v>1057</v>
      </c>
      <c r="I282" s="2">
        <v>55</v>
      </c>
      <c r="J282" s="2" t="s">
        <v>41</v>
      </c>
      <c r="K282" s="2" t="s">
        <v>66</v>
      </c>
      <c r="L282" s="2" t="s">
        <v>141</v>
      </c>
      <c r="M282" s="2" t="s">
        <v>44</v>
      </c>
      <c r="N282" s="2" t="s">
        <v>182</v>
      </c>
      <c r="O282" s="2" t="s">
        <v>142</v>
      </c>
      <c r="P282" s="2" t="s">
        <v>143</v>
      </c>
      <c r="Q282" s="2" t="s">
        <v>48</v>
      </c>
      <c r="R282" s="2" t="s">
        <v>243</v>
      </c>
      <c r="S282" s="2">
        <v>1</v>
      </c>
      <c r="T282" s="2">
        <v>132</v>
      </c>
      <c r="U282" s="2">
        <v>75</v>
      </c>
      <c r="V282" s="2">
        <v>92</v>
      </c>
      <c r="W282" s="2">
        <v>22</v>
      </c>
      <c r="X282" s="2">
        <v>36</v>
      </c>
      <c r="Y282" s="2">
        <v>23.2</v>
      </c>
      <c r="Z282" s="2">
        <v>91</v>
      </c>
      <c r="AA282" s="2" t="s">
        <v>50</v>
      </c>
      <c r="AB282" s="2" t="s">
        <v>51</v>
      </c>
      <c r="AC282" s="2" t="s">
        <v>52</v>
      </c>
      <c r="AD282" s="2" t="s">
        <v>53</v>
      </c>
      <c r="AE282" s="2" t="s">
        <v>54</v>
      </c>
      <c r="AF282" s="2" t="s">
        <v>55</v>
      </c>
      <c r="AG282" s="2" t="s">
        <v>56</v>
      </c>
    </row>
    <row r="283" spans="1:33" x14ac:dyDescent="0.2">
      <c r="A283" s="3" t="s">
        <v>1058</v>
      </c>
      <c r="B283" s="3" t="s">
        <v>1059</v>
      </c>
      <c r="C283" s="3" t="s">
        <v>1060</v>
      </c>
      <c r="D283" s="3" t="s">
        <v>88</v>
      </c>
      <c r="E283" s="3" t="s">
        <v>167</v>
      </c>
      <c r="F283" s="3" t="s">
        <v>97</v>
      </c>
      <c r="G283" s="3" t="s">
        <v>76</v>
      </c>
      <c r="H283" s="3" t="s">
        <v>1061</v>
      </c>
      <c r="I283" s="3">
        <v>32</v>
      </c>
      <c r="J283" s="3" t="s">
        <v>41</v>
      </c>
      <c r="K283" s="3" t="s">
        <v>90</v>
      </c>
      <c r="L283" s="3" t="s">
        <v>45</v>
      </c>
      <c r="M283" s="3" t="s">
        <v>80</v>
      </c>
      <c r="N283" s="3" t="s">
        <v>182</v>
      </c>
      <c r="O283" s="3" t="s">
        <v>67</v>
      </c>
      <c r="P283" s="3" t="s">
        <v>68</v>
      </c>
      <c r="Q283" s="3" t="s">
        <v>69</v>
      </c>
      <c r="R283" s="3" t="s">
        <v>1062</v>
      </c>
      <c r="S283" s="3">
        <v>3</v>
      </c>
      <c r="T283" s="3">
        <v>178</v>
      </c>
      <c r="U283" s="3">
        <v>84</v>
      </c>
      <c r="V283" s="3">
        <v>86</v>
      </c>
      <c r="W283" s="3">
        <v>13</v>
      </c>
      <c r="X283" s="3">
        <v>36.4</v>
      </c>
      <c r="Y283" s="3">
        <v>21.9</v>
      </c>
      <c r="Z283" s="3">
        <v>93</v>
      </c>
      <c r="AA283" s="3" t="s">
        <v>50</v>
      </c>
      <c r="AB283" s="3" t="s">
        <v>51</v>
      </c>
      <c r="AC283" s="3" t="s">
        <v>52</v>
      </c>
      <c r="AD283" s="3" t="s">
        <v>53</v>
      </c>
      <c r="AE283" s="3" t="s">
        <v>54</v>
      </c>
      <c r="AF283" s="3" t="s">
        <v>55</v>
      </c>
      <c r="AG283" s="3" t="s">
        <v>394</v>
      </c>
    </row>
    <row r="284" spans="1:33" x14ac:dyDescent="0.2">
      <c r="A284" s="2" t="s">
        <v>1058</v>
      </c>
      <c r="B284" s="2" t="s">
        <v>1063</v>
      </c>
      <c r="C284" s="2" t="s">
        <v>1064</v>
      </c>
      <c r="D284" s="2" t="s">
        <v>95</v>
      </c>
      <c r="E284" s="2" t="s">
        <v>89</v>
      </c>
      <c r="F284" s="2" t="s">
        <v>38</v>
      </c>
      <c r="G284" s="2" t="s">
        <v>39</v>
      </c>
      <c r="H284" s="2" t="s">
        <v>1061</v>
      </c>
      <c r="I284" s="2">
        <v>32</v>
      </c>
      <c r="J284" s="2" t="s">
        <v>41</v>
      </c>
      <c r="K284" s="2" t="s">
        <v>140</v>
      </c>
      <c r="L284" s="2" t="s">
        <v>45</v>
      </c>
      <c r="M284" s="2" t="s">
        <v>80</v>
      </c>
      <c r="N284" s="2" t="s">
        <v>182</v>
      </c>
      <c r="O284" s="2" t="s">
        <v>67</v>
      </c>
      <c r="P284" s="2" t="s">
        <v>68</v>
      </c>
      <c r="Q284" s="2" t="s">
        <v>69</v>
      </c>
      <c r="R284" s="2" t="s">
        <v>460</v>
      </c>
      <c r="S284" s="2">
        <v>1</v>
      </c>
      <c r="T284" s="2">
        <v>97</v>
      </c>
      <c r="U284" s="2">
        <v>90</v>
      </c>
      <c r="V284" s="2">
        <v>75</v>
      </c>
      <c r="W284" s="2">
        <v>27</v>
      </c>
      <c r="X284" s="2">
        <v>38.5</v>
      </c>
      <c r="Y284" s="2">
        <v>19.399999999999999</v>
      </c>
      <c r="Z284" s="2">
        <v>89</v>
      </c>
      <c r="AA284" s="2" t="s">
        <v>50</v>
      </c>
      <c r="AB284" s="2" t="s">
        <v>51</v>
      </c>
      <c r="AC284" s="2" t="s">
        <v>52</v>
      </c>
      <c r="AD284" s="2" t="s">
        <v>53</v>
      </c>
      <c r="AE284" s="2" t="s">
        <v>54</v>
      </c>
      <c r="AF284" s="2" t="s">
        <v>55</v>
      </c>
      <c r="AG284" s="2" t="s">
        <v>399</v>
      </c>
    </row>
    <row r="285" spans="1:33" x14ac:dyDescent="0.2">
      <c r="A285" s="3" t="s">
        <v>1058</v>
      </c>
      <c r="B285" s="3" t="s">
        <v>1065</v>
      </c>
      <c r="C285" s="3" t="s">
        <v>1066</v>
      </c>
      <c r="D285" s="3" t="s">
        <v>36</v>
      </c>
      <c r="E285" s="3" t="s">
        <v>61</v>
      </c>
      <c r="F285" s="3" t="s">
        <v>148</v>
      </c>
      <c r="G285" s="3" t="s">
        <v>104</v>
      </c>
      <c r="H285" s="3" t="s">
        <v>1061</v>
      </c>
      <c r="I285" s="3">
        <v>32</v>
      </c>
      <c r="J285" s="3" t="s">
        <v>41</v>
      </c>
      <c r="K285" s="3" t="s">
        <v>140</v>
      </c>
      <c r="L285" s="3" t="s">
        <v>45</v>
      </c>
      <c r="M285" s="3" t="s">
        <v>80</v>
      </c>
      <c r="N285" s="3" t="s">
        <v>182</v>
      </c>
      <c r="O285" s="3" t="s">
        <v>67</v>
      </c>
      <c r="P285" s="3" t="s">
        <v>68</v>
      </c>
      <c r="Q285" s="3" t="s">
        <v>69</v>
      </c>
      <c r="R285" s="3" t="s">
        <v>1067</v>
      </c>
      <c r="S285" s="3">
        <v>2</v>
      </c>
      <c r="T285" s="3">
        <v>106</v>
      </c>
      <c r="U285" s="3">
        <v>102</v>
      </c>
      <c r="V285" s="3">
        <v>73</v>
      </c>
      <c r="W285" s="3">
        <v>26</v>
      </c>
      <c r="X285" s="3">
        <v>38.299999999999997</v>
      </c>
      <c r="Y285" s="3">
        <v>25.2</v>
      </c>
      <c r="Z285" s="3">
        <v>88</v>
      </c>
      <c r="AA285" s="3" t="s">
        <v>50</v>
      </c>
      <c r="AB285" s="3" t="s">
        <v>51</v>
      </c>
      <c r="AC285" s="3" t="s">
        <v>52</v>
      </c>
      <c r="AD285" s="3" t="s">
        <v>53</v>
      </c>
      <c r="AE285" s="3" t="s">
        <v>54</v>
      </c>
      <c r="AF285" s="3" t="s">
        <v>55</v>
      </c>
      <c r="AG285" s="3" t="s">
        <v>403</v>
      </c>
    </row>
    <row r="286" spans="1:33" x14ac:dyDescent="0.2">
      <c r="A286" s="2" t="s">
        <v>1058</v>
      </c>
      <c r="B286" s="2" t="s">
        <v>1068</v>
      </c>
      <c r="C286" s="2" t="s">
        <v>114</v>
      </c>
      <c r="D286" s="2" t="s">
        <v>95</v>
      </c>
      <c r="E286" s="2" t="s">
        <v>89</v>
      </c>
      <c r="F286" s="2" t="s">
        <v>62</v>
      </c>
      <c r="G286" s="2" t="s">
        <v>76</v>
      </c>
      <c r="H286" s="2" t="s">
        <v>1061</v>
      </c>
      <c r="I286" s="2">
        <v>32</v>
      </c>
      <c r="J286" s="2" t="s">
        <v>41</v>
      </c>
      <c r="K286" s="2" t="s">
        <v>140</v>
      </c>
      <c r="L286" s="2" t="s">
        <v>45</v>
      </c>
      <c r="M286" s="2" t="s">
        <v>80</v>
      </c>
      <c r="N286" s="2" t="s">
        <v>182</v>
      </c>
      <c r="O286" s="2" t="s">
        <v>67</v>
      </c>
      <c r="P286" s="2" t="s">
        <v>68</v>
      </c>
      <c r="Q286" s="2" t="s">
        <v>69</v>
      </c>
      <c r="R286" s="2" t="s">
        <v>1069</v>
      </c>
      <c r="S286" s="2">
        <v>2</v>
      </c>
      <c r="T286" s="2">
        <v>129</v>
      </c>
      <c r="U286" s="2">
        <v>57</v>
      </c>
      <c r="V286" s="2">
        <v>65</v>
      </c>
      <c r="W286" s="2">
        <v>13</v>
      </c>
      <c r="X286" s="2">
        <v>37.6</v>
      </c>
      <c r="Y286" s="2">
        <v>40.299999999999997</v>
      </c>
      <c r="Z286" s="2">
        <v>99</v>
      </c>
      <c r="AA286" s="2" t="s">
        <v>50</v>
      </c>
      <c r="AB286" s="2" t="s">
        <v>51</v>
      </c>
      <c r="AC286" s="2" t="s">
        <v>52</v>
      </c>
      <c r="AD286" s="2" t="s">
        <v>53</v>
      </c>
      <c r="AE286" s="2" t="s">
        <v>54</v>
      </c>
      <c r="AF286" s="2" t="s">
        <v>55</v>
      </c>
      <c r="AG286" s="2" t="s">
        <v>408</v>
      </c>
    </row>
    <row r="287" spans="1:33" x14ac:dyDescent="0.2">
      <c r="A287" s="3" t="s">
        <v>1070</v>
      </c>
      <c r="B287" s="3" t="s">
        <v>1071</v>
      </c>
      <c r="C287" s="3" t="s">
        <v>1072</v>
      </c>
      <c r="D287" s="3" t="s">
        <v>36</v>
      </c>
      <c r="E287" s="3" t="s">
        <v>37</v>
      </c>
      <c r="F287" s="3" t="s">
        <v>97</v>
      </c>
      <c r="G287" s="3" t="s">
        <v>104</v>
      </c>
      <c r="H287" s="3" t="s">
        <v>1073</v>
      </c>
      <c r="I287" s="3">
        <v>84</v>
      </c>
      <c r="J287" s="3" t="s">
        <v>41</v>
      </c>
      <c r="K287" s="3" t="s">
        <v>116</v>
      </c>
      <c r="L287" s="3" t="s">
        <v>45</v>
      </c>
      <c r="M287" s="3"/>
      <c r="N287" s="3"/>
      <c r="O287" s="3" t="s">
        <v>211</v>
      </c>
      <c r="P287" s="3" t="s">
        <v>212</v>
      </c>
      <c r="Q287" s="3" t="s">
        <v>48</v>
      </c>
      <c r="R287" s="3" t="s">
        <v>885</v>
      </c>
      <c r="S287" s="3">
        <v>1</v>
      </c>
      <c r="T287" s="3">
        <v>105</v>
      </c>
      <c r="U287" s="3">
        <v>74</v>
      </c>
      <c r="V287" s="3">
        <v>53</v>
      </c>
      <c r="W287" s="3">
        <v>26</v>
      </c>
      <c r="X287" s="3">
        <v>38.799999999999997</v>
      </c>
      <c r="Y287" s="3">
        <v>27</v>
      </c>
      <c r="Z287" s="3">
        <v>99</v>
      </c>
      <c r="AA287" s="3" t="s">
        <v>50</v>
      </c>
      <c r="AB287" s="3" t="s">
        <v>51</v>
      </c>
      <c r="AC287" s="3" t="s">
        <v>52</v>
      </c>
      <c r="AD287" s="3" t="s">
        <v>53</v>
      </c>
      <c r="AE287" s="3" t="s">
        <v>54</v>
      </c>
      <c r="AF287" s="3" t="s">
        <v>55</v>
      </c>
      <c r="AG287" s="3" t="s">
        <v>213</v>
      </c>
    </row>
    <row r="288" spans="1:33" x14ac:dyDescent="0.2">
      <c r="A288" s="2" t="s">
        <v>1070</v>
      </c>
      <c r="B288" s="2" t="s">
        <v>1074</v>
      </c>
      <c r="C288" s="2" t="s">
        <v>1006</v>
      </c>
      <c r="D288" s="2" t="s">
        <v>88</v>
      </c>
      <c r="E288" s="2" t="s">
        <v>37</v>
      </c>
      <c r="F288" s="2" t="s">
        <v>189</v>
      </c>
      <c r="G288" s="2" t="s">
        <v>76</v>
      </c>
      <c r="H288" s="2" t="s">
        <v>1073</v>
      </c>
      <c r="I288" s="2">
        <v>84</v>
      </c>
      <c r="J288" s="2" t="s">
        <v>41</v>
      </c>
      <c r="K288" s="2" t="s">
        <v>90</v>
      </c>
      <c r="L288" s="2" t="s">
        <v>45</v>
      </c>
      <c r="M288" s="2"/>
      <c r="N288" s="2"/>
      <c r="O288" s="2" t="s">
        <v>211</v>
      </c>
      <c r="P288" s="2" t="s">
        <v>212</v>
      </c>
      <c r="Q288" s="2" t="s">
        <v>48</v>
      </c>
      <c r="R288" s="2" t="s">
        <v>1075</v>
      </c>
      <c r="S288" s="2">
        <v>3</v>
      </c>
      <c r="T288" s="2">
        <v>124</v>
      </c>
      <c r="U288" s="2">
        <v>67</v>
      </c>
      <c r="V288" s="2">
        <v>71</v>
      </c>
      <c r="W288" s="2">
        <v>17</v>
      </c>
      <c r="X288" s="2">
        <v>37.4</v>
      </c>
      <c r="Y288" s="2">
        <v>20.9</v>
      </c>
      <c r="Z288" s="2">
        <v>89</v>
      </c>
      <c r="AA288" s="2" t="s">
        <v>50</v>
      </c>
      <c r="AB288" s="2" t="s">
        <v>51</v>
      </c>
      <c r="AC288" s="2" t="s">
        <v>52</v>
      </c>
      <c r="AD288" s="2" t="s">
        <v>53</v>
      </c>
      <c r="AE288" s="2" t="s">
        <v>54</v>
      </c>
      <c r="AF288" s="2" t="s">
        <v>55</v>
      </c>
      <c r="AG288" s="2" t="s">
        <v>216</v>
      </c>
    </row>
    <row r="289" spans="1:33" x14ac:dyDescent="0.2">
      <c r="A289" s="3" t="s">
        <v>1070</v>
      </c>
      <c r="B289" s="3" t="s">
        <v>1076</v>
      </c>
      <c r="C289" s="3" t="s">
        <v>1077</v>
      </c>
      <c r="D289" s="3" t="s">
        <v>60</v>
      </c>
      <c r="E289" s="3" t="s">
        <v>37</v>
      </c>
      <c r="F289" s="3" t="s">
        <v>132</v>
      </c>
      <c r="G289" s="3" t="s">
        <v>123</v>
      </c>
      <c r="H289" s="3" t="s">
        <v>1073</v>
      </c>
      <c r="I289" s="3">
        <v>84</v>
      </c>
      <c r="J289" s="3" t="s">
        <v>41</v>
      </c>
      <c r="K289" s="3" t="s">
        <v>110</v>
      </c>
      <c r="L289" s="3" t="s">
        <v>45</v>
      </c>
      <c r="M289" s="3"/>
      <c r="N289" s="3"/>
      <c r="O289" s="3" t="s">
        <v>211</v>
      </c>
      <c r="P289" s="3" t="s">
        <v>212</v>
      </c>
      <c r="Q289" s="3" t="s">
        <v>48</v>
      </c>
      <c r="R289" s="3" t="s">
        <v>1078</v>
      </c>
      <c r="S289" s="3">
        <v>4</v>
      </c>
      <c r="T289" s="3">
        <v>119</v>
      </c>
      <c r="U289" s="3">
        <v>112</v>
      </c>
      <c r="V289" s="3">
        <v>110</v>
      </c>
      <c r="W289" s="3">
        <v>21</v>
      </c>
      <c r="X289" s="3">
        <v>36.5</v>
      </c>
      <c r="Y289" s="3">
        <v>26.4</v>
      </c>
      <c r="Z289" s="3">
        <v>99</v>
      </c>
      <c r="AA289" s="3" t="s">
        <v>50</v>
      </c>
      <c r="AB289" s="3" t="s">
        <v>51</v>
      </c>
      <c r="AC289" s="3" t="s">
        <v>52</v>
      </c>
      <c r="AD289" s="3" t="s">
        <v>53</v>
      </c>
      <c r="AE289" s="3" t="s">
        <v>54</v>
      </c>
      <c r="AF289" s="3" t="s">
        <v>55</v>
      </c>
      <c r="AG289" s="3" t="s">
        <v>221</v>
      </c>
    </row>
    <row r="290" spans="1:33" x14ac:dyDescent="0.2">
      <c r="A290" s="2" t="s">
        <v>1079</v>
      </c>
      <c r="B290" s="2" t="s">
        <v>1080</v>
      </c>
      <c r="C290" s="2" t="s">
        <v>1081</v>
      </c>
      <c r="D290" s="2" t="s">
        <v>95</v>
      </c>
      <c r="E290" s="2" t="s">
        <v>61</v>
      </c>
      <c r="F290" s="2" t="s">
        <v>189</v>
      </c>
      <c r="G290" s="2" t="s">
        <v>115</v>
      </c>
      <c r="H290" s="2" t="s">
        <v>1082</v>
      </c>
      <c r="I290" s="2">
        <v>68</v>
      </c>
      <c r="J290" s="2" t="s">
        <v>65</v>
      </c>
      <c r="K290" s="2" t="s">
        <v>66</v>
      </c>
      <c r="L290" s="2" t="s">
        <v>79</v>
      </c>
      <c r="M290" s="2" t="s">
        <v>125</v>
      </c>
      <c r="N290" s="2" t="s">
        <v>81</v>
      </c>
      <c r="O290" s="2" t="s">
        <v>82</v>
      </c>
      <c r="P290" s="2" t="s">
        <v>83</v>
      </c>
      <c r="Q290" s="2" t="s">
        <v>69</v>
      </c>
      <c r="R290" s="2" t="s">
        <v>1083</v>
      </c>
      <c r="S290" s="2">
        <v>4</v>
      </c>
      <c r="T290" s="2">
        <v>163</v>
      </c>
      <c r="U290" s="2">
        <v>104</v>
      </c>
      <c r="V290" s="2">
        <v>56</v>
      </c>
      <c r="W290" s="2">
        <v>27</v>
      </c>
      <c r="X290" s="2">
        <v>38.4</v>
      </c>
      <c r="Y290" s="2">
        <v>33.700000000000003</v>
      </c>
      <c r="Z290" s="2">
        <v>88</v>
      </c>
      <c r="AA290" s="2" t="s">
        <v>50</v>
      </c>
      <c r="AB290" s="2" t="s">
        <v>51</v>
      </c>
      <c r="AC290" s="2" t="s">
        <v>52</v>
      </c>
      <c r="AD290" s="2" t="s">
        <v>53</v>
      </c>
      <c r="AE290" s="2" t="s">
        <v>54</v>
      </c>
      <c r="AF290" s="2" t="s">
        <v>55</v>
      </c>
      <c r="AG290" s="2" t="s">
        <v>160</v>
      </c>
    </row>
    <row r="291" spans="1:33" x14ac:dyDescent="0.2">
      <c r="A291" s="3" t="s">
        <v>1079</v>
      </c>
      <c r="B291" s="3" t="s">
        <v>1084</v>
      </c>
      <c r="C291" s="3" t="s">
        <v>1028</v>
      </c>
      <c r="D291" s="3" t="s">
        <v>36</v>
      </c>
      <c r="E291" s="3" t="s">
        <v>96</v>
      </c>
      <c r="F291" s="3" t="s">
        <v>219</v>
      </c>
      <c r="G291" s="3" t="s">
        <v>115</v>
      </c>
      <c r="H291" s="3" t="s">
        <v>1082</v>
      </c>
      <c r="I291" s="3">
        <v>68</v>
      </c>
      <c r="J291" s="3" t="s">
        <v>65</v>
      </c>
      <c r="K291" s="3" t="s">
        <v>42</v>
      </c>
      <c r="L291" s="3" t="s">
        <v>79</v>
      </c>
      <c r="M291" s="3" t="s">
        <v>125</v>
      </c>
      <c r="N291" s="3" t="s">
        <v>81</v>
      </c>
      <c r="O291" s="3" t="s">
        <v>82</v>
      </c>
      <c r="P291" s="3" t="s">
        <v>83</v>
      </c>
      <c r="Q291" s="3" t="s">
        <v>69</v>
      </c>
      <c r="R291" s="3" t="s">
        <v>1085</v>
      </c>
      <c r="S291" s="3">
        <v>4</v>
      </c>
      <c r="T291" s="3">
        <v>118</v>
      </c>
      <c r="U291" s="3">
        <v>77</v>
      </c>
      <c r="V291" s="3">
        <v>64</v>
      </c>
      <c r="W291" s="3">
        <v>27</v>
      </c>
      <c r="X291" s="3">
        <v>37.1</v>
      </c>
      <c r="Y291" s="3">
        <v>42</v>
      </c>
      <c r="Z291" s="3">
        <v>91</v>
      </c>
      <c r="AA291" s="3" t="s">
        <v>50</v>
      </c>
      <c r="AB291" s="3" t="s">
        <v>51</v>
      </c>
      <c r="AC291" s="3" t="s">
        <v>52</v>
      </c>
      <c r="AD291" s="3" t="s">
        <v>53</v>
      </c>
      <c r="AE291" s="3" t="s">
        <v>54</v>
      </c>
      <c r="AF291" s="3" t="s">
        <v>55</v>
      </c>
      <c r="AG291" s="3" t="s">
        <v>164</v>
      </c>
    </row>
    <row r="292" spans="1:33" x14ac:dyDescent="0.2">
      <c r="A292" s="2" t="s">
        <v>1079</v>
      </c>
      <c r="B292" s="2" t="s">
        <v>1086</v>
      </c>
      <c r="C292" s="2" t="s">
        <v>582</v>
      </c>
      <c r="D292" s="2" t="s">
        <v>88</v>
      </c>
      <c r="E292" s="2" t="s">
        <v>96</v>
      </c>
      <c r="F292" s="2" t="s">
        <v>132</v>
      </c>
      <c r="G292" s="2" t="s">
        <v>39</v>
      </c>
      <c r="H292" s="2" t="s">
        <v>1082</v>
      </c>
      <c r="I292" s="2">
        <v>68</v>
      </c>
      <c r="J292" s="2" t="s">
        <v>65</v>
      </c>
      <c r="K292" s="2" t="s">
        <v>140</v>
      </c>
      <c r="L292" s="2" t="s">
        <v>79</v>
      </c>
      <c r="M292" s="2" t="s">
        <v>125</v>
      </c>
      <c r="N292" s="2" t="s">
        <v>81</v>
      </c>
      <c r="O292" s="2" t="s">
        <v>82</v>
      </c>
      <c r="P292" s="2" t="s">
        <v>83</v>
      </c>
      <c r="Q292" s="2" t="s">
        <v>69</v>
      </c>
      <c r="R292" s="2" t="s">
        <v>243</v>
      </c>
      <c r="S292" s="2">
        <v>1</v>
      </c>
      <c r="T292" s="2">
        <v>126</v>
      </c>
      <c r="U292" s="2">
        <v>89</v>
      </c>
      <c r="V292" s="2">
        <v>88</v>
      </c>
      <c r="W292" s="2">
        <v>18</v>
      </c>
      <c r="X292" s="2">
        <v>38.299999999999997</v>
      </c>
      <c r="Y292" s="2">
        <v>20.5</v>
      </c>
      <c r="Z292" s="2">
        <v>94</v>
      </c>
      <c r="AA292" s="2" t="s">
        <v>50</v>
      </c>
      <c r="AB292" s="2" t="s">
        <v>51</v>
      </c>
      <c r="AC292" s="2" t="s">
        <v>52</v>
      </c>
      <c r="AD292" s="2" t="s">
        <v>53</v>
      </c>
      <c r="AE292" s="2" t="s">
        <v>54</v>
      </c>
      <c r="AF292" s="2" t="s">
        <v>55</v>
      </c>
      <c r="AG292" s="2" t="s">
        <v>169</v>
      </c>
    </row>
    <row r="293" spans="1:33" x14ac:dyDescent="0.2">
      <c r="A293" s="3" t="s">
        <v>1079</v>
      </c>
      <c r="B293" s="3" t="s">
        <v>1087</v>
      </c>
      <c r="C293" s="3" t="s">
        <v>577</v>
      </c>
      <c r="D293" s="3" t="s">
        <v>103</v>
      </c>
      <c r="E293" s="3" t="s">
        <v>37</v>
      </c>
      <c r="F293" s="3" t="s">
        <v>97</v>
      </c>
      <c r="G293" s="3" t="s">
        <v>98</v>
      </c>
      <c r="H293" s="3" t="s">
        <v>1082</v>
      </c>
      <c r="I293" s="3">
        <v>68</v>
      </c>
      <c r="J293" s="3" t="s">
        <v>65</v>
      </c>
      <c r="K293" s="3" t="s">
        <v>110</v>
      </c>
      <c r="L293" s="3" t="s">
        <v>79</v>
      </c>
      <c r="M293" s="3" t="s">
        <v>125</v>
      </c>
      <c r="N293" s="3" t="s">
        <v>81</v>
      </c>
      <c r="O293" s="3" t="s">
        <v>82</v>
      </c>
      <c r="P293" s="3" t="s">
        <v>83</v>
      </c>
      <c r="Q293" s="3" t="s">
        <v>69</v>
      </c>
      <c r="R293" s="3" t="s">
        <v>1088</v>
      </c>
      <c r="S293" s="3">
        <v>4</v>
      </c>
      <c r="T293" s="3">
        <v>117</v>
      </c>
      <c r="U293" s="3">
        <v>65</v>
      </c>
      <c r="V293" s="3">
        <v>86</v>
      </c>
      <c r="W293" s="3">
        <v>13</v>
      </c>
      <c r="X293" s="3">
        <v>36.700000000000003</v>
      </c>
      <c r="Y293" s="3">
        <v>37.299999999999997</v>
      </c>
      <c r="Z293" s="3">
        <v>93</v>
      </c>
      <c r="AA293" s="3" t="s">
        <v>50</v>
      </c>
      <c r="AB293" s="3" t="s">
        <v>51</v>
      </c>
      <c r="AC293" s="3" t="s">
        <v>52</v>
      </c>
      <c r="AD293" s="3" t="s">
        <v>53</v>
      </c>
      <c r="AE293" s="3" t="s">
        <v>54</v>
      </c>
      <c r="AF293" s="3" t="s">
        <v>55</v>
      </c>
      <c r="AG293" s="3" t="s">
        <v>173</v>
      </c>
    </row>
    <row r="294" spans="1:33" x14ac:dyDescent="0.2">
      <c r="A294" s="2" t="s">
        <v>1079</v>
      </c>
      <c r="B294" s="2" t="s">
        <v>1089</v>
      </c>
      <c r="C294" s="2" t="s">
        <v>1090</v>
      </c>
      <c r="D294" s="2" t="s">
        <v>103</v>
      </c>
      <c r="E294" s="2" t="s">
        <v>61</v>
      </c>
      <c r="F294" s="2" t="s">
        <v>97</v>
      </c>
      <c r="G294" s="2" t="s">
        <v>123</v>
      </c>
      <c r="H294" s="2" t="s">
        <v>1082</v>
      </c>
      <c r="I294" s="2">
        <v>68</v>
      </c>
      <c r="J294" s="2" t="s">
        <v>65</v>
      </c>
      <c r="K294" s="2" t="s">
        <v>66</v>
      </c>
      <c r="L294" s="2" t="s">
        <v>79</v>
      </c>
      <c r="M294" s="2" t="s">
        <v>125</v>
      </c>
      <c r="N294" s="2" t="s">
        <v>81</v>
      </c>
      <c r="O294" s="2" t="s">
        <v>82</v>
      </c>
      <c r="P294" s="2" t="s">
        <v>83</v>
      </c>
      <c r="Q294" s="2" t="s">
        <v>69</v>
      </c>
      <c r="R294" s="2" t="s">
        <v>1091</v>
      </c>
      <c r="S294" s="2">
        <v>4</v>
      </c>
      <c r="T294" s="2">
        <v>149</v>
      </c>
      <c r="U294" s="2">
        <v>75</v>
      </c>
      <c r="V294" s="2">
        <v>57</v>
      </c>
      <c r="W294" s="2">
        <v>19</v>
      </c>
      <c r="X294" s="2">
        <v>37</v>
      </c>
      <c r="Y294" s="2">
        <v>29.1</v>
      </c>
      <c r="Z294" s="2">
        <v>95</v>
      </c>
      <c r="AA294" s="2" t="s">
        <v>50</v>
      </c>
      <c r="AB294" s="2" t="s">
        <v>51</v>
      </c>
      <c r="AC294" s="2" t="s">
        <v>52</v>
      </c>
      <c r="AD294" s="2" t="s">
        <v>53</v>
      </c>
      <c r="AE294" s="2" t="s">
        <v>54</v>
      </c>
      <c r="AF294" s="2" t="s">
        <v>55</v>
      </c>
      <c r="AG294" s="2" t="s">
        <v>177</v>
      </c>
    </row>
    <row r="295" spans="1:33" x14ac:dyDescent="0.2">
      <c r="A295" s="3" t="s">
        <v>1092</v>
      </c>
      <c r="B295" s="3" t="s">
        <v>1093</v>
      </c>
      <c r="C295" s="3" t="s">
        <v>451</v>
      </c>
      <c r="D295" s="3" t="s">
        <v>60</v>
      </c>
      <c r="E295" s="3" t="s">
        <v>89</v>
      </c>
      <c r="F295" s="3" t="s">
        <v>148</v>
      </c>
      <c r="G295" s="3" t="s">
        <v>39</v>
      </c>
      <c r="H295" s="3" t="s">
        <v>1094</v>
      </c>
      <c r="I295" s="3">
        <v>37</v>
      </c>
      <c r="J295" s="3" t="s">
        <v>41</v>
      </c>
      <c r="K295" s="3" t="s">
        <v>66</v>
      </c>
      <c r="L295" s="3" t="s">
        <v>141</v>
      </c>
      <c r="M295" s="3" t="s">
        <v>80</v>
      </c>
      <c r="N295" s="3" t="s">
        <v>182</v>
      </c>
      <c r="O295" s="3" t="s">
        <v>183</v>
      </c>
      <c r="P295" s="3" t="s">
        <v>184</v>
      </c>
      <c r="Q295" s="3" t="s">
        <v>48</v>
      </c>
      <c r="R295" s="3" t="s">
        <v>393</v>
      </c>
      <c r="S295" s="3">
        <v>1</v>
      </c>
      <c r="T295" s="3">
        <v>122</v>
      </c>
      <c r="U295" s="3">
        <v>103</v>
      </c>
      <c r="V295" s="3">
        <v>101</v>
      </c>
      <c r="W295" s="3">
        <v>27</v>
      </c>
      <c r="X295" s="3">
        <v>39</v>
      </c>
      <c r="Y295" s="3">
        <v>38</v>
      </c>
      <c r="Z295" s="3">
        <v>99</v>
      </c>
      <c r="AA295" s="3" t="s">
        <v>50</v>
      </c>
      <c r="AB295" s="3" t="s">
        <v>51</v>
      </c>
      <c r="AC295" s="3" t="s">
        <v>52</v>
      </c>
      <c r="AD295" s="3" t="s">
        <v>53</v>
      </c>
      <c r="AE295" s="3" t="s">
        <v>54</v>
      </c>
      <c r="AF295" s="3" t="s">
        <v>55</v>
      </c>
      <c r="AG295" s="3" t="s">
        <v>186</v>
      </c>
    </row>
    <row r="296" spans="1:33" x14ac:dyDescent="0.2">
      <c r="A296" s="2" t="s">
        <v>1092</v>
      </c>
      <c r="B296" s="2" t="s">
        <v>1095</v>
      </c>
      <c r="C296" s="2" t="s">
        <v>396</v>
      </c>
      <c r="D296" s="2" t="s">
        <v>60</v>
      </c>
      <c r="E296" s="2" t="s">
        <v>61</v>
      </c>
      <c r="F296" s="2" t="s">
        <v>132</v>
      </c>
      <c r="G296" s="2" t="s">
        <v>39</v>
      </c>
      <c r="H296" s="2" t="s">
        <v>1094</v>
      </c>
      <c r="I296" s="2">
        <v>37</v>
      </c>
      <c r="J296" s="2" t="s">
        <v>41</v>
      </c>
      <c r="K296" s="2" t="s">
        <v>116</v>
      </c>
      <c r="L296" s="2" t="s">
        <v>141</v>
      </c>
      <c r="M296" s="2" t="s">
        <v>80</v>
      </c>
      <c r="N296" s="2" t="s">
        <v>182</v>
      </c>
      <c r="O296" s="2" t="s">
        <v>183</v>
      </c>
      <c r="P296" s="2" t="s">
        <v>184</v>
      </c>
      <c r="Q296" s="2" t="s">
        <v>48</v>
      </c>
      <c r="R296" s="2" t="s">
        <v>243</v>
      </c>
      <c r="S296" s="2">
        <v>1</v>
      </c>
      <c r="T296" s="2">
        <v>172</v>
      </c>
      <c r="U296" s="2">
        <v>59</v>
      </c>
      <c r="V296" s="2">
        <v>118</v>
      </c>
      <c r="W296" s="2">
        <v>27</v>
      </c>
      <c r="X296" s="2">
        <v>36</v>
      </c>
      <c r="Y296" s="2">
        <v>33.5</v>
      </c>
      <c r="Z296" s="2">
        <v>100</v>
      </c>
      <c r="AA296" s="2" t="s">
        <v>50</v>
      </c>
      <c r="AB296" s="2" t="s">
        <v>51</v>
      </c>
      <c r="AC296" s="2" t="s">
        <v>52</v>
      </c>
      <c r="AD296" s="2" t="s">
        <v>53</v>
      </c>
      <c r="AE296" s="2" t="s">
        <v>54</v>
      </c>
      <c r="AF296" s="2" t="s">
        <v>55</v>
      </c>
      <c r="AG296" s="2" t="s">
        <v>191</v>
      </c>
    </row>
    <row r="297" spans="1:33" x14ac:dyDescent="0.2">
      <c r="A297" s="3" t="s">
        <v>1096</v>
      </c>
      <c r="B297" s="3" t="s">
        <v>1097</v>
      </c>
      <c r="C297" s="3" t="s">
        <v>1098</v>
      </c>
      <c r="D297" s="3" t="s">
        <v>103</v>
      </c>
      <c r="E297" s="3" t="s">
        <v>96</v>
      </c>
      <c r="F297" s="3" t="s">
        <v>132</v>
      </c>
      <c r="G297" s="3" t="s">
        <v>115</v>
      </c>
      <c r="H297" s="3" t="s">
        <v>1099</v>
      </c>
      <c r="I297" s="3">
        <v>66</v>
      </c>
      <c r="J297" s="3" t="s">
        <v>65</v>
      </c>
      <c r="K297" s="3" t="s">
        <v>110</v>
      </c>
      <c r="L297" s="3" t="s">
        <v>43</v>
      </c>
      <c r="M297" s="3" t="s">
        <v>80</v>
      </c>
      <c r="N297" s="3"/>
      <c r="O297" s="3" t="s">
        <v>126</v>
      </c>
      <c r="P297" s="3" t="s">
        <v>127</v>
      </c>
      <c r="Q297" s="3" t="s">
        <v>69</v>
      </c>
      <c r="R297" s="3" t="s">
        <v>163</v>
      </c>
      <c r="S297" s="3">
        <v>1</v>
      </c>
      <c r="T297" s="3"/>
      <c r="U297" s="3">
        <v>110</v>
      </c>
      <c r="V297" s="3">
        <v>113</v>
      </c>
      <c r="W297" s="3">
        <v>14</v>
      </c>
      <c r="X297" s="3">
        <v>39.200000000000003</v>
      </c>
      <c r="Y297" s="3">
        <v>36.6</v>
      </c>
      <c r="Z297" s="3">
        <v>89</v>
      </c>
      <c r="AA297" s="3" t="s">
        <v>50</v>
      </c>
      <c r="AB297" s="3" t="s">
        <v>51</v>
      </c>
      <c r="AC297" s="3" t="s">
        <v>52</v>
      </c>
      <c r="AD297" s="3" t="s">
        <v>53</v>
      </c>
      <c r="AE297" s="3" t="s">
        <v>54</v>
      </c>
      <c r="AF297" s="3" t="s">
        <v>55</v>
      </c>
      <c r="AG297" s="3" t="s">
        <v>160</v>
      </c>
    </row>
    <row r="298" spans="1:33" x14ac:dyDescent="0.2">
      <c r="A298" s="2" t="s">
        <v>1096</v>
      </c>
      <c r="B298" s="2" t="s">
        <v>1100</v>
      </c>
      <c r="C298" s="4" t="s">
        <v>313</v>
      </c>
      <c r="D298" s="2" t="s">
        <v>95</v>
      </c>
      <c r="E298" s="2" t="s">
        <v>61</v>
      </c>
      <c r="F298" s="2" t="s">
        <v>148</v>
      </c>
      <c r="G298" s="2" t="s">
        <v>104</v>
      </c>
      <c r="H298" s="2" t="s">
        <v>1099</v>
      </c>
      <c r="I298" s="4"/>
      <c r="J298" s="2" t="s">
        <v>65</v>
      </c>
      <c r="K298" s="2" t="s">
        <v>78</v>
      </c>
      <c r="L298" s="2" t="s">
        <v>43</v>
      </c>
      <c r="M298" s="2" t="s">
        <v>80</v>
      </c>
      <c r="N298" s="2"/>
      <c r="O298" s="2" t="s">
        <v>126</v>
      </c>
      <c r="P298" s="2" t="s">
        <v>127</v>
      </c>
      <c r="Q298" s="2" t="s">
        <v>69</v>
      </c>
      <c r="R298" s="2" t="s">
        <v>393</v>
      </c>
      <c r="S298" s="2">
        <v>1</v>
      </c>
      <c r="T298" s="4">
        <v>151</v>
      </c>
      <c r="U298" s="4">
        <v>82</v>
      </c>
      <c r="V298" s="2">
        <v>82</v>
      </c>
      <c r="W298" s="2">
        <v>25</v>
      </c>
      <c r="X298" s="2">
        <v>37.200000000000003</v>
      </c>
      <c r="Y298" s="4">
        <v>23.9</v>
      </c>
      <c r="Z298" s="2">
        <v>93</v>
      </c>
      <c r="AA298" s="2" t="s">
        <v>50</v>
      </c>
      <c r="AB298" s="2" t="s">
        <v>51</v>
      </c>
      <c r="AC298" s="2" t="s">
        <v>52</v>
      </c>
      <c r="AD298" s="2" t="s">
        <v>53</v>
      </c>
      <c r="AE298" s="2" t="s">
        <v>54</v>
      </c>
      <c r="AF298" s="2" t="s">
        <v>698</v>
      </c>
      <c r="AG298" s="2" t="s">
        <v>164</v>
      </c>
    </row>
    <row r="299" spans="1:33" x14ac:dyDescent="0.2">
      <c r="A299" s="3" t="s">
        <v>1096</v>
      </c>
      <c r="B299" s="3" t="s">
        <v>1101</v>
      </c>
      <c r="C299" s="3" t="s">
        <v>473</v>
      </c>
      <c r="D299" s="3" t="s">
        <v>88</v>
      </c>
      <c r="E299" s="3" t="s">
        <v>89</v>
      </c>
      <c r="F299" s="3" t="s">
        <v>122</v>
      </c>
      <c r="G299" s="3" t="s">
        <v>138</v>
      </c>
      <c r="H299" s="3" t="s">
        <v>1099</v>
      </c>
      <c r="I299" s="3">
        <v>66</v>
      </c>
      <c r="J299" s="3" t="s">
        <v>65</v>
      </c>
      <c r="K299" s="3" t="s">
        <v>78</v>
      </c>
      <c r="L299" s="3" t="s">
        <v>43</v>
      </c>
      <c r="M299" s="3" t="s">
        <v>80</v>
      </c>
      <c r="N299" s="3"/>
      <c r="O299" s="3" t="s">
        <v>126</v>
      </c>
      <c r="P299" s="3" t="s">
        <v>127</v>
      </c>
      <c r="Q299" s="3" t="s">
        <v>69</v>
      </c>
      <c r="R299" s="3" t="s">
        <v>1102</v>
      </c>
      <c r="S299" s="3">
        <v>3</v>
      </c>
      <c r="T299" s="3">
        <v>105</v>
      </c>
      <c r="U299" s="3">
        <v>84</v>
      </c>
      <c r="V299" s="3">
        <v>102</v>
      </c>
      <c r="W299" s="3">
        <v>14</v>
      </c>
      <c r="X299" s="3">
        <v>38.299999999999997</v>
      </c>
      <c r="Y299" s="3">
        <v>45.5</v>
      </c>
      <c r="Z299" s="3">
        <v>100</v>
      </c>
      <c r="AA299" s="3" t="s">
        <v>50</v>
      </c>
      <c r="AB299" s="3" t="s">
        <v>51</v>
      </c>
      <c r="AC299" s="3" t="s">
        <v>52</v>
      </c>
      <c r="AD299" s="3" t="s">
        <v>53</v>
      </c>
      <c r="AE299" s="3" t="s">
        <v>54</v>
      </c>
      <c r="AF299" s="3" t="s">
        <v>55</v>
      </c>
      <c r="AG299" s="3" t="s">
        <v>169</v>
      </c>
    </row>
    <row r="300" spans="1:33" x14ac:dyDescent="0.2">
      <c r="A300" s="2" t="s">
        <v>1096</v>
      </c>
      <c r="B300" s="2" t="s">
        <v>1103</v>
      </c>
      <c r="C300" s="2" t="s">
        <v>1104</v>
      </c>
      <c r="D300" s="2" t="s">
        <v>36</v>
      </c>
      <c r="E300" s="2" t="s">
        <v>61</v>
      </c>
      <c r="F300" s="2" t="s">
        <v>75</v>
      </c>
      <c r="G300" s="2" t="s">
        <v>104</v>
      </c>
      <c r="H300" s="2" t="s">
        <v>1099</v>
      </c>
      <c r="I300" s="2">
        <v>66</v>
      </c>
      <c r="J300" s="2" t="s">
        <v>65</v>
      </c>
      <c r="K300" s="2" t="s">
        <v>116</v>
      </c>
      <c r="L300" s="2" t="s">
        <v>43</v>
      </c>
      <c r="M300" s="2" t="s">
        <v>80</v>
      </c>
      <c r="N300" s="2"/>
      <c r="O300" s="2" t="s">
        <v>126</v>
      </c>
      <c r="P300" s="2" t="s">
        <v>127</v>
      </c>
      <c r="Q300" s="2" t="s">
        <v>69</v>
      </c>
      <c r="R300" s="2" t="s">
        <v>1105</v>
      </c>
      <c r="S300" s="2">
        <v>3</v>
      </c>
      <c r="T300" s="2">
        <v>123</v>
      </c>
      <c r="U300" s="2"/>
      <c r="V300" s="2">
        <v>76</v>
      </c>
      <c r="W300" s="2">
        <v>24</v>
      </c>
      <c r="X300" s="2">
        <v>37.5</v>
      </c>
      <c r="Y300" s="2">
        <v>32.1</v>
      </c>
      <c r="Z300" s="2">
        <v>93</v>
      </c>
      <c r="AA300" s="2" t="s">
        <v>50</v>
      </c>
      <c r="AB300" s="2" t="s">
        <v>51</v>
      </c>
      <c r="AC300" s="2" t="s">
        <v>52</v>
      </c>
      <c r="AD300" s="2" t="s">
        <v>53</v>
      </c>
      <c r="AE300" s="2" t="s">
        <v>54</v>
      </c>
      <c r="AF300" s="2" t="s">
        <v>55</v>
      </c>
      <c r="AG300" s="2" t="s">
        <v>173</v>
      </c>
    </row>
    <row r="301" spans="1:33" x14ac:dyDescent="0.2">
      <c r="A301" s="3" t="s">
        <v>1096</v>
      </c>
      <c r="B301" s="3" t="s">
        <v>1106</v>
      </c>
      <c r="C301" s="4" t="s">
        <v>1107</v>
      </c>
      <c r="D301" s="3" t="s">
        <v>36</v>
      </c>
      <c r="E301" s="3" t="s">
        <v>167</v>
      </c>
      <c r="F301" s="3" t="s">
        <v>75</v>
      </c>
      <c r="G301" s="3" t="s">
        <v>63</v>
      </c>
      <c r="H301" s="3" t="s">
        <v>1099</v>
      </c>
      <c r="I301" s="4"/>
      <c r="J301" s="3" t="s">
        <v>65</v>
      </c>
      <c r="K301" s="3" t="s">
        <v>90</v>
      </c>
      <c r="L301" s="3" t="s">
        <v>43</v>
      </c>
      <c r="M301" s="3" t="s">
        <v>80</v>
      </c>
      <c r="N301" s="3"/>
      <c r="O301" s="3" t="s">
        <v>126</v>
      </c>
      <c r="P301" s="3" t="s">
        <v>127</v>
      </c>
      <c r="Q301" s="3" t="s">
        <v>69</v>
      </c>
      <c r="R301" s="3" t="s">
        <v>1108</v>
      </c>
      <c r="S301" s="3">
        <v>3</v>
      </c>
      <c r="T301" s="4"/>
      <c r="U301" s="4">
        <v>104</v>
      </c>
      <c r="V301" s="3">
        <v>97</v>
      </c>
      <c r="W301" s="3">
        <v>17</v>
      </c>
      <c r="X301" s="3">
        <v>36.299999999999997</v>
      </c>
      <c r="Y301" s="4">
        <v>31.9</v>
      </c>
      <c r="Z301" s="3">
        <v>98</v>
      </c>
      <c r="AA301" s="3" t="s">
        <v>50</v>
      </c>
      <c r="AB301" s="3" t="s">
        <v>51</v>
      </c>
      <c r="AC301" s="3" t="s">
        <v>52</v>
      </c>
      <c r="AD301" s="3" t="s">
        <v>53</v>
      </c>
      <c r="AE301" s="3" t="s">
        <v>54</v>
      </c>
      <c r="AF301" s="3" t="s">
        <v>407</v>
      </c>
      <c r="AG301" s="3" t="s">
        <v>177</v>
      </c>
    </row>
    <row r="302" spans="1:33" x14ac:dyDescent="0.2">
      <c r="A302" s="2" t="s">
        <v>1109</v>
      </c>
      <c r="B302" s="2" t="s">
        <v>1110</v>
      </c>
      <c r="C302" s="2" t="s">
        <v>963</v>
      </c>
      <c r="D302" s="2" t="s">
        <v>60</v>
      </c>
      <c r="E302" s="2" t="s">
        <v>61</v>
      </c>
      <c r="F302" s="2" t="s">
        <v>219</v>
      </c>
      <c r="G302" s="2" t="s">
        <v>39</v>
      </c>
      <c r="H302" s="2" t="s">
        <v>1111</v>
      </c>
      <c r="I302" s="2">
        <v>48</v>
      </c>
      <c r="J302" s="2" t="s">
        <v>65</v>
      </c>
      <c r="K302" s="2" t="s">
        <v>78</v>
      </c>
      <c r="L302" s="2" t="s">
        <v>79</v>
      </c>
      <c r="M302" s="2" t="s">
        <v>44</v>
      </c>
      <c r="N302" s="2" t="s">
        <v>182</v>
      </c>
      <c r="O302" s="2" t="s">
        <v>283</v>
      </c>
      <c r="P302" s="2" t="s">
        <v>284</v>
      </c>
      <c r="Q302" s="2" t="s">
        <v>69</v>
      </c>
      <c r="R302" s="2" t="s">
        <v>1112</v>
      </c>
      <c r="S302" s="2">
        <v>3</v>
      </c>
      <c r="T302" s="2">
        <v>170</v>
      </c>
      <c r="U302" s="2">
        <v>100</v>
      </c>
      <c r="V302" s="2">
        <v>81</v>
      </c>
      <c r="W302" s="2">
        <v>18</v>
      </c>
      <c r="X302" s="2">
        <v>38.1</v>
      </c>
      <c r="Y302" s="2">
        <v>38.200000000000003</v>
      </c>
      <c r="Z302" s="2">
        <v>89</v>
      </c>
      <c r="AA302" s="2" t="s">
        <v>50</v>
      </c>
      <c r="AB302" s="2" t="s">
        <v>51</v>
      </c>
      <c r="AC302" s="2" t="s">
        <v>52</v>
      </c>
      <c r="AD302" s="2" t="s">
        <v>53</v>
      </c>
      <c r="AE302" s="2" t="s">
        <v>54</v>
      </c>
      <c r="AF302" s="2" t="s">
        <v>55</v>
      </c>
      <c r="AG302" s="2" t="s">
        <v>71</v>
      </c>
    </row>
    <row r="303" spans="1:33" x14ac:dyDescent="0.2">
      <c r="A303" s="3" t="s">
        <v>1113</v>
      </c>
      <c r="B303" s="3" t="s">
        <v>1114</v>
      </c>
      <c r="C303" s="4" t="s">
        <v>313</v>
      </c>
      <c r="D303" s="3" t="s">
        <v>36</v>
      </c>
      <c r="E303" s="3" t="s">
        <v>167</v>
      </c>
      <c r="F303" s="3" t="s">
        <v>122</v>
      </c>
      <c r="G303" s="3" t="s">
        <v>104</v>
      </c>
      <c r="H303" s="3" t="s">
        <v>1115</v>
      </c>
      <c r="I303" s="4">
        <v>78</v>
      </c>
      <c r="J303" s="3" t="s">
        <v>65</v>
      </c>
      <c r="K303" s="3" t="s">
        <v>116</v>
      </c>
      <c r="L303" s="3" t="s">
        <v>141</v>
      </c>
      <c r="M303" s="3"/>
      <c r="N303" s="3" t="s">
        <v>81</v>
      </c>
      <c r="O303" s="3" t="s">
        <v>46</v>
      </c>
      <c r="P303" s="3" t="s">
        <v>47</v>
      </c>
      <c r="Q303" s="3" t="s">
        <v>48</v>
      </c>
      <c r="R303" s="3" t="s">
        <v>1116</v>
      </c>
      <c r="S303" s="3">
        <v>3</v>
      </c>
      <c r="T303" s="4">
        <v>96</v>
      </c>
      <c r="U303" s="4">
        <v>111</v>
      </c>
      <c r="V303" s="3">
        <v>84</v>
      </c>
      <c r="W303" s="3">
        <v>23</v>
      </c>
      <c r="X303" s="3">
        <v>39.1</v>
      </c>
      <c r="Y303" s="4">
        <v>37</v>
      </c>
      <c r="Z303" s="3">
        <v>88</v>
      </c>
      <c r="AA303" s="3" t="s">
        <v>50</v>
      </c>
      <c r="AB303" s="3" t="s">
        <v>51</v>
      </c>
      <c r="AC303" s="3" t="s">
        <v>52</v>
      </c>
      <c r="AD303" s="3" t="s">
        <v>53</v>
      </c>
      <c r="AE303" s="3" t="s">
        <v>54</v>
      </c>
      <c r="AF303" s="3" t="s">
        <v>318</v>
      </c>
      <c r="AG303" s="3" t="s">
        <v>186</v>
      </c>
    </row>
    <row r="304" spans="1:33" x14ac:dyDescent="0.2">
      <c r="A304" s="2" t="s">
        <v>1113</v>
      </c>
      <c r="B304" s="2" t="s">
        <v>1117</v>
      </c>
      <c r="C304" s="4" t="s">
        <v>313</v>
      </c>
      <c r="D304" s="2" t="s">
        <v>60</v>
      </c>
      <c r="E304" s="2" t="s">
        <v>89</v>
      </c>
      <c r="F304" s="2" t="s">
        <v>122</v>
      </c>
      <c r="G304" s="2" t="s">
        <v>98</v>
      </c>
      <c r="H304" s="2" t="s">
        <v>1115</v>
      </c>
      <c r="I304" s="4"/>
      <c r="J304" s="2" t="s">
        <v>65</v>
      </c>
      <c r="K304" s="2" t="s">
        <v>42</v>
      </c>
      <c r="L304" s="2" t="s">
        <v>141</v>
      </c>
      <c r="M304" s="2"/>
      <c r="N304" s="2" t="s">
        <v>81</v>
      </c>
      <c r="O304" s="2" t="s">
        <v>46</v>
      </c>
      <c r="P304" s="2" t="s">
        <v>47</v>
      </c>
      <c r="Q304" s="2" t="s">
        <v>48</v>
      </c>
      <c r="R304" s="2" t="s">
        <v>159</v>
      </c>
      <c r="S304" s="2">
        <v>1</v>
      </c>
      <c r="T304" s="4"/>
      <c r="U304" s="4"/>
      <c r="V304" s="2">
        <v>102</v>
      </c>
      <c r="W304" s="2">
        <v>15</v>
      </c>
      <c r="X304" s="2">
        <v>37.799999999999997</v>
      </c>
      <c r="Y304" s="4">
        <v>-9</v>
      </c>
      <c r="Z304" s="2">
        <v>98</v>
      </c>
      <c r="AA304" s="2" t="s">
        <v>50</v>
      </c>
      <c r="AB304" s="2" t="s">
        <v>51</v>
      </c>
      <c r="AC304" s="2" t="s">
        <v>52</v>
      </c>
      <c r="AD304" s="2" t="s">
        <v>53</v>
      </c>
      <c r="AE304" s="2" t="s">
        <v>54</v>
      </c>
      <c r="AF304" s="2" t="s">
        <v>1118</v>
      </c>
      <c r="AG304" s="2" t="s">
        <v>191</v>
      </c>
    </row>
    <row r="305" spans="1:33" x14ac:dyDescent="0.2">
      <c r="A305" s="3" t="s">
        <v>1119</v>
      </c>
      <c r="B305" s="3" t="s">
        <v>1120</v>
      </c>
      <c r="C305" s="3" t="s">
        <v>1121</v>
      </c>
      <c r="D305" s="3" t="s">
        <v>36</v>
      </c>
      <c r="E305" s="3" t="s">
        <v>37</v>
      </c>
      <c r="F305" s="3" t="s">
        <v>132</v>
      </c>
      <c r="G305" s="3" t="s">
        <v>39</v>
      </c>
      <c r="H305" s="3" t="s">
        <v>1122</v>
      </c>
      <c r="I305" s="3">
        <v>33</v>
      </c>
      <c r="J305" s="3" t="s">
        <v>41</v>
      </c>
      <c r="K305" s="3" t="s">
        <v>42</v>
      </c>
      <c r="L305" s="3" t="s">
        <v>43</v>
      </c>
      <c r="M305" s="3"/>
      <c r="N305" s="3" t="s">
        <v>182</v>
      </c>
      <c r="O305" s="3" t="s">
        <v>195</v>
      </c>
      <c r="P305" s="3" t="s">
        <v>196</v>
      </c>
      <c r="Q305" s="3" t="s">
        <v>69</v>
      </c>
      <c r="R305" s="3" t="s">
        <v>1123</v>
      </c>
      <c r="S305" s="3">
        <v>3</v>
      </c>
      <c r="T305" s="3">
        <v>112</v>
      </c>
      <c r="U305" s="3">
        <v>73</v>
      </c>
      <c r="V305" s="3">
        <v>100</v>
      </c>
      <c r="W305" s="3">
        <v>13</v>
      </c>
      <c r="X305" s="3">
        <v>37.5</v>
      </c>
      <c r="Y305" s="3">
        <v>45.9</v>
      </c>
      <c r="Z305" s="3">
        <v>97</v>
      </c>
      <c r="AA305" s="3" t="s">
        <v>50</v>
      </c>
      <c r="AB305" s="3" t="s">
        <v>51</v>
      </c>
      <c r="AC305" s="3" t="s">
        <v>52</v>
      </c>
      <c r="AD305" s="3" t="s">
        <v>53</v>
      </c>
      <c r="AE305" s="3" t="s">
        <v>54</v>
      </c>
      <c r="AF305" s="3" t="s">
        <v>55</v>
      </c>
      <c r="AG305" s="3" t="s">
        <v>160</v>
      </c>
    </row>
    <row r="306" spans="1:33" x14ac:dyDescent="0.2">
      <c r="A306" s="2" t="s">
        <v>1119</v>
      </c>
      <c r="B306" s="2" t="s">
        <v>1124</v>
      </c>
      <c r="C306" s="2" t="s">
        <v>1008</v>
      </c>
      <c r="D306" s="2" t="s">
        <v>103</v>
      </c>
      <c r="E306" s="2" t="s">
        <v>89</v>
      </c>
      <c r="F306" s="2" t="s">
        <v>122</v>
      </c>
      <c r="G306" s="2" t="s">
        <v>98</v>
      </c>
      <c r="H306" s="2" t="s">
        <v>1122</v>
      </c>
      <c r="I306" s="2">
        <v>33</v>
      </c>
      <c r="J306" s="2" t="s">
        <v>41</v>
      </c>
      <c r="K306" s="2" t="s">
        <v>116</v>
      </c>
      <c r="L306" s="2" t="s">
        <v>43</v>
      </c>
      <c r="M306" s="2"/>
      <c r="N306" s="2" t="s">
        <v>182</v>
      </c>
      <c r="O306" s="2" t="s">
        <v>195</v>
      </c>
      <c r="P306" s="2" t="s">
        <v>196</v>
      </c>
      <c r="Q306" s="2" t="s">
        <v>69</v>
      </c>
      <c r="R306" s="2" t="s">
        <v>1125</v>
      </c>
      <c r="S306" s="2">
        <v>4</v>
      </c>
      <c r="T306" s="2">
        <v>118</v>
      </c>
      <c r="U306" s="2">
        <v>104</v>
      </c>
      <c r="V306" s="2">
        <v>63</v>
      </c>
      <c r="W306" s="2">
        <v>13</v>
      </c>
      <c r="X306" s="2">
        <v>39.1</v>
      </c>
      <c r="Y306" s="2">
        <v>23.2</v>
      </c>
      <c r="Z306" s="2">
        <v>92</v>
      </c>
      <c r="AA306" s="2" t="s">
        <v>50</v>
      </c>
      <c r="AB306" s="2" t="s">
        <v>51</v>
      </c>
      <c r="AC306" s="2" t="s">
        <v>52</v>
      </c>
      <c r="AD306" s="2" t="s">
        <v>53</v>
      </c>
      <c r="AE306" s="2" t="s">
        <v>54</v>
      </c>
      <c r="AF306" s="2" t="s">
        <v>55</v>
      </c>
      <c r="AG306" s="2" t="s">
        <v>164</v>
      </c>
    </row>
    <row r="307" spans="1:33" x14ac:dyDescent="0.2">
      <c r="A307" s="3" t="s">
        <v>1119</v>
      </c>
      <c r="B307" s="3" t="s">
        <v>1126</v>
      </c>
      <c r="C307" s="3" t="s">
        <v>741</v>
      </c>
      <c r="D307" s="3" t="s">
        <v>95</v>
      </c>
      <c r="E307" s="3" t="s">
        <v>167</v>
      </c>
      <c r="F307" s="3" t="s">
        <v>38</v>
      </c>
      <c r="G307" s="3" t="s">
        <v>76</v>
      </c>
      <c r="H307" s="3" t="s">
        <v>1122</v>
      </c>
      <c r="I307" s="3">
        <v>33</v>
      </c>
      <c r="J307" s="3" t="s">
        <v>41</v>
      </c>
      <c r="K307" s="3" t="s">
        <v>78</v>
      </c>
      <c r="L307" s="3" t="s">
        <v>43</v>
      </c>
      <c r="M307" s="3"/>
      <c r="N307" s="3" t="s">
        <v>182</v>
      </c>
      <c r="O307" s="3" t="s">
        <v>195</v>
      </c>
      <c r="P307" s="3" t="s">
        <v>196</v>
      </c>
      <c r="Q307" s="3" t="s">
        <v>69</v>
      </c>
      <c r="R307" s="3" t="s">
        <v>144</v>
      </c>
      <c r="S307" s="3">
        <v>1</v>
      </c>
      <c r="T307" s="3">
        <v>104</v>
      </c>
      <c r="U307" s="3">
        <v>59</v>
      </c>
      <c r="V307" s="3">
        <v>93</v>
      </c>
      <c r="W307" s="3">
        <v>16</v>
      </c>
      <c r="X307" s="3">
        <v>37.4</v>
      </c>
      <c r="Y307" s="3">
        <v>43.1</v>
      </c>
      <c r="Z307" s="3">
        <v>89</v>
      </c>
      <c r="AA307" s="3" t="s">
        <v>50</v>
      </c>
      <c r="AB307" s="3" t="s">
        <v>51</v>
      </c>
      <c r="AC307" s="3" t="s">
        <v>52</v>
      </c>
      <c r="AD307" s="3" t="s">
        <v>53</v>
      </c>
      <c r="AE307" s="3" t="s">
        <v>54</v>
      </c>
      <c r="AF307" s="3" t="s">
        <v>55</v>
      </c>
      <c r="AG307" s="3" t="s">
        <v>169</v>
      </c>
    </row>
    <row r="308" spans="1:33" x14ac:dyDescent="0.2">
      <c r="A308" s="2" t="s">
        <v>1119</v>
      </c>
      <c r="B308" s="2" t="s">
        <v>1127</v>
      </c>
      <c r="C308" s="2" t="s">
        <v>1128</v>
      </c>
      <c r="D308" s="2" t="s">
        <v>103</v>
      </c>
      <c r="E308" s="2" t="s">
        <v>37</v>
      </c>
      <c r="F308" s="2" t="s">
        <v>132</v>
      </c>
      <c r="G308" s="2" t="s">
        <v>98</v>
      </c>
      <c r="H308" s="2" t="s">
        <v>1122</v>
      </c>
      <c r="I308" s="2">
        <v>33</v>
      </c>
      <c r="J308" s="2" t="s">
        <v>41</v>
      </c>
      <c r="K308" s="2" t="s">
        <v>110</v>
      </c>
      <c r="L308" s="2" t="s">
        <v>43</v>
      </c>
      <c r="M308" s="2"/>
      <c r="N308" s="2" t="s">
        <v>182</v>
      </c>
      <c r="O308" s="2" t="s">
        <v>195</v>
      </c>
      <c r="P308" s="2" t="s">
        <v>196</v>
      </c>
      <c r="Q308" s="2" t="s">
        <v>69</v>
      </c>
      <c r="R308" s="2" t="s">
        <v>268</v>
      </c>
      <c r="S308" s="2">
        <v>1</v>
      </c>
      <c r="T308" s="2">
        <v>95</v>
      </c>
      <c r="U308" s="2">
        <v>97</v>
      </c>
      <c r="V308" s="2">
        <v>108</v>
      </c>
      <c r="W308" s="2">
        <v>20</v>
      </c>
      <c r="X308" s="2">
        <v>37.299999999999997</v>
      </c>
      <c r="Y308" s="2">
        <v>38.200000000000003</v>
      </c>
      <c r="Z308" s="2">
        <v>98</v>
      </c>
      <c r="AA308" s="2" t="s">
        <v>50</v>
      </c>
      <c r="AB308" s="2" t="s">
        <v>51</v>
      </c>
      <c r="AC308" s="2" t="s">
        <v>52</v>
      </c>
      <c r="AD308" s="2" t="s">
        <v>53</v>
      </c>
      <c r="AE308" s="2" t="s">
        <v>54</v>
      </c>
      <c r="AF308" s="2" t="s">
        <v>55</v>
      </c>
      <c r="AG308" s="2" t="s">
        <v>173</v>
      </c>
    </row>
    <row r="309" spans="1:33" x14ac:dyDescent="0.2">
      <c r="A309" s="3" t="s">
        <v>1119</v>
      </c>
      <c r="B309" s="3" t="s">
        <v>1129</v>
      </c>
      <c r="C309" s="3" t="s">
        <v>848</v>
      </c>
      <c r="D309" s="3" t="s">
        <v>95</v>
      </c>
      <c r="E309" s="3" t="s">
        <v>167</v>
      </c>
      <c r="F309" s="3" t="s">
        <v>189</v>
      </c>
      <c r="G309" s="3" t="s">
        <v>115</v>
      </c>
      <c r="H309" s="3" t="s">
        <v>1122</v>
      </c>
      <c r="I309" s="3">
        <v>33</v>
      </c>
      <c r="J309" s="3" t="s">
        <v>41</v>
      </c>
      <c r="K309" s="3" t="s">
        <v>90</v>
      </c>
      <c r="L309" s="3" t="s">
        <v>43</v>
      </c>
      <c r="M309" s="3"/>
      <c r="N309" s="3" t="s">
        <v>182</v>
      </c>
      <c r="O309" s="3" t="s">
        <v>195</v>
      </c>
      <c r="P309" s="3" t="s">
        <v>196</v>
      </c>
      <c r="Q309" s="3" t="s">
        <v>69</v>
      </c>
      <c r="R309" s="3" t="s">
        <v>1130</v>
      </c>
      <c r="S309" s="3">
        <v>3</v>
      </c>
      <c r="T309" s="3">
        <v>143</v>
      </c>
      <c r="U309" s="3">
        <v>114</v>
      </c>
      <c r="V309" s="3">
        <v>75</v>
      </c>
      <c r="W309" s="3">
        <v>17</v>
      </c>
      <c r="X309" s="3">
        <v>36.200000000000003</v>
      </c>
      <c r="Y309" s="3">
        <v>45.9</v>
      </c>
      <c r="Z309" s="3">
        <v>95</v>
      </c>
      <c r="AA309" s="3" t="s">
        <v>50</v>
      </c>
      <c r="AB309" s="3" t="s">
        <v>51</v>
      </c>
      <c r="AC309" s="3" t="s">
        <v>52</v>
      </c>
      <c r="AD309" s="3" t="s">
        <v>53</v>
      </c>
      <c r="AE309" s="3" t="s">
        <v>54</v>
      </c>
      <c r="AF309" s="3" t="s">
        <v>55</v>
      </c>
      <c r="AG309" s="3" t="s">
        <v>177</v>
      </c>
    </row>
    <row r="310" spans="1:33" x14ac:dyDescent="0.2">
      <c r="A310" s="2" t="s">
        <v>1131</v>
      </c>
      <c r="B310" s="2" t="s">
        <v>1132</v>
      </c>
      <c r="C310" s="2" t="s">
        <v>1133</v>
      </c>
      <c r="D310" s="2" t="s">
        <v>60</v>
      </c>
      <c r="E310" s="2" t="s">
        <v>37</v>
      </c>
      <c r="F310" s="2" t="s">
        <v>109</v>
      </c>
      <c r="G310" s="2" t="s">
        <v>123</v>
      </c>
      <c r="H310" s="2" t="s">
        <v>1134</v>
      </c>
      <c r="I310" s="2">
        <v>67</v>
      </c>
      <c r="J310" s="2" t="s">
        <v>41</v>
      </c>
      <c r="K310" s="2" t="s">
        <v>42</v>
      </c>
      <c r="L310" s="2" t="s">
        <v>141</v>
      </c>
      <c r="M310" s="2" t="s">
        <v>44</v>
      </c>
      <c r="N310" s="2" t="s">
        <v>81</v>
      </c>
      <c r="O310" s="2" t="s">
        <v>183</v>
      </c>
      <c r="P310" s="2" t="s">
        <v>184</v>
      </c>
      <c r="Q310" s="2" t="s">
        <v>48</v>
      </c>
      <c r="R310" s="2" t="s">
        <v>1135</v>
      </c>
      <c r="S310" s="2">
        <v>3</v>
      </c>
      <c r="T310" s="2">
        <v>134</v>
      </c>
      <c r="U310" s="2">
        <v>66</v>
      </c>
      <c r="V310" s="2">
        <v>53</v>
      </c>
      <c r="W310" s="2">
        <v>12</v>
      </c>
      <c r="X310" s="2">
        <v>39.200000000000003</v>
      </c>
      <c r="Y310" s="2">
        <v>24.3</v>
      </c>
      <c r="Z310" s="2">
        <v>92</v>
      </c>
      <c r="AA310" s="2" t="s">
        <v>50</v>
      </c>
      <c r="AB310" s="2" t="s">
        <v>51</v>
      </c>
      <c r="AC310" s="2" t="s">
        <v>52</v>
      </c>
      <c r="AD310" s="2" t="s">
        <v>53</v>
      </c>
      <c r="AE310" s="2" t="s">
        <v>54</v>
      </c>
      <c r="AF310" s="2" t="s">
        <v>55</v>
      </c>
      <c r="AG310" s="2" t="s">
        <v>213</v>
      </c>
    </row>
    <row r="311" spans="1:33" x14ac:dyDescent="0.2">
      <c r="A311" s="3" t="s">
        <v>1131</v>
      </c>
      <c r="B311" s="3" t="s">
        <v>1136</v>
      </c>
      <c r="C311" s="3" t="s">
        <v>275</v>
      </c>
      <c r="D311" s="3" t="s">
        <v>60</v>
      </c>
      <c r="E311" s="3" t="s">
        <v>37</v>
      </c>
      <c r="F311" s="3" t="s">
        <v>38</v>
      </c>
      <c r="G311" s="3" t="s">
        <v>98</v>
      </c>
      <c r="H311" s="3" t="s">
        <v>1134</v>
      </c>
      <c r="I311" s="3">
        <v>67</v>
      </c>
      <c r="J311" s="3" t="s">
        <v>41</v>
      </c>
      <c r="K311" s="3" t="s">
        <v>116</v>
      </c>
      <c r="L311" s="3" t="s">
        <v>141</v>
      </c>
      <c r="M311" s="3" t="s">
        <v>44</v>
      </c>
      <c r="N311" s="3" t="s">
        <v>81</v>
      </c>
      <c r="O311" s="3" t="s">
        <v>183</v>
      </c>
      <c r="P311" s="3" t="s">
        <v>184</v>
      </c>
      <c r="Q311" s="3" t="s">
        <v>48</v>
      </c>
      <c r="R311" s="3" t="s">
        <v>1137</v>
      </c>
      <c r="S311" s="3">
        <v>2</v>
      </c>
      <c r="T311" s="3">
        <v>160</v>
      </c>
      <c r="U311" s="3">
        <v>79</v>
      </c>
      <c r="V311" s="3">
        <v>66</v>
      </c>
      <c r="W311" s="3">
        <v>22</v>
      </c>
      <c r="X311" s="3">
        <v>37.700000000000003</v>
      </c>
      <c r="Y311" s="3">
        <v>44.3</v>
      </c>
      <c r="Z311" s="3">
        <v>98</v>
      </c>
      <c r="AA311" s="3" t="s">
        <v>50</v>
      </c>
      <c r="AB311" s="3" t="s">
        <v>51</v>
      </c>
      <c r="AC311" s="3" t="s">
        <v>52</v>
      </c>
      <c r="AD311" s="3" t="s">
        <v>53</v>
      </c>
      <c r="AE311" s="3" t="s">
        <v>54</v>
      </c>
      <c r="AF311" s="3" t="s">
        <v>55</v>
      </c>
      <c r="AG311" s="3" t="s">
        <v>216</v>
      </c>
    </row>
    <row r="312" spans="1:33" x14ac:dyDescent="0.2">
      <c r="A312" s="2" t="s">
        <v>1131</v>
      </c>
      <c r="B312" s="2" t="s">
        <v>1138</v>
      </c>
      <c r="C312" s="2" t="s">
        <v>1139</v>
      </c>
      <c r="D312" s="2" t="s">
        <v>88</v>
      </c>
      <c r="E312" s="2" t="s">
        <v>37</v>
      </c>
      <c r="F312" s="2" t="s">
        <v>122</v>
      </c>
      <c r="G312" s="2" t="s">
        <v>63</v>
      </c>
      <c r="H312" s="2" t="s">
        <v>1134</v>
      </c>
      <c r="I312" s="2">
        <v>67</v>
      </c>
      <c r="J312" s="2" t="s">
        <v>41</v>
      </c>
      <c r="K312" s="2" t="s">
        <v>78</v>
      </c>
      <c r="L312" s="2" t="s">
        <v>141</v>
      </c>
      <c r="M312" s="2" t="s">
        <v>44</v>
      </c>
      <c r="N312" s="2" t="s">
        <v>81</v>
      </c>
      <c r="O312" s="2" t="s">
        <v>183</v>
      </c>
      <c r="P312" s="2" t="s">
        <v>184</v>
      </c>
      <c r="Q312" s="2" t="s">
        <v>48</v>
      </c>
      <c r="R312" s="2" t="s">
        <v>1140</v>
      </c>
      <c r="S312" s="2">
        <v>3</v>
      </c>
      <c r="T312" s="2">
        <v>137</v>
      </c>
      <c r="U312" s="2">
        <v>110</v>
      </c>
      <c r="V312" s="2">
        <v>53</v>
      </c>
      <c r="W312" s="2">
        <v>23</v>
      </c>
      <c r="X312" s="2">
        <v>36.4</v>
      </c>
      <c r="Y312" s="2">
        <v>22.4</v>
      </c>
      <c r="Z312" s="2">
        <v>88</v>
      </c>
      <c r="AA312" s="2" t="s">
        <v>50</v>
      </c>
      <c r="AB312" s="2" t="s">
        <v>51</v>
      </c>
      <c r="AC312" s="2" t="s">
        <v>52</v>
      </c>
      <c r="AD312" s="2" t="s">
        <v>53</v>
      </c>
      <c r="AE312" s="2" t="s">
        <v>54</v>
      </c>
      <c r="AF312" s="2" t="s">
        <v>55</v>
      </c>
      <c r="AG312" s="2" t="s">
        <v>221</v>
      </c>
    </row>
    <row r="313" spans="1:33" x14ac:dyDescent="0.2">
      <c r="A313" s="3" t="s">
        <v>1141</v>
      </c>
      <c r="B313" s="3" t="s">
        <v>1142</v>
      </c>
      <c r="C313" s="3" t="s">
        <v>242</v>
      </c>
      <c r="D313" s="3" t="s">
        <v>36</v>
      </c>
      <c r="E313" s="3" t="s">
        <v>89</v>
      </c>
      <c r="F313" s="3" t="s">
        <v>38</v>
      </c>
      <c r="G313" s="3" t="s">
        <v>98</v>
      </c>
      <c r="H313" s="3" t="s">
        <v>1143</v>
      </c>
      <c r="I313" s="3">
        <v>26</v>
      </c>
      <c r="J313" s="3" t="s">
        <v>41</v>
      </c>
      <c r="K313" s="3" t="s">
        <v>140</v>
      </c>
      <c r="L313" s="3" t="s">
        <v>141</v>
      </c>
      <c r="M313" s="3" t="s">
        <v>125</v>
      </c>
      <c r="N313" s="3" t="s">
        <v>45</v>
      </c>
      <c r="O313" s="3" t="s">
        <v>67</v>
      </c>
      <c r="P313" s="3" t="s">
        <v>68</v>
      </c>
      <c r="Q313" s="3" t="s">
        <v>69</v>
      </c>
      <c r="R313" s="3" t="s">
        <v>1144</v>
      </c>
      <c r="S313" s="3">
        <v>3</v>
      </c>
      <c r="T313" s="3">
        <v>144</v>
      </c>
      <c r="U313" s="3">
        <v>74</v>
      </c>
      <c r="V313" s="3">
        <v>122</v>
      </c>
      <c r="W313" s="3">
        <v>15</v>
      </c>
      <c r="X313" s="3">
        <v>36.1</v>
      </c>
      <c r="Y313" s="3">
        <v>22.4</v>
      </c>
      <c r="Z313" s="3">
        <v>88</v>
      </c>
      <c r="AA313" s="3" t="s">
        <v>50</v>
      </c>
      <c r="AB313" s="3" t="s">
        <v>51</v>
      </c>
      <c r="AC313" s="3" t="s">
        <v>52</v>
      </c>
      <c r="AD313" s="3" t="s">
        <v>53</v>
      </c>
      <c r="AE313" s="3" t="s">
        <v>54</v>
      </c>
      <c r="AF313" s="3" t="s">
        <v>55</v>
      </c>
      <c r="AG313" s="3" t="s">
        <v>85</v>
      </c>
    </row>
    <row r="314" spans="1:33" x14ac:dyDescent="0.2">
      <c r="A314" s="2" t="s">
        <v>1141</v>
      </c>
      <c r="B314" s="2" t="s">
        <v>1145</v>
      </c>
      <c r="C314" s="2" t="s">
        <v>1146</v>
      </c>
      <c r="D314" s="2" t="s">
        <v>103</v>
      </c>
      <c r="E314" s="2" t="s">
        <v>37</v>
      </c>
      <c r="F314" s="2" t="s">
        <v>97</v>
      </c>
      <c r="G314" s="2" t="s">
        <v>104</v>
      </c>
      <c r="H314" s="2" t="s">
        <v>1143</v>
      </c>
      <c r="I314" s="2">
        <v>26</v>
      </c>
      <c r="J314" s="2" t="s">
        <v>41</v>
      </c>
      <c r="K314" s="2" t="s">
        <v>78</v>
      </c>
      <c r="L314" s="2" t="s">
        <v>141</v>
      </c>
      <c r="M314" s="2" t="s">
        <v>125</v>
      </c>
      <c r="N314" s="2" t="s">
        <v>45</v>
      </c>
      <c r="O314" s="2" t="s">
        <v>67</v>
      </c>
      <c r="P314" s="2" t="s">
        <v>68</v>
      </c>
      <c r="Q314" s="2" t="s">
        <v>69</v>
      </c>
      <c r="R314" s="2" t="s">
        <v>163</v>
      </c>
      <c r="S314" s="2">
        <v>1</v>
      </c>
      <c r="T314" s="2">
        <v>99</v>
      </c>
      <c r="U314" s="2">
        <v>61</v>
      </c>
      <c r="V314" s="2">
        <v>114</v>
      </c>
      <c r="W314" s="2">
        <v>22</v>
      </c>
      <c r="X314" s="2">
        <v>38.5</v>
      </c>
      <c r="Y314" s="2">
        <v>17.899999999999999</v>
      </c>
      <c r="Z314" s="2">
        <v>93</v>
      </c>
      <c r="AA314" s="2" t="s">
        <v>50</v>
      </c>
      <c r="AB314" s="2" t="s">
        <v>51</v>
      </c>
      <c r="AC314" s="2" t="s">
        <v>52</v>
      </c>
      <c r="AD314" s="2" t="s">
        <v>53</v>
      </c>
      <c r="AE314" s="2" t="s">
        <v>54</v>
      </c>
      <c r="AF314" s="2" t="s">
        <v>55</v>
      </c>
      <c r="AG314" s="2" t="s">
        <v>92</v>
      </c>
    </row>
    <row r="315" spans="1:33" x14ac:dyDescent="0.2">
      <c r="A315" s="3" t="s">
        <v>1141</v>
      </c>
      <c r="B315" s="3" t="s">
        <v>1147</v>
      </c>
      <c r="C315" s="3" t="s">
        <v>1148</v>
      </c>
      <c r="D315" s="3" t="s">
        <v>88</v>
      </c>
      <c r="E315" s="3" t="s">
        <v>61</v>
      </c>
      <c r="F315" s="3" t="s">
        <v>219</v>
      </c>
      <c r="G315" s="3" t="s">
        <v>63</v>
      </c>
      <c r="H315" s="3" t="s">
        <v>1143</v>
      </c>
      <c r="I315" s="3">
        <v>26</v>
      </c>
      <c r="J315" s="3" t="s">
        <v>41</v>
      </c>
      <c r="K315" s="3" t="s">
        <v>116</v>
      </c>
      <c r="L315" s="3" t="s">
        <v>141</v>
      </c>
      <c r="M315" s="3" t="s">
        <v>125</v>
      </c>
      <c r="N315" s="3" t="s">
        <v>45</v>
      </c>
      <c r="O315" s="3" t="s">
        <v>67</v>
      </c>
      <c r="P315" s="3" t="s">
        <v>68</v>
      </c>
      <c r="Q315" s="3" t="s">
        <v>69</v>
      </c>
      <c r="R315" s="3" t="s">
        <v>1149</v>
      </c>
      <c r="S315" s="3">
        <v>2</v>
      </c>
      <c r="T315" s="3">
        <v>168</v>
      </c>
      <c r="U315" s="3">
        <v>101</v>
      </c>
      <c r="V315" s="3">
        <v>102</v>
      </c>
      <c r="W315" s="3">
        <v>15</v>
      </c>
      <c r="X315" s="3">
        <v>38</v>
      </c>
      <c r="Y315" s="3">
        <v>32.4</v>
      </c>
      <c r="Z315" s="3">
        <v>92</v>
      </c>
      <c r="AA315" s="3" t="s">
        <v>50</v>
      </c>
      <c r="AB315" s="3" t="s">
        <v>51</v>
      </c>
      <c r="AC315" s="3" t="s">
        <v>52</v>
      </c>
      <c r="AD315" s="3" t="s">
        <v>53</v>
      </c>
      <c r="AE315" s="3" t="s">
        <v>54</v>
      </c>
      <c r="AF315" s="3" t="s">
        <v>55</v>
      </c>
      <c r="AG315" s="3" t="s">
        <v>100</v>
      </c>
    </row>
    <row r="316" spans="1:33" x14ac:dyDescent="0.2">
      <c r="A316" s="2" t="s">
        <v>1141</v>
      </c>
      <c r="B316" s="2" t="s">
        <v>1150</v>
      </c>
      <c r="C316" s="2" t="s">
        <v>1151</v>
      </c>
      <c r="D316" s="2" t="s">
        <v>36</v>
      </c>
      <c r="E316" s="2" t="s">
        <v>37</v>
      </c>
      <c r="F316" s="2" t="s">
        <v>189</v>
      </c>
      <c r="G316" s="2" t="s">
        <v>63</v>
      </c>
      <c r="H316" s="2" t="s">
        <v>1143</v>
      </c>
      <c r="I316" s="2">
        <v>26</v>
      </c>
      <c r="J316" s="2" t="s">
        <v>41</v>
      </c>
      <c r="K316" s="2" t="s">
        <v>66</v>
      </c>
      <c r="L316" s="2" t="s">
        <v>141</v>
      </c>
      <c r="M316" s="2" t="s">
        <v>125</v>
      </c>
      <c r="N316" s="2" t="s">
        <v>45</v>
      </c>
      <c r="O316" s="2" t="s">
        <v>67</v>
      </c>
      <c r="P316" s="2" t="s">
        <v>68</v>
      </c>
      <c r="Q316" s="2" t="s">
        <v>69</v>
      </c>
      <c r="R316" s="2" t="s">
        <v>722</v>
      </c>
      <c r="S316" s="2">
        <v>2</v>
      </c>
      <c r="T316" s="2">
        <v>122</v>
      </c>
      <c r="U316" s="2">
        <v>80</v>
      </c>
      <c r="V316" s="2">
        <v>92</v>
      </c>
      <c r="W316" s="2">
        <v>15</v>
      </c>
      <c r="X316" s="2">
        <v>39.200000000000003</v>
      </c>
      <c r="Y316" s="2">
        <v>45.3</v>
      </c>
      <c r="Z316" s="2">
        <v>95</v>
      </c>
      <c r="AA316" s="2" t="s">
        <v>50</v>
      </c>
      <c r="AB316" s="2" t="s">
        <v>51</v>
      </c>
      <c r="AC316" s="2" t="s">
        <v>52</v>
      </c>
      <c r="AD316" s="2" t="s">
        <v>53</v>
      </c>
      <c r="AE316" s="2" t="s">
        <v>54</v>
      </c>
      <c r="AF316" s="2" t="s">
        <v>55</v>
      </c>
      <c r="AG316" s="2" t="s">
        <v>106</v>
      </c>
    </row>
    <row r="317" spans="1:33" x14ac:dyDescent="0.2">
      <c r="A317" s="3" t="s">
        <v>1141</v>
      </c>
      <c r="B317" s="3" t="s">
        <v>1152</v>
      </c>
      <c r="C317" s="3" t="s">
        <v>1153</v>
      </c>
      <c r="D317" s="3" t="s">
        <v>36</v>
      </c>
      <c r="E317" s="3" t="s">
        <v>89</v>
      </c>
      <c r="F317" s="3" t="s">
        <v>219</v>
      </c>
      <c r="G317" s="3" t="s">
        <v>123</v>
      </c>
      <c r="H317" s="3" t="s">
        <v>1143</v>
      </c>
      <c r="I317" s="3">
        <v>26</v>
      </c>
      <c r="J317" s="3" t="s">
        <v>41</v>
      </c>
      <c r="K317" s="3" t="s">
        <v>110</v>
      </c>
      <c r="L317" s="3" t="s">
        <v>141</v>
      </c>
      <c r="M317" s="3" t="s">
        <v>125</v>
      </c>
      <c r="N317" s="3" t="s">
        <v>45</v>
      </c>
      <c r="O317" s="3" t="s">
        <v>67</v>
      </c>
      <c r="P317" s="3" t="s">
        <v>68</v>
      </c>
      <c r="Q317" s="3" t="s">
        <v>69</v>
      </c>
      <c r="R317" s="3" t="s">
        <v>1154</v>
      </c>
      <c r="S317" s="3">
        <v>3</v>
      </c>
      <c r="T317" s="3">
        <v>157</v>
      </c>
      <c r="U317" s="3">
        <v>113</v>
      </c>
      <c r="V317" s="3">
        <v>86</v>
      </c>
      <c r="W317" s="3">
        <v>15</v>
      </c>
      <c r="X317" s="3">
        <v>38.1</v>
      </c>
      <c r="Y317" s="3">
        <v>18.7</v>
      </c>
      <c r="Z317" s="3">
        <v>95</v>
      </c>
      <c r="AA317" s="3" t="s">
        <v>50</v>
      </c>
      <c r="AB317" s="3" t="s">
        <v>51</v>
      </c>
      <c r="AC317" s="3" t="s">
        <v>52</v>
      </c>
      <c r="AD317" s="3" t="s">
        <v>53</v>
      </c>
      <c r="AE317" s="3" t="s">
        <v>54</v>
      </c>
      <c r="AF317" s="3" t="s">
        <v>55</v>
      </c>
      <c r="AG317" s="3" t="s">
        <v>112</v>
      </c>
    </row>
    <row r="318" spans="1:33" x14ac:dyDescent="0.2">
      <c r="A318" s="2" t="s">
        <v>1141</v>
      </c>
      <c r="B318" s="2" t="s">
        <v>1155</v>
      </c>
      <c r="C318" s="2" t="s">
        <v>1156</v>
      </c>
      <c r="D318" s="2" t="s">
        <v>103</v>
      </c>
      <c r="E318" s="2" t="s">
        <v>167</v>
      </c>
      <c r="F318" s="2" t="s">
        <v>189</v>
      </c>
      <c r="G318" s="2" t="s">
        <v>63</v>
      </c>
      <c r="H318" s="2" t="s">
        <v>1143</v>
      </c>
      <c r="I318" s="2">
        <v>26</v>
      </c>
      <c r="J318" s="2" t="s">
        <v>41</v>
      </c>
      <c r="K318" s="2" t="s">
        <v>42</v>
      </c>
      <c r="L318" s="2" t="s">
        <v>141</v>
      </c>
      <c r="M318" s="2" t="s">
        <v>125</v>
      </c>
      <c r="N318" s="2" t="s">
        <v>45</v>
      </c>
      <c r="O318" s="2" t="s">
        <v>67</v>
      </c>
      <c r="P318" s="2" t="s">
        <v>68</v>
      </c>
      <c r="Q318" s="2" t="s">
        <v>69</v>
      </c>
      <c r="R318" s="2" t="s">
        <v>1157</v>
      </c>
      <c r="S318" s="2">
        <v>4</v>
      </c>
      <c r="T318" s="2">
        <v>100</v>
      </c>
      <c r="U318" s="2">
        <v>87</v>
      </c>
      <c r="V318" s="2">
        <v>62</v>
      </c>
      <c r="W318" s="2">
        <v>12</v>
      </c>
      <c r="X318" s="2">
        <v>37.6</v>
      </c>
      <c r="Y318" s="2">
        <v>19.5</v>
      </c>
      <c r="Z318" s="2">
        <v>90</v>
      </c>
      <c r="AA318" s="2" t="s">
        <v>50</v>
      </c>
      <c r="AB318" s="2" t="s">
        <v>51</v>
      </c>
      <c r="AC318" s="2" t="s">
        <v>52</v>
      </c>
      <c r="AD318" s="2" t="s">
        <v>53</v>
      </c>
      <c r="AE318" s="2" t="s">
        <v>54</v>
      </c>
      <c r="AF318" s="2" t="s">
        <v>55</v>
      </c>
      <c r="AG318" s="2" t="s">
        <v>118</v>
      </c>
    </row>
    <row r="319" spans="1:33" x14ac:dyDescent="0.2">
      <c r="A319" s="3" t="s">
        <v>1158</v>
      </c>
      <c r="B319" s="3" t="s">
        <v>1159</v>
      </c>
      <c r="C319" s="3" t="s">
        <v>1160</v>
      </c>
      <c r="D319" s="3" t="s">
        <v>103</v>
      </c>
      <c r="E319" s="3" t="s">
        <v>167</v>
      </c>
      <c r="F319" s="3" t="s">
        <v>38</v>
      </c>
      <c r="G319" s="3" t="s">
        <v>123</v>
      </c>
      <c r="H319" s="3" t="s">
        <v>1161</v>
      </c>
      <c r="I319" s="3">
        <v>30</v>
      </c>
      <c r="J319" s="3" t="s">
        <v>41</v>
      </c>
      <c r="K319" s="3" t="s">
        <v>116</v>
      </c>
      <c r="L319" s="3" t="s">
        <v>141</v>
      </c>
      <c r="M319" s="3" t="s">
        <v>80</v>
      </c>
      <c r="N319" s="3" t="s">
        <v>45</v>
      </c>
      <c r="O319" s="3" t="s">
        <v>126</v>
      </c>
      <c r="P319" s="3" t="s">
        <v>127</v>
      </c>
      <c r="Q319" s="3" t="s">
        <v>69</v>
      </c>
      <c r="R319" s="3" t="s">
        <v>1162</v>
      </c>
      <c r="S319" s="3">
        <v>2</v>
      </c>
      <c r="T319" s="3">
        <v>100</v>
      </c>
      <c r="U319" s="3">
        <v>81</v>
      </c>
      <c r="V319" s="3">
        <v>66</v>
      </c>
      <c r="W319" s="3">
        <v>22</v>
      </c>
      <c r="X319" s="3">
        <v>36.6</v>
      </c>
      <c r="Y319" s="3">
        <v>28.1</v>
      </c>
      <c r="Z319" s="3">
        <v>93</v>
      </c>
      <c r="AA319" s="3" t="s">
        <v>50</v>
      </c>
      <c r="AB319" s="3" t="s">
        <v>51</v>
      </c>
      <c r="AC319" s="3" t="s">
        <v>52</v>
      </c>
      <c r="AD319" s="3" t="s">
        <v>53</v>
      </c>
      <c r="AE319" s="3" t="s">
        <v>54</v>
      </c>
      <c r="AF319" s="3" t="s">
        <v>55</v>
      </c>
      <c r="AG319" s="3" t="s">
        <v>129</v>
      </c>
    </row>
    <row r="320" spans="1:33" x14ac:dyDescent="0.2">
      <c r="A320" s="2" t="s">
        <v>1158</v>
      </c>
      <c r="B320" s="2" t="s">
        <v>1163</v>
      </c>
      <c r="C320" s="2" t="s">
        <v>781</v>
      </c>
      <c r="D320" s="2" t="s">
        <v>88</v>
      </c>
      <c r="E320" s="2" t="s">
        <v>89</v>
      </c>
      <c r="F320" s="2" t="s">
        <v>189</v>
      </c>
      <c r="G320" s="2" t="s">
        <v>63</v>
      </c>
      <c r="H320" s="2" t="s">
        <v>1161</v>
      </c>
      <c r="I320" s="2">
        <v>30</v>
      </c>
      <c r="J320" s="2" t="s">
        <v>41</v>
      </c>
      <c r="K320" s="2" t="s">
        <v>78</v>
      </c>
      <c r="L320" s="2" t="s">
        <v>141</v>
      </c>
      <c r="M320" s="2" t="s">
        <v>80</v>
      </c>
      <c r="N320" s="2" t="s">
        <v>45</v>
      </c>
      <c r="O320" s="2" t="s">
        <v>126</v>
      </c>
      <c r="P320" s="2" t="s">
        <v>127</v>
      </c>
      <c r="Q320" s="2" t="s">
        <v>69</v>
      </c>
      <c r="R320" s="2" t="s">
        <v>856</v>
      </c>
      <c r="S320" s="2">
        <v>2</v>
      </c>
      <c r="T320" s="2">
        <v>100</v>
      </c>
      <c r="U320" s="2">
        <v>63</v>
      </c>
      <c r="V320" s="2">
        <v>114</v>
      </c>
      <c r="W320" s="2">
        <v>19</v>
      </c>
      <c r="X320" s="2">
        <v>36.5</v>
      </c>
      <c r="Y320" s="2">
        <v>27.3</v>
      </c>
      <c r="Z320" s="2">
        <v>99</v>
      </c>
      <c r="AA320" s="2" t="s">
        <v>50</v>
      </c>
      <c r="AB320" s="2" t="s">
        <v>51</v>
      </c>
      <c r="AC320" s="2" t="s">
        <v>52</v>
      </c>
      <c r="AD320" s="2" t="s">
        <v>53</v>
      </c>
      <c r="AE320" s="2" t="s">
        <v>54</v>
      </c>
      <c r="AF320" s="2" t="s">
        <v>55</v>
      </c>
      <c r="AG320" s="2" t="s">
        <v>134</v>
      </c>
    </row>
    <row r="321" spans="1:33" x14ac:dyDescent="0.2">
      <c r="A321" s="3" t="s">
        <v>1164</v>
      </c>
      <c r="B321" s="3" t="s">
        <v>1165</v>
      </c>
      <c r="C321" s="3" t="s">
        <v>997</v>
      </c>
      <c r="D321" s="3" t="s">
        <v>88</v>
      </c>
      <c r="E321" s="3" t="s">
        <v>37</v>
      </c>
      <c r="F321" s="3" t="s">
        <v>132</v>
      </c>
      <c r="G321" s="3" t="s">
        <v>39</v>
      </c>
      <c r="H321" s="3" t="s">
        <v>1166</v>
      </c>
      <c r="I321" s="3">
        <v>45</v>
      </c>
      <c r="J321" s="3" t="s">
        <v>65</v>
      </c>
      <c r="K321" s="3" t="s">
        <v>78</v>
      </c>
      <c r="L321" s="3" t="s">
        <v>45</v>
      </c>
      <c r="M321" s="3"/>
      <c r="N321" s="3" t="s">
        <v>182</v>
      </c>
      <c r="O321" s="3" t="s">
        <v>82</v>
      </c>
      <c r="P321" s="3" t="s">
        <v>83</v>
      </c>
      <c r="Q321" s="3" t="s">
        <v>69</v>
      </c>
      <c r="R321" s="3" t="s">
        <v>117</v>
      </c>
      <c r="S321" s="3">
        <v>1</v>
      </c>
      <c r="T321" s="3">
        <v>147</v>
      </c>
      <c r="U321" s="3">
        <v>109</v>
      </c>
      <c r="V321" s="3">
        <v>94</v>
      </c>
      <c r="W321" s="3">
        <v>14</v>
      </c>
      <c r="X321" s="3">
        <v>37.799999999999997</v>
      </c>
      <c r="Y321" s="3">
        <v>17.600000000000001</v>
      </c>
      <c r="Z321" s="3">
        <v>100</v>
      </c>
      <c r="AA321" s="3" t="s">
        <v>50</v>
      </c>
      <c r="AB321" s="3" t="s">
        <v>51</v>
      </c>
      <c r="AC321" s="3" t="s">
        <v>52</v>
      </c>
      <c r="AD321" s="3" t="s">
        <v>53</v>
      </c>
      <c r="AE321" s="3" t="s">
        <v>54</v>
      </c>
      <c r="AF321" s="3" t="s">
        <v>55</v>
      </c>
      <c r="AG321" s="3" t="s">
        <v>198</v>
      </c>
    </row>
    <row r="322" spans="1:33" x14ac:dyDescent="0.2">
      <c r="A322" s="2" t="s">
        <v>1164</v>
      </c>
      <c r="B322" s="2" t="s">
        <v>1167</v>
      </c>
      <c r="C322" s="2" t="s">
        <v>1168</v>
      </c>
      <c r="D322" s="2" t="s">
        <v>36</v>
      </c>
      <c r="E322" s="2" t="s">
        <v>61</v>
      </c>
      <c r="F322" s="2" t="s">
        <v>122</v>
      </c>
      <c r="G322" s="2" t="s">
        <v>123</v>
      </c>
      <c r="H322" s="2" t="s">
        <v>1166</v>
      </c>
      <c r="I322" s="2">
        <v>45</v>
      </c>
      <c r="J322" s="2" t="s">
        <v>65</v>
      </c>
      <c r="K322" s="2" t="s">
        <v>78</v>
      </c>
      <c r="L322" s="2" t="s">
        <v>45</v>
      </c>
      <c r="M322" s="2"/>
      <c r="N322" s="2" t="s">
        <v>182</v>
      </c>
      <c r="O322" s="2" t="s">
        <v>82</v>
      </c>
      <c r="P322" s="2" t="s">
        <v>83</v>
      </c>
      <c r="Q322" s="2" t="s">
        <v>69</v>
      </c>
      <c r="R322" s="2" t="s">
        <v>1169</v>
      </c>
      <c r="S322" s="2">
        <v>2</v>
      </c>
      <c r="T322" s="2">
        <v>158</v>
      </c>
      <c r="U322" s="2">
        <v>61</v>
      </c>
      <c r="V322" s="2">
        <v>87</v>
      </c>
      <c r="W322" s="2">
        <v>13</v>
      </c>
      <c r="X322" s="2">
        <v>38.4</v>
      </c>
      <c r="Y322" s="2">
        <v>37.299999999999997</v>
      </c>
      <c r="Z322" s="2">
        <v>92</v>
      </c>
      <c r="AA322" s="2" t="s">
        <v>50</v>
      </c>
      <c r="AB322" s="2" t="s">
        <v>51</v>
      </c>
      <c r="AC322" s="2" t="s">
        <v>52</v>
      </c>
      <c r="AD322" s="2" t="s">
        <v>53</v>
      </c>
      <c r="AE322" s="2" t="s">
        <v>54</v>
      </c>
      <c r="AF322" s="2" t="s">
        <v>55</v>
      </c>
      <c r="AG322" s="2" t="s">
        <v>202</v>
      </c>
    </row>
    <row r="323" spans="1:33" x14ac:dyDescent="0.2">
      <c r="A323" s="3" t="s">
        <v>1164</v>
      </c>
      <c r="B323" s="3" t="s">
        <v>1170</v>
      </c>
      <c r="C323" s="3" t="s">
        <v>188</v>
      </c>
      <c r="D323" s="3" t="s">
        <v>60</v>
      </c>
      <c r="E323" s="3" t="s">
        <v>96</v>
      </c>
      <c r="F323" s="3" t="s">
        <v>109</v>
      </c>
      <c r="G323" s="3" t="s">
        <v>123</v>
      </c>
      <c r="H323" s="3" t="s">
        <v>1166</v>
      </c>
      <c r="I323" s="3">
        <v>45</v>
      </c>
      <c r="J323" s="3" t="s">
        <v>65</v>
      </c>
      <c r="K323" s="3" t="s">
        <v>42</v>
      </c>
      <c r="L323" s="3" t="s">
        <v>45</v>
      </c>
      <c r="M323" s="3"/>
      <c r="N323" s="3" t="s">
        <v>182</v>
      </c>
      <c r="O323" s="3" t="s">
        <v>82</v>
      </c>
      <c r="P323" s="3" t="s">
        <v>83</v>
      </c>
      <c r="Q323" s="3" t="s">
        <v>69</v>
      </c>
      <c r="R323" s="3" t="s">
        <v>1171</v>
      </c>
      <c r="S323" s="3">
        <v>4</v>
      </c>
      <c r="T323" s="3">
        <v>122</v>
      </c>
      <c r="U323" s="3">
        <v>97</v>
      </c>
      <c r="V323" s="3">
        <v>114</v>
      </c>
      <c r="W323" s="3">
        <v>24</v>
      </c>
      <c r="X323" s="3">
        <v>36.1</v>
      </c>
      <c r="Y323" s="3">
        <v>30.5</v>
      </c>
      <c r="Z323" s="3">
        <v>97</v>
      </c>
      <c r="AA323" s="3" t="s">
        <v>50</v>
      </c>
      <c r="AB323" s="3" t="s">
        <v>51</v>
      </c>
      <c r="AC323" s="3" t="s">
        <v>52</v>
      </c>
      <c r="AD323" s="3" t="s">
        <v>53</v>
      </c>
      <c r="AE323" s="3" t="s">
        <v>54</v>
      </c>
      <c r="AF323" s="3" t="s">
        <v>55</v>
      </c>
      <c r="AG323" s="3" t="s">
        <v>206</v>
      </c>
    </row>
    <row r="324" spans="1:33" x14ac:dyDescent="0.2">
      <c r="A324" s="2" t="s">
        <v>1172</v>
      </c>
      <c r="B324" s="2" t="s">
        <v>1173</v>
      </c>
      <c r="C324" s="2" t="s">
        <v>1174</v>
      </c>
      <c r="D324" s="2" t="s">
        <v>103</v>
      </c>
      <c r="E324" s="2" t="s">
        <v>61</v>
      </c>
      <c r="F324" s="2" t="s">
        <v>109</v>
      </c>
      <c r="G324" s="2" t="s">
        <v>138</v>
      </c>
      <c r="H324" s="2" t="s">
        <v>1175</v>
      </c>
      <c r="I324" s="2">
        <v>52</v>
      </c>
      <c r="J324" s="2" t="s">
        <v>65</v>
      </c>
      <c r="K324" s="2" t="s">
        <v>90</v>
      </c>
      <c r="L324" s="2" t="s">
        <v>45</v>
      </c>
      <c r="M324" s="2" t="s">
        <v>125</v>
      </c>
      <c r="N324" s="2" t="s">
        <v>45</v>
      </c>
      <c r="O324" s="2" t="s">
        <v>211</v>
      </c>
      <c r="P324" s="2" t="s">
        <v>212</v>
      </c>
      <c r="Q324" s="2" t="s">
        <v>48</v>
      </c>
      <c r="R324" s="2" t="s">
        <v>268</v>
      </c>
      <c r="S324" s="2">
        <v>1</v>
      </c>
      <c r="T324" s="2">
        <v>128</v>
      </c>
      <c r="U324" s="2">
        <v>58</v>
      </c>
      <c r="V324" s="2">
        <v>79</v>
      </c>
      <c r="W324" s="2">
        <v>19</v>
      </c>
      <c r="X324" s="2">
        <v>36.1</v>
      </c>
      <c r="Y324" s="2">
        <v>27.9</v>
      </c>
      <c r="Z324" s="2">
        <v>95</v>
      </c>
      <c r="AA324" s="2" t="s">
        <v>50</v>
      </c>
      <c r="AB324" s="2" t="s">
        <v>51</v>
      </c>
      <c r="AC324" s="2" t="s">
        <v>52</v>
      </c>
      <c r="AD324" s="2" t="s">
        <v>53</v>
      </c>
      <c r="AE324" s="2" t="s">
        <v>54</v>
      </c>
      <c r="AF324" s="2" t="s">
        <v>55</v>
      </c>
      <c r="AG324" s="2" t="s">
        <v>213</v>
      </c>
    </row>
    <row r="325" spans="1:33" x14ac:dyDescent="0.2">
      <c r="A325" s="3" t="s">
        <v>1172</v>
      </c>
      <c r="B325" s="3" t="s">
        <v>1176</v>
      </c>
      <c r="C325" s="3" t="s">
        <v>769</v>
      </c>
      <c r="D325" s="3" t="s">
        <v>95</v>
      </c>
      <c r="E325" s="3" t="s">
        <v>167</v>
      </c>
      <c r="F325" s="3" t="s">
        <v>75</v>
      </c>
      <c r="G325" s="3" t="s">
        <v>63</v>
      </c>
      <c r="H325" s="3" t="s">
        <v>1175</v>
      </c>
      <c r="I325" s="3">
        <v>52</v>
      </c>
      <c r="J325" s="3" t="s">
        <v>65</v>
      </c>
      <c r="K325" s="3" t="s">
        <v>42</v>
      </c>
      <c r="L325" s="3" t="s">
        <v>45</v>
      </c>
      <c r="M325" s="3" t="s">
        <v>125</v>
      </c>
      <c r="N325" s="3" t="s">
        <v>45</v>
      </c>
      <c r="O325" s="3" t="s">
        <v>211</v>
      </c>
      <c r="P325" s="3" t="s">
        <v>212</v>
      </c>
      <c r="Q325" s="3" t="s">
        <v>48</v>
      </c>
      <c r="R325" s="3" t="s">
        <v>1177</v>
      </c>
      <c r="S325" s="3">
        <v>3</v>
      </c>
      <c r="T325" s="3">
        <v>153</v>
      </c>
      <c r="U325" s="3">
        <v>99</v>
      </c>
      <c r="V325" s="3">
        <v>106</v>
      </c>
      <c r="W325" s="3">
        <v>26</v>
      </c>
      <c r="X325" s="3">
        <v>38.200000000000003</v>
      </c>
      <c r="Y325" s="3">
        <v>39</v>
      </c>
      <c r="Z325" s="3">
        <v>97</v>
      </c>
      <c r="AA325" s="3" t="s">
        <v>50</v>
      </c>
      <c r="AB325" s="3" t="s">
        <v>51</v>
      </c>
      <c r="AC325" s="3" t="s">
        <v>52</v>
      </c>
      <c r="AD325" s="3" t="s">
        <v>53</v>
      </c>
      <c r="AE325" s="3" t="s">
        <v>54</v>
      </c>
      <c r="AF325" s="3" t="s">
        <v>55</v>
      </c>
      <c r="AG325" s="3" t="s">
        <v>216</v>
      </c>
    </row>
    <row r="326" spans="1:33" x14ac:dyDescent="0.2">
      <c r="A326" s="2" t="s">
        <v>1172</v>
      </c>
      <c r="B326" s="2" t="s">
        <v>1178</v>
      </c>
      <c r="C326" s="2" t="s">
        <v>1179</v>
      </c>
      <c r="D326" s="2" t="s">
        <v>95</v>
      </c>
      <c r="E326" s="2" t="s">
        <v>37</v>
      </c>
      <c r="F326" s="2" t="s">
        <v>122</v>
      </c>
      <c r="G326" s="2" t="s">
        <v>39</v>
      </c>
      <c r="H326" s="2" t="s">
        <v>1175</v>
      </c>
      <c r="I326" s="2">
        <v>52</v>
      </c>
      <c r="J326" s="2" t="s">
        <v>65</v>
      </c>
      <c r="K326" s="2" t="s">
        <v>140</v>
      </c>
      <c r="L326" s="2" t="s">
        <v>45</v>
      </c>
      <c r="M326" s="2" t="s">
        <v>125</v>
      </c>
      <c r="N326" s="2" t="s">
        <v>45</v>
      </c>
      <c r="O326" s="2" t="s">
        <v>211</v>
      </c>
      <c r="P326" s="2" t="s">
        <v>212</v>
      </c>
      <c r="Q326" s="2" t="s">
        <v>48</v>
      </c>
      <c r="R326" s="2" t="s">
        <v>1180</v>
      </c>
      <c r="S326" s="2">
        <v>4</v>
      </c>
      <c r="T326" s="2">
        <v>136</v>
      </c>
      <c r="U326" s="2">
        <v>85</v>
      </c>
      <c r="V326" s="2">
        <v>112</v>
      </c>
      <c r="W326" s="2">
        <v>20</v>
      </c>
      <c r="X326" s="2">
        <v>37.700000000000003</v>
      </c>
      <c r="Y326" s="2">
        <v>41</v>
      </c>
      <c r="Z326" s="2">
        <v>99</v>
      </c>
      <c r="AA326" s="2" t="s">
        <v>50</v>
      </c>
      <c r="AB326" s="2" t="s">
        <v>51</v>
      </c>
      <c r="AC326" s="2" t="s">
        <v>52</v>
      </c>
      <c r="AD326" s="2" t="s">
        <v>53</v>
      </c>
      <c r="AE326" s="2" t="s">
        <v>54</v>
      </c>
      <c r="AF326" s="2" t="s">
        <v>55</v>
      </c>
      <c r="AG326" s="2" t="s">
        <v>221</v>
      </c>
    </row>
    <row r="327" spans="1:33" x14ac:dyDescent="0.2">
      <c r="A327" s="3" t="s">
        <v>1181</v>
      </c>
      <c r="B327" s="3" t="s">
        <v>1182</v>
      </c>
      <c r="C327" s="3" t="s">
        <v>822</v>
      </c>
      <c r="D327" s="3" t="s">
        <v>103</v>
      </c>
      <c r="E327" s="3" t="s">
        <v>37</v>
      </c>
      <c r="F327" s="3" t="s">
        <v>75</v>
      </c>
      <c r="G327" s="3" t="s">
        <v>138</v>
      </c>
      <c r="H327" s="3" t="s">
        <v>1183</v>
      </c>
      <c r="I327" s="3">
        <v>27</v>
      </c>
      <c r="J327" s="3" t="s">
        <v>65</v>
      </c>
      <c r="K327" s="3" t="s">
        <v>66</v>
      </c>
      <c r="L327" s="3" t="s">
        <v>43</v>
      </c>
      <c r="M327" s="3"/>
      <c r="N327" s="3" t="s">
        <v>182</v>
      </c>
      <c r="O327" s="3" t="s">
        <v>254</v>
      </c>
      <c r="P327" s="3" t="s">
        <v>255</v>
      </c>
      <c r="Q327" s="3" t="s">
        <v>69</v>
      </c>
      <c r="R327" s="3" t="s">
        <v>243</v>
      </c>
      <c r="S327" s="3">
        <v>1</v>
      </c>
      <c r="T327" s="3">
        <v>181</v>
      </c>
      <c r="U327" s="3">
        <v>56</v>
      </c>
      <c r="V327" s="3">
        <v>81</v>
      </c>
      <c r="W327" s="3">
        <v>23</v>
      </c>
      <c r="X327" s="3">
        <v>39</v>
      </c>
      <c r="Y327" s="3">
        <v>31</v>
      </c>
      <c r="Z327" s="3">
        <v>92</v>
      </c>
      <c r="AA327" s="3" t="s">
        <v>50</v>
      </c>
      <c r="AB327" s="3" t="s">
        <v>51</v>
      </c>
      <c r="AC327" s="3" t="s">
        <v>52</v>
      </c>
      <c r="AD327" s="3" t="s">
        <v>53</v>
      </c>
      <c r="AE327" s="3" t="s">
        <v>54</v>
      </c>
      <c r="AF327" s="3" t="s">
        <v>55</v>
      </c>
      <c r="AG327" s="3" t="s">
        <v>71</v>
      </c>
    </row>
    <row r="328" spans="1:33" x14ac:dyDescent="0.2">
      <c r="A328" s="2" t="s">
        <v>1184</v>
      </c>
      <c r="B328" s="2" t="s">
        <v>1185</v>
      </c>
      <c r="C328" s="2" t="s">
        <v>1186</v>
      </c>
      <c r="D328" s="2" t="s">
        <v>88</v>
      </c>
      <c r="E328" s="2" t="s">
        <v>167</v>
      </c>
      <c r="F328" s="2" t="s">
        <v>38</v>
      </c>
      <c r="G328" s="2" t="s">
        <v>115</v>
      </c>
      <c r="H328" s="2" t="s">
        <v>1187</v>
      </c>
      <c r="I328" s="2">
        <v>70</v>
      </c>
      <c r="J328" s="2" t="s">
        <v>65</v>
      </c>
      <c r="K328" s="2" t="s">
        <v>66</v>
      </c>
      <c r="L328" s="2" t="s">
        <v>141</v>
      </c>
      <c r="M328" s="2"/>
      <c r="N328" s="2" t="s">
        <v>81</v>
      </c>
      <c r="O328" s="2" t="s">
        <v>67</v>
      </c>
      <c r="P328" s="2" t="s">
        <v>68</v>
      </c>
      <c r="Q328" s="2" t="s">
        <v>69</v>
      </c>
      <c r="R328" s="2" t="s">
        <v>1188</v>
      </c>
      <c r="S328" s="2">
        <v>3</v>
      </c>
      <c r="T328" s="2">
        <v>123</v>
      </c>
      <c r="U328" s="2">
        <v>102</v>
      </c>
      <c r="V328" s="2">
        <v>67</v>
      </c>
      <c r="W328" s="2">
        <v>18</v>
      </c>
      <c r="X328" s="2">
        <v>36.9</v>
      </c>
      <c r="Y328" s="2">
        <v>41.6</v>
      </c>
      <c r="Z328" s="2">
        <v>89</v>
      </c>
      <c r="AA328" s="2" t="s">
        <v>50</v>
      </c>
      <c r="AB328" s="2" t="s">
        <v>51</v>
      </c>
      <c r="AC328" s="2" t="s">
        <v>52</v>
      </c>
      <c r="AD328" s="2" t="s">
        <v>53</v>
      </c>
      <c r="AE328" s="2" t="s">
        <v>54</v>
      </c>
      <c r="AF328" s="2" t="s">
        <v>55</v>
      </c>
      <c r="AG328" s="2" t="s">
        <v>394</v>
      </c>
    </row>
    <row r="329" spans="1:33" x14ac:dyDescent="0.2">
      <c r="A329" s="3" t="s">
        <v>1184</v>
      </c>
      <c r="B329" s="3" t="s">
        <v>1189</v>
      </c>
      <c r="C329" s="3" t="s">
        <v>200</v>
      </c>
      <c r="D329" s="3" t="s">
        <v>88</v>
      </c>
      <c r="E329" s="3" t="s">
        <v>37</v>
      </c>
      <c r="F329" s="3" t="s">
        <v>109</v>
      </c>
      <c r="G329" s="3" t="s">
        <v>76</v>
      </c>
      <c r="H329" s="3" t="s">
        <v>1187</v>
      </c>
      <c r="I329" s="3">
        <v>70</v>
      </c>
      <c r="J329" s="3" t="s">
        <v>65</v>
      </c>
      <c r="K329" s="3" t="s">
        <v>140</v>
      </c>
      <c r="L329" s="3" t="s">
        <v>141</v>
      </c>
      <c r="M329" s="3"/>
      <c r="N329" s="3" t="s">
        <v>81</v>
      </c>
      <c r="O329" s="3" t="s">
        <v>67</v>
      </c>
      <c r="P329" s="3" t="s">
        <v>68</v>
      </c>
      <c r="Q329" s="3" t="s">
        <v>69</v>
      </c>
      <c r="R329" s="3" t="s">
        <v>1190</v>
      </c>
      <c r="S329" s="3">
        <v>3</v>
      </c>
      <c r="T329" s="3">
        <v>157</v>
      </c>
      <c r="U329" s="3">
        <v>95</v>
      </c>
      <c r="V329" s="3">
        <v>62</v>
      </c>
      <c r="W329" s="3">
        <v>16</v>
      </c>
      <c r="X329" s="3">
        <v>36.1</v>
      </c>
      <c r="Y329" s="3">
        <v>26.5</v>
      </c>
      <c r="Z329" s="3">
        <v>89</v>
      </c>
      <c r="AA329" s="3" t="s">
        <v>50</v>
      </c>
      <c r="AB329" s="3" t="s">
        <v>51</v>
      </c>
      <c r="AC329" s="3" t="s">
        <v>52</v>
      </c>
      <c r="AD329" s="3" t="s">
        <v>53</v>
      </c>
      <c r="AE329" s="3" t="s">
        <v>54</v>
      </c>
      <c r="AF329" s="3" t="s">
        <v>55</v>
      </c>
      <c r="AG329" s="3" t="s">
        <v>399</v>
      </c>
    </row>
    <row r="330" spans="1:33" x14ac:dyDescent="0.2">
      <c r="A330" s="2" t="s">
        <v>1184</v>
      </c>
      <c r="B330" s="2" t="s">
        <v>1191</v>
      </c>
      <c r="C330" s="2" t="s">
        <v>1192</v>
      </c>
      <c r="D330" s="2" t="s">
        <v>36</v>
      </c>
      <c r="E330" s="2" t="s">
        <v>167</v>
      </c>
      <c r="F330" s="2" t="s">
        <v>219</v>
      </c>
      <c r="G330" s="2" t="s">
        <v>104</v>
      </c>
      <c r="H330" s="2" t="s">
        <v>1187</v>
      </c>
      <c r="I330" s="2">
        <v>70</v>
      </c>
      <c r="J330" s="2" t="s">
        <v>65</v>
      </c>
      <c r="K330" s="2" t="s">
        <v>66</v>
      </c>
      <c r="L330" s="2" t="s">
        <v>141</v>
      </c>
      <c r="M330" s="2"/>
      <c r="N330" s="2" t="s">
        <v>81</v>
      </c>
      <c r="O330" s="2" t="s">
        <v>67</v>
      </c>
      <c r="P330" s="2" t="s">
        <v>68</v>
      </c>
      <c r="Q330" s="2" t="s">
        <v>69</v>
      </c>
      <c r="R330" s="2" t="s">
        <v>1193</v>
      </c>
      <c r="S330" s="2">
        <v>4</v>
      </c>
      <c r="T330" s="2">
        <v>135</v>
      </c>
      <c r="U330" s="2">
        <v>114</v>
      </c>
      <c r="V330" s="2">
        <v>90</v>
      </c>
      <c r="W330" s="2">
        <v>14</v>
      </c>
      <c r="X330" s="2">
        <v>36.1</v>
      </c>
      <c r="Y330" s="2">
        <v>44</v>
      </c>
      <c r="Z330" s="2">
        <v>97</v>
      </c>
      <c r="AA330" s="2" t="s">
        <v>50</v>
      </c>
      <c r="AB330" s="2" t="s">
        <v>51</v>
      </c>
      <c r="AC330" s="2" t="s">
        <v>52</v>
      </c>
      <c r="AD330" s="2" t="s">
        <v>53</v>
      </c>
      <c r="AE330" s="2" t="s">
        <v>54</v>
      </c>
      <c r="AF330" s="2" t="s">
        <v>55</v>
      </c>
      <c r="AG330" s="2" t="s">
        <v>403</v>
      </c>
    </row>
    <row r="331" spans="1:33" x14ac:dyDescent="0.2">
      <c r="A331" s="3" t="s">
        <v>1184</v>
      </c>
      <c r="B331" s="3" t="s">
        <v>1194</v>
      </c>
      <c r="C331" s="3" t="s">
        <v>1195</v>
      </c>
      <c r="D331" s="3" t="s">
        <v>88</v>
      </c>
      <c r="E331" s="3" t="s">
        <v>37</v>
      </c>
      <c r="F331" s="3" t="s">
        <v>62</v>
      </c>
      <c r="G331" s="3" t="s">
        <v>123</v>
      </c>
      <c r="H331" s="3" t="s">
        <v>1187</v>
      </c>
      <c r="I331" s="3">
        <v>70</v>
      </c>
      <c r="J331" s="3" t="s">
        <v>65</v>
      </c>
      <c r="K331" s="3" t="s">
        <v>78</v>
      </c>
      <c r="L331" s="3" t="s">
        <v>141</v>
      </c>
      <c r="M331" s="3"/>
      <c r="N331" s="3" t="s">
        <v>81</v>
      </c>
      <c r="O331" s="3" t="s">
        <v>67</v>
      </c>
      <c r="P331" s="3" t="s">
        <v>68</v>
      </c>
      <c r="Q331" s="3" t="s">
        <v>69</v>
      </c>
      <c r="R331" s="3" t="s">
        <v>601</v>
      </c>
      <c r="S331" s="3">
        <v>1</v>
      </c>
      <c r="T331" s="3">
        <v>155</v>
      </c>
      <c r="U331" s="3">
        <v>103</v>
      </c>
      <c r="V331" s="3">
        <v>105</v>
      </c>
      <c r="W331" s="3">
        <v>27</v>
      </c>
      <c r="X331" s="3">
        <v>37.1</v>
      </c>
      <c r="Y331" s="3">
        <v>20.7</v>
      </c>
      <c r="Z331" s="3">
        <v>93</v>
      </c>
      <c r="AA331" s="3" t="s">
        <v>50</v>
      </c>
      <c r="AB331" s="3" t="s">
        <v>51</v>
      </c>
      <c r="AC331" s="3" t="s">
        <v>52</v>
      </c>
      <c r="AD331" s="3" t="s">
        <v>53</v>
      </c>
      <c r="AE331" s="3" t="s">
        <v>54</v>
      </c>
      <c r="AF331" s="3" t="s">
        <v>55</v>
      </c>
      <c r="AG331" s="3" t="s">
        <v>408</v>
      </c>
    </row>
    <row r="332" spans="1:33" x14ac:dyDescent="0.2">
      <c r="A332" s="2" t="s">
        <v>1196</v>
      </c>
      <c r="B332" s="2" t="s">
        <v>1197</v>
      </c>
      <c r="C332" s="2" t="s">
        <v>884</v>
      </c>
      <c r="D332" s="2" t="s">
        <v>95</v>
      </c>
      <c r="E332" s="2" t="s">
        <v>61</v>
      </c>
      <c r="F332" s="2" t="s">
        <v>132</v>
      </c>
      <c r="G332" s="2" t="s">
        <v>76</v>
      </c>
      <c r="H332" s="2" t="s">
        <v>1198</v>
      </c>
      <c r="I332" s="2">
        <v>75</v>
      </c>
      <c r="J332" s="2" t="s">
        <v>41</v>
      </c>
      <c r="K332" s="2" t="s">
        <v>78</v>
      </c>
      <c r="L332" s="2" t="s">
        <v>43</v>
      </c>
      <c r="M332" s="2" t="s">
        <v>80</v>
      </c>
      <c r="N332" s="2" t="s">
        <v>81</v>
      </c>
      <c r="O332" s="2" t="s">
        <v>67</v>
      </c>
      <c r="P332" s="2" t="s">
        <v>68</v>
      </c>
      <c r="Q332" s="2" t="s">
        <v>69</v>
      </c>
      <c r="R332" s="2" t="s">
        <v>237</v>
      </c>
      <c r="S332" s="2">
        <v>1</v>
      </c>
      <c r="T332" s="2">
        <v>143</v>
      </c>
      <c r="U332" s="2">
        <v>82</v>
      </c>
      <c r="V332" s="2">
        <v>100</v>
      </c>
      <c r="W332" s="2">
        <v>13</v>
      </c>
      <c r="X332" s="2">
        <v>37.6</v>
      </c>
      <c r="Y332" s="2">
        <v>23</v>
      </c>
      <c r="Z332" s="2">
        <v>91</v>
      </c>
      <c r="AA332" s="2" t="s">
        <v>50</v>
      </c>
      <c r="AB332" s="2" t="s">
        <v>51</v>
      </c>
      <c r="AC332" s="2" t="s">
        <v>52</v>
      </c>
      <c r="AD332" s="2" t="s">
        <v>53</v>
      </c>
      <c r="AE332" s="2" t="s">
        <v>54</v>
      </c>
      <c r="AF332" s="2" t="s">
        <v>55</v>
      </c>
      <c r="AG332" s="2" t="s">
        <v>71</v>
      </c>
    </row>
    <row r="333" spans="1:33" x14ac:dyDescent="0.2">
      <c r="A333" s="3" t="s">
        <v>1199</v>
      </c>
      <c r="B333" s="3" t="s">
        <v>1200</v>
      </c>
      <c r="C333" s="3" t="s">
        <v>1201</v>
      </c>
      <c r="D333" s="3" t="s">
        <v>103</v>
      </c>
      <c r="E333" s="3" t="s">
        <v>167</v>
      </c>
      <c r="F333" s="3" t="s">
        <v>219</v>
      </c>
      <c r="G333" s="3" t="s">
        <v>76</v>
      </c>
      <c r="H333" s="3" t="s">
        <v>1202</v>
      </c>
      <c r="I333" s="3">
        <v>19</v>
      </c>
      <c r="J333" s="3" t="s">
        <v>65</v>
      </c>
      <c r="K333" s="3" t="s">
        <v>110</v>
      </c>
      <c r="L333" s="3" t="s">
        <v>141</v>
      </c>
      <c r="M333" s="3" t="s">
        <v>44</v>
      </c>
      <c r="N333" s="3" t="s">
        <v>182</v>
      </c>
      <c r="O333" s="3" t="s">
        <v>328</v>
      </c>
      <c r="P333" s="3" t="s">
        <v>329</v>
      </c>
      <c r="Q333" s="3" t="s">
        <v>69</v>
      </c>
      <c r="R333" s="3" t="s">
        <v>1203</v>
      </c>
      <c r="S333" s="3">
        <v>4</v>
      </c>
      <c r="T333" s="3">
        <v>162</v>
      </c>
      <c r="U333" s="3">
        <v>80</v>
      </c>
      <c r="V333" s="3">
        <v>83</v>
      </c>
      <c r="W333" s="3">
        <v>15</v>
      </c>
      <c r="X333" s="3">
        <v>38.299999999999997</v>
      </c>
      <c r="Y333" s="3">
        <v>43.1</v>
      </c>
      <c r="Z333" s="3">
        <v>96</v>
      </c>
      <c r="AA333" s="3" t="s">
        <v>50</v>
      </c>
      <c r="AB333" s="3" t="s">
        <v>51</v>
      </c>
      <c r="AC333" s="3" t="s">
        <v>52</v>
      </c>
      <c r="AD333" s="3" t="s">
        <v>53</v>
      </c>
      <c r="AE333" s="3" t="s">
        <v>54</v>
      </c>
      <c r="AF333" s="3" t="s">
        <v>55</v>
      </c>
      <c r="AG333" s="3" t="s">
        <v>198</v>
      </c>
    </row>
    <row r="334" spans="1:33" x14ac:dyDescent="0.2">
      <c r="A334" s="2" t="s">
        <v>1199</v>
      </c>
      <c r="B334" s="2" t="s">
        <v>1204</v>
      </c>
      <c r="C334" s="2" t="s">
        <v>1205</v>
      </c>
      <c r="D334" s="2" t="s">
        <v>95</v>
      </c>
      <c r="E334" s="2" t="s">
        <v>167</v>
      </c>
      <c r="F334" s="2" t="s">
        <v>148</v>
      </c>
      <c r="G334" s="2" t="s">
        <v>98</v>
      </c>
      <c r="H334" s="2" t="s">
        <v>1202</v>
      </c>
      <c r="I334" s="2">
        <v>19</v>
      </c>
      <c r="J334" s="2" t="s">
        <v>65</v>
      </c>
      <c r="K334" s="2" t="s">
        <v>110</v>
      </c>
      <c r="L334" s="2" t="s">
        <v>141</v>
      </c>
      <c r="M334" s="2" t="s">
        <v>44</v>
      </c>
      <c r="N334" s="2" t="s">
        <v>182</v>
      </c>
      <c r="O334" s="2" t="s">
        <v>328</v>
      </c>
      <c r="P334" s="2" t="s">
        <v>329</v>
      </c>
      <c r="Q334" s="2" t="s">
        <v>69</v>
      </c>
      <c r="R334" s="2" t="s">
        <v>1206</v>
      </c>
      <c r="S334" s="2">
        <v>2</v>
      </c>
      <c r="T334" s="2">
        <v>163</v>
      </c>
      <c r="U334" s="2">
        <v>60</v>
      </c>
      <c r="V334" s="2">
        <v>81</v>
      </c>
      <c r="W334" s="2">
        <v>27</v>
      </c>
      <c r="X334" s="2">
        <v>37.299999999999997</v>
      </c>
      <c r="Y334" s="2">
        <v>33.299999999999997</v>
      </c>
      <c r="Z334" s="2">
        <v>96</v>
      </c>
      <c r="AA334" s="2" t="s">
        <v>50</v>
      </c>
      <c r="AB334" s="2" t="s">
        <v>51</v>
      </c>
      <c r="AC334" s="2" t="s">
        <v>52</v>
      </c>
      <c r="AD334" s="2" t="s">
        <v>53</v>
      </c>
      <c r="AE334" s="2" t="s">
        <v>54</v>
      </c>
      <c r="AF334" s="2" t="s">
        <v>55</v>
      </c>
      <c r="AG334" s="2" t="s">
        <v>202</v>
      </c>
    </row>
    <row r="335" spans="1:33" x14ac:dyDescent="0.2">
      <c r="A335" s="3" t="s">
        <v>1199</v>
      </c>
      <c r="B335" s="3" t="s">
        <v>1207</v>
      </c>
      <c r="C335" s="3" t="s">
        <v>508</v>
      </c>
      <c r="D335" s="3" t="s">
        <v>95</v>
      </c>
      <c r="E335" s="3" t="s">
        <v>61</v>
      </c>
      <c r="F335" s="3" t="s">
        <v>75</v>
      </c>
      <c r="G335" s="3" t="s">
        <v>63</v>
      </c>
      <c r="H335" s="3" t="s">
        <v>1202</v>
      </c>
      <c r="I335" s="3">
        <v>19</v>
      </c>
      <c r="J335" s="3" t="s">
        <v>65</v>
      </c>
      <c r="K335" s="3" t="s">
        <v>66</v>
      </c>
      <c r="L335" s="3" t="s">
        <v>141</v>
      </c>
      <c r="M335" s="3" t="s">
        <v>44</v>
      </c>
      <c r="N335" s="3" t="s">
        <v>182</v>
      </c>
      <c r="O335" s="3" t="s">
        <v>328</v>
      </c>
      <c r="P335" s="3" t="s">
        <v>329</v>
      </c>
      <c r="Q335" s="3" t="s">
        <v>69</v>
      </c>
      <c r="R335" s="3" t="s">
        <v>1208</v>
      </c>
      <c r="S335" s="3">
        <v>4</v>
      </c>
      <c r="T335" s="3">
        <v>170</v>
      </c>
      <c r="U335" s="3">
        <v>73</v>
      </c>
      <c r="V335" s="3">
        <v>92</v>
      </c>
      <c r="W335" s="3">
        <v>19</v>
      </c>
      <c r="X335" s="3">
        <v>36.1</v>
      </c>
      <c r="Y335" s="3">
        <v>17.600000000000001</v>
      </c>
      <c r="Z335" s="3">
        <v>90</v>
      </c>
      <c r="AA335" s="3" t="s">
        <v>50</v>
      </c>
      <c r="AB335" s="3" t="s">
        <v>51</v>
      </c>
      <c r="AC335" s="3" t="s">
        <v>52</v>
      </c>
      <c r="AD335" s="3" t="s">
        <v>53</v>
      </c>
      <c r="AE335" s="3" t="s">
        <v>54</v>
      </c>
      <c r="AF335" s="3" t="s">
        <v>55</v>
      </c>
      <c r="AG335" s="3" t="s">
        <v>206</v>
      </c>
    </row>
    <row r="336" spans="1:33" x14ac:dyDescent="0.2">
      <c r="A336" s="2" t="s">
        <v>1209</v>
      </c>
      <c r="B336" s="2" t="s">
        <v>1210</v>
      </c>
      <c r="C336" s="2" t="s">
        <v>1211</v>
      </c>
      <c r="D336" s="2" t="s">
        <v>103</v>
      </c>
      <c r="E336" s="2" t="s">
        <v>167</v>
      </c>
      <c r="F336" s="2" t="s">
        <v>38</v>
      </c>
      <c r="G336" s="2" t="s">
        <v>123</v>
      </c>
      <c r="H336" s="2" t="s">
        <v>1212</v>
      </c>
      <c r="I336" s="2">
        <v>81</v>
      </c>
      <c r="J336" s="2" t="s">
        <v>65</v>
      </c>
      <c r="K336" s="2" t="s">
        <v>42</v>
      </c>
      <c r="L336" s="2" t="s">
        <v>141</v>
      </c>
      <c r="M336" s="2"/>
      <c r="N336" s="2" t="s">
        <v>81</v>
      </c>
      <c r="O336" s="2" t="s">
        <v>328</v>
      </c>
      <c r="P336" s="2" t="s">
        <v>329</v>
      </c>
      <c r="Q336" s="2" t="s">
        <v>69</v>
      </c>
      <c r="R336" s="2" t="s">
        <v>1213</v>
      </c>
      <c r="S336" s="2">
        <v>2</v>
      </c>
      <c r="T336" s="2">
        <v>183</v>
      </c>
      <c r="U336" s="2">
        <v>104</v>
      </c>
      <c r="V336" s="2">
        <v>78</v>
      </c>
      <c r="W336" s="2">
        <v>24</v>
      </c>
      <c r="X336" s="2">
        <v>36.1</v>
      </c>
      <c r="Y336" s="2">
        <v>24.9</v>
      </c>
      <c r="Z336" s="2">
        <v>95</v>
      </c>
      <c r="AA336" s="2" t="s">
        <v>50</v>
      </c>
      <c r="AB336" s="2" t="s">
        <v>51</v>
      </c>
      <c r="AC336" s="2" t="s">
        <v>52</v>
      </c>
      <c r="AD336" s="2" t="s">
        <v>53</v>
      </c>
      <c r="AE336" s="2" t="s">
        <v>54</v>
      </c>
      <c r="AF336" s="2" t="s">
        <v>55</v>
      </c>
      <c r="AG336" s="2" t="s">
        <v>160</v>
      </c>
    </row>
    <row r="337" spans="1:33" x14ac:dyDescent="0.2">
      <c r="A337" s="3" t="s">
        <v>1209</v>
      </c>
      <c r="B337" s="3" t="s">
        <v>1214</v>
      </c>
      <c r="C337" s="3" t="s">
        <v>1215</v>
      </c>
      <c r="D337" s="3" t="s">
        <v>88</v>
      </c>
      <c r="E337" s="3" t="s">
        <v>167</v>
      </c>
      <c r="F337" s="3" t="s">
        <v>109</v>
      </c>
      <c r="G337" s="3" t="s">
        <v>104</v>
      </c>
      <c r="H337" s="3" t="s">
        <v>1212</v>
      </c>
      <c r="I337" s="3">
        <v>81</v>
      </c>
      <c r="J337" s="3" t="s">
        <v>65</v>
      </c>
      <c r="K337" s="3" t="s">
        <v>42</v>
      </c>
      <c r="L337" s="3" t="s">
        <v>141</v>
      </c>
      <c r="M337" s="3"/>
      <c r="N337" s="3" t="s">
        <v>81</v>
      </c>
      <c r="O337" s="3" t="s">
        <v>328</v>
      </c>
      <c r="P337" s="3" t="s">
        <v>329</v>
      </c>
      <c r="Q337" s="3" t="s">
        <v>69</v>
      </c>
      <c r="R337" s="3" t="s">
        <v>1216</v>
      </c>
      <c r="S337" s="3">
        <v>2</v>
      </c>
      <c r="T337" s="3">
        <v>133</v>
      </c>
      <c r="U337" s="3">
        <v>110</v>
      </c>
      <c r="V337" s="3">
        <v>77</v>
      </c>
      <c r="W337" s="3">
        <v>17</v>
      </c>
      <c r="X337" s="3">
        <v>37.700000000000003</v>
      </c>
      <c r="Y337" s="3">
        <v>44.2</v>
      </c>
      <c r="Z337" s="3">
        <v>94</v>
      </c>
      <c r="AA337" s="3" t="s">
        <v>50</v>
      </c>
      <c r="AB337" s="3" t="s">
        <v>51</v>
      </c>
      <c r="AC337" s="3" t="s">
        <v>52</v>
      </c>
      <c r="AD337" s="3" t="s">
        <v>53</v>
      </c>
      <c r="AE337" s="3" t="s">
        <v>54</v>
      </c>
      <c r="AF337" s="3" t="s">
        <v>55</v>
      </c>
      <c r="AG337" s="3" t="s">
        <v>164</v>
      </c>
    </row>
    <row r="338" spans="1:33" x14ac:dyDescent="0.2">
      <c r="A338" s="2" t="s">
        <v>1209</v>
      </c>
      <c r="B338" s="2" t="s">
        <v>1217</v>
      </c>
      <c r="C338" s="2" t="s">
        <v>1218</v>
      </c>
      <c r="D338" s="2" t="s">
        <v>103</v>
      </c>
      <c r="E338" s="2" t="s">
        <v>61</v>
      </c>
      <c r="F338" s="2" t="s">
        <v>148</v>
      </c>
      <c r="G338" s="2" t="s">
        <v>138</v>
      </c>
      <c r="H338" s="2" t="s">
        <v>1212</v>
      </c>
      <c r="I338" s="2">
        <v>81</v>
      </c>
      <c r="J338" s="2" t="s">
        <v>65</v>
      </c>
      <c r="K338" s="2" t="s">
        <v>66</v>
      </c>
      <c r="L338" s="2" t="s">
        <v>141</v>
      </c>
      <c r="M338" s="2"/>
      <c r="N338" s="2" t="s">
        <v>81</v>
      </c>
      <c r="O338" s="2" t="s">
        <v>328</v>
      </c>
      <c r="P338" s="2" t="s">
        <v>329</v>
      </c>
      <c r="Q338" s="2" t="s">
        <v>69</v>
      </c>
      <c r="R338" s="2" t="s">
        <v>1219</v>
      </c>
      <c r="S338" s="2">
        <v>4</v>
      </c>
      <c r="T338" s="2">
        <v>158</v>
      </c>
      <c r="U338" s="2">
        <v>77</v>
      </c>
      <c r="V338" s="2">
        <v>90</v>
      </c>
      <c r="W338" s="2">
        <v>18</v>
      </c>
      <c r="X338" s="2">
        <v>36.5</v>
      </c>
      <c r="Y338" s="2">
        <v>21.4</v>
      </c>
      <c r="Z338" s="2">
        <v>91</v>
      </c>
      <c r="AA338" s="2" t="s">
        <v>50</v>
      </c>
      <c r="AB338" s="2" t="s">
        <v>51</v>
      </c>
      <c r="AC338" s="2" t="s">
        <v>52</v>
      </c>
      <c r="AD338" s="2" t="s">
        <v>53</v>
      </c>
      <c r="AE338" s="2" t="s">
        <v>54</v>
      </c>
      <c r="AF338" s="2" t="s">
        <v>55</v>
      </c>
      <c r="AG338" s="2" t="s">
        <v>169</v>
      </c>
    </row>
    <row r="339" spans="1:33" x14ac:dyDescent="0.2">
      <c r="A339" s="3" t="s">
        <v>1209</v>
      </c>
      <c r="B339" s="3" t="s">
        <v>1220</v>
      </c>
      <c r="C339" s="3" t="s">
        <v>538</v>
      </c>
      <c r="D339" s="3" t="s">
        <v>95</v>
      </c>
      <c r="E339" s="3" t="s">
        <v>37</v>
      </c>
      <c r="F339" s="3" t="s">
        <v>122</v>
      </c>
      <c r="G339" s="3" t="s">
        <v>115</v>
      </c>
      <c r="H339" s="3" t="s">
        <v>1212</v>
      </c>
      <c r="I339" s="3">
        <v>81</v>
      </c>
      <c r="J339" s="3" t="s">
        <v>65</v>
      </c>
      <c r="K339" s="3" t="s">
        <v>110</v>
      </c>
      <c r="L339" s="3" t="s">
        <v>141</v>
      </c>
      <c r="M339" s="3"/>
      <c r="N339" s="3" t="s">
        <v>81</v>
      </c>
      <c r="O339" s="3" t="s">
        <v>328</v>
      </c>
      <c r="P339" s="3" t="s">
        <v>329</v>
      </c>
      <c r="Q339" s="3" t="s">
        <v>69</v>
      </c>
      <c r="R339" s="3" t="s">
        <v>159</v>
      </c>
      <c r="S339" s="3">
        <v>1</v>
      </c>
      <c r="T339" s="3">
        <v>167</v>
      </c>
      <c r="U339" s="3">
        <v>89</v>
      </c>
      <c r="V339" s="3">
        <v>102</v>
      </c>
      <c r="W339" s="3">
        <v>27</v>
      </c>
      <c r="X339" s="3">
        <v>38.700000000000003</v>
      </c>
      <c r="Y339" s="3">
        <v>37.799999999999997</v>
      </c>
      <c r="Z339" s="3">
        <v>96</v>
      </c>
      <c r="AA339" s="3" t="s">
        <v>50</v>
      </c>
      <c r="AB339" s="3" t="s">
        <v>51</v>
      </c>
      <c r="AC339" s="3" t="s">
        <v>52</v>
      </c>
      <c r="AD339" s="3" t="s">
        <v>53</v>
      </c>
      <c r="AE339" s="3" t="s">
        <v>54</v>
      </c>
      <c r="AF339" s="3" t="s">
        <v>55</v>
      </c>
      <c r="AG339" s="3" t="s">
        <v>173</v>
      </c>
    </row>
    <row r="340" spans="1:33" x14ac:dyDescent="0.2">
      <c r="A340" s="2" t="s">
        <v>1209</v>
      </c>
      <c r="B340" s="2" t="s">
        <v>1221</v>
      </c>
      <c r="C340" s="2" t="s">
        <v>708</v>
      </c>
      <c r="D340" s="2" t="s">
        <v>60</v>
      </c>
      <c r="E340" s="2" t="s">
        <v>61</v>
      </c>
      <c r="F340" s="2" t="s">
        <v>38</v>
      </c>
      <c r="G340" s="2" t="s">
        <v>115</v>
      </c>
      <c r="H340" s="2" t="s">
        <v>1212</v>
      </c>
      <c r="I340" s="2">
        <v>81</v>
      </c>
      <c r="J340" s="2" t="s">
        <v>65</v>
      </c>
      <c r="K340" s="2" t="s">
        <v>116</v>
      </c>
      <c r="L340" s="2" t="s">
        <v>141</v>
      </c>
      <c r="M340" s="2"/>
      <c r="N340" s="2" t="s">
        <v>81</v>
      </c>
      <c r="O340" s="2" t="s">
        <v>328</v>
      </c>
      <c r="P340" s="2" t="s">
        <v>329</v>
      </c>
      <c r="Q340" s="2" t="s">
        <v>69</v>
      </c>
      <c r="R340" s="2" t="s">
        <v>1222</v>
      </c>
      <c r="S340" s="2">
        <v>2</v>
      </c>
      <c r="T340" s="2">
        <v>126</v>
      </c>
      <c r="U340" s="2">
        <v>96</v>
      </c>
      <c r="V340" s="2">
        <v>60</v>
      </c>
      <c r="W340" s="2">
        <v>19</v>
      </c>
      <c r="X340" s="2">
        <v>39.200000000000003</v>
      </c>
      <c r="Y340" s="2">
        <v>32.4</v>
      </c>
      <c r="Z340" s="2">
        <v>100</v>
      </c>
      <c r="AA340" s="2" t="s">
        <v>50</v>
      </c>
      <c r="AB340" s="2" t="s">
        <v>51</v>
      </c>
      <c r="AC340" s="2" t="s">
        <v>52</v>
      </c>
      <c r="AD340" s="2" t="s">
        <v>53</v>
      </c>
      <c r="AE340" s="2" t="s">
        <v>54</v>
      </c>
      <c r="AF340" s="2" t="s">
        <v>55</v>
      </c>
      <c r="AG340" s="2" t="s">
        <v>177</v>
      </c>
    </row>
    <row r="341" spans="1:33" x14ac:dyDescent="0.2">
      <c r="A341" s="3" t="s">
        <v>1223</v>
      </c>
      <c r="B341" s="3" t="s">
        <v>1224</v>
      </c>
      <c r="C341" s="4" t="s">
        <v>313</v>
      </c>
      <c r="D341" s="3" t="s">
        <v>60</v>
      </c>
      <c r="E341" s="3" t="s">
        <v>37</v>
      </c>
      <c r="F341" s="3" t="s">
        <v>122</v>
      </c>
      <c r="G341" s="3" t="s">
        <v>138</v>
      </c>
      <c r="H341" s="3" t="s">
        <v>1225</v>
      </c>
      <c r="I341" s="4">
        <v>57</v>
      </c>
      <c r="J341" s="3" t="s">
        <v>41</v>
      </c>
      <c r="K341" s="3" t="s">
        <v>90</v>
      </c>
      <c r="L341" s="3" t="s">
        <v>141</v>
      </c>
      <c r="M341" s="3" t="s">
        <v>44</v>
      </c>
      <c r="N341" s="3" t="s">
        <v>45</v>
      </c>
      <c r="O341" s="3" t="s">
        <v>305</v>
      </c>
      <c r="P341" s="3" t="s">
        <v>306</v>
      </c>
      <c r="Q341" s="3" t="s">
        <v>48</v>
      </c>
      <c r="R341" s="3" t="s">
        <v>1226</v>
      </c>
      <c r="S341" s="3">
        <v>3</v>
      </c>
      <c r="T341" s="4">
        <v>163</v>
      </c>
      <c r="U341" s="4"/>
      <c r="V341" s="3">
        <v>58</v>
      </c>
      <c r="W341" s="3">
        <v>25</v>
      </c>
      <c r="X341" s="3">
        <v>37.6</v>
      </c>
      <c r="Y341" s="4">
        <v>19.2</v>
      </c>
      <c r="Z341" s="3">
        <v>89</v>
      </c>
      <c r="AA341" s="3" t="s">
        <v>50</v>
      </c>
      <c r="AB341" s="3" t="s">
        <v>51</v>
      </c>
      <c r="AC341" s="3" t="s">
        <v>52</v>
      </c>
      <c r="AD341" s="3" t="s">
        <v>53</v>
      </c>
      <c r="AE341" s="3" t="s">
        <v>54</v>
      </c>
      <c r="AF341" s="3" t="s">
        <v>318</v>
      </c>
      <c r="AG341" s="3" t="s">
        <v>56</v>
      </c>
    </row>
    <row r="342" spans="1:33" x14ac:dyDescent="0.2">
      <c r="A342" s="2" t="s">
        <v>1227</v>
      </c>
      <c r="B342" s="2" t="s">
        <v>1228</v>
      </c>
      <c r="C342" s="2" t="s">
        <v>1229</v>
      </c>
      <c r="D342" s="2" t="s">
        <v>88</v>
      </c>
      <c r="E342" s="2" t="s">
        <v>96</v>
      </c>
      <c r="F342" s="2" t="s">
        <v>109</v>
      </c>
      <c r="G342" s="2" t="s">
        <v>115</v>
      </c>
      <c r="H342" s="2" t="s">
        <v>1230</v>
      </c>
      <c r="I342" s="2">
        <v>62</v>
      </c>
      <c r="J342" s="2" t="s">
        <v>65</v>
      </c>
      <c r="K342" s="2" t="s">
        <v>78</v>
      </c>
      <c r="L342" s="2" t="s">
        <v>43</v>
      </c>
      <c r="M342" s="2" t="s">
        <v>44</v>
      </c>
      <c r="N342" s="2" t="s">
        <v>45</v>
      </c>
      <c r="O342" s="2" t="s">
        <v>283</v>
      </c>
      <c r="P342" s="2" t="s">
        <v>284</v>
      </c>
      <c r="Q342" s="2" t="s">
        <v>69</v>
      </c>
      <c r="R342" s="2" t="s">
        <v>518</v>
      </c>
      <c r="S342" s="2">
        <v>1</v>
      </c>
      <c r="T342" s="2">
        <v>96</v>
      </c>
      <c r="U342" s="2">
        <v>68</v>
      </c>
      <c r="V342" s="2">
        <v>64</v>
      </c>
      <c r="W342" s="2">
        <v>17</v>
      </c>
      <c r="X342" s="2">
        <v>38.9</v>
      </c>
      <c r="Y342" s="2">
        <v>32.799999999999997</v>
      </c>
      <c r="Z342" s="2">
        <v>100</v>
      </c>
      <c r="AA342" s="2" t="s">
        <v>50</v>
      </c>
      <c r="AB342" s="2" t="s">
        <v>51</v>
      </c>
      <c r="AC342" s="2" t="s">
        <v>52</v>
      </c>
      <c r="AD342" s="2" t="s">
        <v>53</v>
      </c>
      <c r="AE342" s="2" t="s">
        <v>54</v>
      </c>
      <c r="AF342" s="2" t="s">
        <v>55</v>
      </c>
      <c r="AG342" s="2" t="s">
        <v>85</v>
      </c>
    </row>
    <row r="343" spans="1:33" x14ac:dyDescent="0.2">
      <c r="A343" s="3" t="s">
        <v>1227</v>
      </c>
      <c r="B343" s="3" t="s">
        <v>1231</v>
      </c>
      <c r="C343" s="3" t="s">
        <v>930</v>
      </c>
      <c r="D343" s="3" t="s">
        <v>88</v>
      </c>
      <c r="E343" s="3" t="s">
        <v>61</v>
      </c>
      <c r="F343" s="3" t="s">
        <v>219</v>
      </c>
      <c r="G343" s="3" t="s">
        <v>76</v>
      </c>
      <c r="H343" s="3" t="s">
        <v>1230</v>
      </c>
      <c r="I343" s="3">
        <v>62</v>
      </c>
      <c r="J343" s="3" t="s">
        <v>65</v>
      </c>
      <c r="K343" s="3" t="s">
        <v>116</v>
      </c>
      <c r="L343" s="3" t="s">
        <v>43</v>
      </c>
      <c r="M343" s="3" t="s">
        <v>44</v>
      </c>
      <c r="N343" s="3" t="s">
        <v>45</v>
      </c>
      <c r="O343" s="3" t="s">
        <v>283</v>
      </c>
      <c r="P343" s="3" t="s">
        <v>284</v>
      </c>
      <c r="Q343" s="3" t="s">
        <v>69</v>
      </c>
      <c r="R343" s="3" t="s">
        <v>1232</v>
      </c>
      <c r="S343" s="3">
        <v>3</v>
      </c>
      <c r="T343" s="3">
        <v>181</v>
      </c>
      <c r="U343" s="3">
        <v>66</v>
      </c>
      <c r="V343" s="3">
        <v>77</v>
      </c>
      <c r="W343" s="3">
        <v>18</v>
      </c>
      <c r="X343" s="3">
        <v>36.700000000000003</v>
      </c>
      <c r="Y343" s="3">
        <v>24</v>
      </c>
      <c r="Z343" s="3">
        <v>88</v>
      </c>
      <c r="AA343" s="3" t="s">
        <v>50</v>
      </c>
      <c r="AB343" s="3" t="s">
        <v>51</v>
      </c>
      <c r="AC343" s="3" t="s">
        <v>52</v>
      </c>
      <c r="AD343" s="3" t="s">
        <v>53</v>
      </c>
      <c r="AE343" s="3" t="s">
        <v>54</v>
      </c>
      <c r="AF343" s="3" t="s">
        <v>55</v>
      </c>
      <c r="AG343" s="3" t="s">
        <v>92</v>
      </c>
    </row>
    <row r="344" spans="1:33" x14ac:dyDescent="0.2">
      <c r="A344" s="2" t="s">
        <v>1227</v>
      </c>
      <c r="B344" s="2" t="s">
        <v>1233</v>
      </c>
      <c r="C344" s="2" t="s">
        <v>1234</v>
      </c>
      <c r="D344" s="2" t="s">
        <v>95</v>
      </c>
      <c r="E344" s="2" t="s">
        <v>61</v>
      </c>
      <c r="F344" s="2" t="s">
        <v>122</v>
      </c>
      <c r="G344" s="2" t="s">
        <v>98</v>
      </c>
      <c r="H344" s="2" t="s">
        <v>1230</v>
      </c>
      <c r="I344" s="2">
        <v>62</v>
      </c>
      <c r="J344" s="2" t="s">
        <v>65</v>
      </c>
      <c r="K344" s="2" t="s">
        <v>116</v>
      </c>
      <c r="L344" s="2" t="s">
        <v>43</v>
      </c>
      <c r="M344" s="2" t="s">
        <v>44</v>
      </c>
      <c r="N344" s="2" t="s">
        <v>45</v>
      </c>
      <c r="O344" s="2" t="s">
        <v>283</v>
      </c>
      <c r="P344" s="2" t="s">
        <v>284</v>
      </c>
      <c r="Q344" s="2" t="s">
        <v>69</v>
      </c>
      <c r="R344" s="2" t="s">
        <v>1235</v>
      </c>
      <c r="S344" s="2">
        <v>4</v>
      </c>
      <c r="T344" s="2">
        <v>145</v>
      </c>
      <c r="U344" s="2">
        <v>57</v>
      </c>
      <c r="V344" s="2">
        <v>75</v>
      </c>
      <c r="W344" s="2">
        <v>14</v>
      </c>
      <c r="X344" s="2">
        <v>36.9</v>
      </c>
      <c r="Y344" s="2">
        <v>34.6</v>
      </c>
      <c r="Z344" s="2">
        <v>91</v>
      </c>
      <c r="AA344" s="2" t="s">
        <v>50</v>
      </c>
      <c r="AB344" s="2" t="s">
        <v>51</v>
      </c>
      <c r="AC344" s="2" t="s">
        <v>52</v>
      </c>
      <c r="AD344" s="2" t="s">
        <v>53</v>
      </c>
      <c r="AE344" s="2" t="s">
        <v>54</v>
      </c>
      <c r="AF344" s="2" t="s">
        <v>55</v>
      </c>
      <c r="AG344" s="2" t="s">
        <v>100</v>
      </c>
    </row>
    <row r="345" spans="1:33" x14ac:dyDescent="0.2">
      <c r="A345" s="3" t="s">
        <v>1227</v>
      </c>
      <c r="B345" s="3" t="s">
        <v>1236</v>
      </c>
      <c r="C345" s="3" t="s">
        <v>1237</v>
      </c>
      <c r="D345" s="3" t="s">
        <v>88</v>
      </c>
      <c r="E345" s="3" t="s">
        <v>37</v>
      </c>
      <c r="F345" s="3" t="s">
        <v>38</v>
      </c>
      <c r="G345" s="3" t="s">
        <v>63</v>
      </c>
      <c r="H345" s="3" t="s">
        <v>1230</v>
      </c>
      <c r="I345" s="3">
        <v>62</v>
      </c>
      <c r="J345" s="3" t="s">
        <v>65</v>
      </c>
      <c r="K345" s="3" t="s">
        <v>42</v>
      </c>
      <c r="L345" s="3" t="s">
        <v>43</v>
      </c>
      <c r="M345" s="3" t="s">
        <v>44</v>
      </c>
      <c r="N345" s="3" t="s">
        <v>45</v>
      </c>
      <c r="O345" s="3" t="s">
        <v>283</v>
      </c>
      <c r="P345" s="3" t="s">
        <v>284</v>
      </c>
      <c r="Q345" s="3" t="s">
        <v>69</v>
      </c>
      <c r="R345" s="3" t="s">
        <v>1238</v>
      </c>
      <c r="S345" s="3">
        <v>2</v>
      </c>
      <c r="T345" s="3">
        <v>111</v>
      </c>
      <c r="U345" s="3">
        <v>115</v>
      </c>
      <c r="V345" s="3">
        <v>87</v>
      </c>
      <c r="W345" s="3">
        <v>14</v>
      </c>
      <c r="X345" s="3">
        <v>37.4</v>
      </c>
      <c r="Y345" s="3">
        <v>36.299999999999997</v>
      </c>
      <c r="Z345" s="3">
        <v>88</v>
      </c>
      <c r="AA345" s="3" t="s">
        <v>50</v>
      </c>
      <c r="AB345" s="3" t="s">
        <v>51</v>
      </c>
      <c r="AC345" s="3" t="s">
        <v>52</v>
      </c>
      <c r="AD345" s="3" t="s">
        <v>53</v>
      </c>
      <c r="AE345" s="3" t="s">
        <v>54</v>
      </c>
      <c r="AF345" s="3" t="s">
        <v>55</v>
      </c>
      <c r="AG345" s="3" t="s">
        <v>106</v>
      </c>
    </row>
    <row r="346" spans="1:33" x14ac:dyDescent="0.2">
      <c r="A346" s="2" t="s">
        <v>1227</v>
      </c>
      <c r="B346" s="2" t="s">
        <v>1239</v>
      </c>
      <c r="C346" s="2" t="s">
        <v>1240</v>
      </c>
      <c r="D346" s="2" t="s">
        <v>88</v>
      </c>
      <c r="E346" s="2" t="s">
        <v>96</v>
      </c>
      <c r="F346" s="2" t="s">
        <v>219</v>
      </c>
      <c r="G346" s="2" t="s">
        <v>104</v>
      </c>
      <c r="H346" s="2" t="s">
        <v>1230</v>
      </c>
      <c r="I346" s="2">
        <v>62</v>
      </c>
      <c r="J346" s="2" t="s">
        <v>65</v>
      </c>
      <c r="K346" s="2" t="s">
        <v>140</v>
      </c>
      <c r="L346" s="2" t="s">
        <v>43</v>
      </c>
      <c r="M346" s="2" t="s">
        <v>44</v>
      </c>
      <c r="N346" s="2" t="s">
        <v>45</v>
      </c>
      <c r="O346" s="2" t="s">
        <v>283</v>
      </c>
      <c r="P346" s="2" t="s">
        <v>284</v>
      </c>
      <c r="Q346" s="2" t="s">
        <v>69</v>
      </c>
      <c r="R346" s="2" t="s">
        <v>1241</v>
      </c>
      <c r="S346" s="2">
        <v>3</v>
      </c>
      <c r="T346" s="2">
        <v>125</v>
      </c>
      <c r="U346" s="2">
        <v>91</v>
      </c>
      <c r="V346" s="2">
        <v>124</v>
      </c>
      <c r="W346" s="2">
        <v>14</v>
      </c>
      <c r="X346" s="2">
        <v>38.700000000000003</v>
      </c>
      <c r="Y346" s="2">
        <v>38.200000000000003</v>
      </c>
      <c r="Z346" s="2">
        <v>91</v>
      </c>
      <c r="AA346" s="2" t="s">
        <v>50</v>
      </c>
      <c r="AB346" s="2" t="s">
        <v>51</v>
      </c>
      <c r="AC346" s="2" t="s">
        <v>52</v>
      </c>
      <c r="AD346" s="2" t="s">
        <v>53</v>
      </c>
      <c r="AE346" s="2" t="s">
        <v>54</v>
      </c>
      <c r="AF346" s="2" t="s">
        <v>55</v>
      </c>
      <c r="AG346" s="2" t="s">
        <v>112</v>
      </c>
    </row>
    <row r="347" spans="1:33" x14ac:dyDescent="0.2">
      <c r="A347" s="3" t="s">
        <v>1227</v>
      </c>
      <c r="B347" s="3" t="s">
        <v>1242</v>
      </c>
      <c r="C347" s="3" t="s">
        <v>582</v>
      </c>
      <c r="D347" s="3" t="s">
        <v>60</v>
      </c>
      <c r="E347" s="3" t="s">
        <v>61</v>
      </c>
      <c r="F347" s="3" t="s">
        <v>132</v>
      </c>
      <c r="G347" s="3" t="s">
        <v>76</v>
      </c>
      <c r="H347" s="3" t="s">
        <v>1230</v>
      </c>
      <c r="I347" s="3">
        <v>62</v>
      </c>
      <c r="J347" s="3" t="s">
        <v>65</v>
      </c>
      <c r="K347" s="3" t="s">
        <v>140</v>
      </c>
      <c r="L347" s="3" t="s">
        <v>43</v>
      </c>
      <c r="M347" s="3" t="s">
        <v>44</v>
      </c>
      <c r="N347" s="3" t="s">
        <v>45</v>
      </c>
      <c r="O347" s="3" t="s">
        <v>283</v>
      </c>
      <c r="P347" s="3" t="s">
        <v>284</v>
      </c>
      <c r="Q347" s="3" t="s">
        <v>69</v>
      </c>
      <c r="R347" s="3" t="s">
        <v>117</v>
      </c>
      <c r="S347" s="3">
        <v>1</v>
      </c>
      <c r="T347" s="3">
        <v>136</v>
      </c>
      <c r="U347" s="3">
        <v>62</v>
      </c>
      <c r="V347" s="3">
        <v>87</v>
      </c>
      <c r="W347" s="3">
        <v>16</v>
      </c>
      <c r="X347" s="3">
        <v>39</v>
      </c>
      <c r="Y347" s="3">
        <v>18.3</v>
      </c>
      <c r="Z347" s="3">
        <v>97</v>
      </c>
      <c r="AA347" s="3" t="s">
        <v>50</v>
      </c>
      <c r="AB347" s="3" t="s">
        <v>51</v>
      </c>
      <c r="AC347" s="3" t="s">
        <v>52</v>
      </c>
      <c r="AD347" s="3" t="s">
        <v>53</v>
      </c>
      <c r="AE347" s="3" t="s">
        <v>54</v>
      </c>
      <c r="AF347" s="3" t="s">
        <v>55</v>
      </c>
      <c r="AG347" s="3" t="s">
        <v>118</v>
      </c>
    </row>
    <row r="348" spans="1:33" x14ac:dyDescent="0.2">
      <c r="A348" s="2" t="s">
        <v>1243</v>
      </c>
      <c r="B348" s="2" t="s">
        <v>1244</v>
      </c>
      <c r="C348" s="2" t="s">
        <v>1245</v>
      </c>
      <c r="D348" s="2" t="s">
        <v>95</v>
      </c>
      <c r="E348" s="2" t="s">
        <v>167</v>
      </c>
      <c r="F348" s="2" t="s">
        <v>132</v>
      </c>
      <c r="G348" s="2" t="s">
        <v>98</v>
      </c>
      <c r="H348" s="2" t="s">
        <v>1246</v>
      </c>
      <c r="I348" s="2">
        <v>30</v>
      </c>
      <c r="J348" s="2" t="s">
        <v>65</v>
      </c>
      <c r="K348" s="2" t="s">
        <v>78</v>
      </c>
      <c r="L348" s="2" t="s">
        <v>141</v>
      </c>
      <c r="M348" s="2" t="s">
        <v>80</v>
      </c>
      <c r="N348" s="2" t="s">
        <v>81</v>
      </c>
      <c r="O348" s="2" t="s">
        <v>283</v>
      </c>
      <c r="P348" s="2" t="s">
        <v>284</v>
      </c>
      <c r="Q348" s="2" t="s">
        <v>69</v>
      </c>
      <c r="R348" s="2" t="s">
        <v>556</v>
      </c>
      <c r="S348" s="2">
        <v>1</v>
      </c>
      <c r="T348" s="2">
        <v>140</v>
      </c>
      <c r="U348" s="2">
        <v>88</v>
      </c>
      <c r="V348" s="2">
        <v>111</v>
      </c>
      <c r="W348" s="2">
        <v>21</v>
      </c>
      <c r="X348" s="2">
        <v>36.1</v>
      </c>
      <c r="Y348" s="2">
        <v>39.299999999999997</v>
      </c>
      <c r="Z348" s="2">
        <v>100</v>
      </c>
      <c r="AA348" s="2" t="s">
        <v>50</v>
      </c>
      <c r="AB348" s="2" t="s">
        <v>51</v>
      </c>
      <c r="AC348" s="2" t="s">
        <v>52</v>
      </c>
      <c r="AD348" s="2" t="s">
        <v>53</v>
      </c>
      <c r="AE348" s="2" t="s">
        <v>54</v>
      </c>
      <c r="AF348" s="2" t="s">
        <v>55</v>
      </c>
      <c r="AG348" s="2" t="s">
        <v>394</v>
      </c>
    </row>
    <row r="349" spans="1:33" x14ac:dyDescent="0.2">
      <c r="A349" s="3" t="s">
        <v>1243</v>
      </c>
      <c r="B349" s="3" t="s">
        <v>1247</v>
      </c>
      <c r="C349" s="3" t="s">
        <v>1248</v>
      </c>
      <c r="D349" s="3" t="s">
        <v>95</v>
      </c>
      <c r="E349" s="3" t="s">
        <v>89</v>
      </c>
      <c r="F349" s="3" t="s">
        <v>38</v>
      </c>
      <c r="G349" s="3" t="s">
        <v>123</v>
      </c>
      <c r="H349" s="3" t="s">
        <v>1246</v>
      </c>
      <c r="I349" s="3">
        <v>30</v>
      </c>
      <c r="J349" s="3" t="s">
        <v>65</v>
      </c>
      <c r="K349" s="3" t="s">
        <v>78</v>
      </c>
      <c r="L349" s="3" t="s">
        <v>141</v>
      </c>
      <c r="M349" s="3" t="s">
        <v>80</v>
      </c>
      <c r="N349" s="3" t="s">
        <v>81</v>
      </c>
      <c r="O349" s="3" t="s">
        <v>283</v>
      </c>
      <c r="P349" s="3" t="s">
        <v>284</v>
      </c>
      <c r="Q349" s="3" t="s">
        <v>69</v>
      </c>
      <c r="R349" s="3" t="s">
        <v>1249</v>
      </c>
      <c r="S349" s="3">
        <v>4</v>
      </c>
      <c r="T349" s="3">
        <v>98</v>
      </c>
      <c r="U349" s="3">
        <v>88</v>
      </c>
      <c r="V349" s="3">
        <v>115</v>
      </c>
      <c r="W349" s="3">
        <v>17</v>
      </c>
      <c r="X349" s="3">
        <v>38.299999999999997</v>
      </c>
      <c r="Y349" s="3">
        <v>31.5</v>
      </c>
      <c r="Z349" s="3">
        <v>89</v>
      </c>
      <c r="AA349" s="3" t="s">
        <v>50</v>
      </c>
      <c r="AB349" s="3" t="s">
        <v>51</v>
      </c>
      <c r="AC349" s="3" t="s">
        <v>52</v>
      </c>
      <c r="AD349" s="3" t="s">
        <v>53</v>
      </c>
      <c r="AE349" s="3" t="s">
        <v>54</v>
      </c>
      <c r="AF349" s="3" t="s">
        <v>55</v>
      </c>
      <c r="AG349" s="3" t="s">
        <v>399</v>
      </c>
    </row>
    <row r="350" spans="1:33" x14ac:dyDescent="0.2">
      <c r="A350" s="2" t="s">
        <v>1243</v>
      </c>
      <c r="B350" s="2" t="s">
        <v>1250</v>
      </c>
      <c r="C350" s="2" t="s">
        <v>1251</v>
      </c>
      <c r="D350" s="2" t="s">
        <v>36</v>
      </c>
      <c r="E350" s="2" t="s">
        <v>167</v>
      </c>
      <c r="F350" s="2" t="s">
        <v>97</v>
      </c>
      <c r="G350" s="2" t="s">
        <v>123</v>
      </c>
      <c r="H350" s="2" t="s">
        <v>1246</v>
      </c>
      <c r="I350" s="2">
        <v>30</v>
      </c>
      <c r="J350" s="2" t="s">
        <v>65</v>
      </c>
      <c r="K350" s="2" t="s">
        <v>66</v>
      </c>
      <c r="L350" s="2" t="s">
        <v>141</v>
      </c>
      <c r="M350" s="2" t="s">
        <v>80</v>
      </c>
      <c r="N350" s="2" t="s">
        <v>81</v>
      </c>
      <c r="O350" s="2" t="s">
        <v>283</v>
      </c>
      <c r="P350" s="2" t="s">
        <v>284</v>
      </c>
      <c r="Q350" s="2" t="s">
        <v>69</v>
      </c>
      <c r="R350" s="2" t="s">
        <v>601</v>
      </c>
      <c r="S350" s="2">
        <v>1</v>
      </c>
      <c r="T350" s="2">
        <v>140</v>
      </c>
      <c r="U350" s="2">
        <v>113</v>
      </c>
      <c r="V350" s="2">
        <v>96</v>
      </c>
      <c r="W350" s="2">
        <v>18</v>
      </c>
      <c r="X350" s="2">
        <v>39.1</v>
      </c>
      <c r="Y350" s="2">
        <v>26.6</v>
      </c>
      <c r="Z350" s="2">
        <v>87</v>
      </c>
      <c r="AA350" s="2" t="s">
        <v>50</v>
      </c>
      <c r="AB350" s="2" t="s">
        <v>51</v>
      </c>
      <c r="AC350" s="2" t="s">
        <v>52</v>
      </c>
      <c r="AD350" s="2" t="s">
        <v>53</v>
      </c>
      <c r="AE350" s="2" t="s">
        <v>54</v>
      </c>
      <c r="AF350" s="2" t="s">
        <v>55</v>
      </c>
      <c r="AG350" s="2" t="s">
        <v>403</v>
      </c>
    </row>
    <row r="351" spans="1:33" x14ac:dyDescent="0.2">
      <c r="A351" s="3" t="s">
        <v>1243</v>
      </c>
      <c r="B351" s="3" t="s">
        <v>1252</v>
      </c>
      <c r="C351" s="3" t="s">
        <v>1253</v>
      </c>
      <c r="D351" s="3" t="s">
        <v>36</v>
      </c>
      <c r="E351" s="3" t="s">
        <v>37</v>
      </c>
      <c r="F351" s="3" t="s">
        <v>109</v>
      </c>
      <c r="G351" s="3" t="s">
        <v>115</v>
      </c>
      <c r="H351" s="3" t="s">
        <v>1246</v>
      </c>
      <c r="I351" s="3">
        <v>30</v>
      </c>
      <c r="J351" s="3" t="s">
        <v>65</v>
      </c>
      <c r="K351" s="3" t="s">
        <v>110</v>
      </c>
      <c r="L351" s="3" t="s">
        <v>141</v>
      </c>
      <c r="M351" s="3" t="s">
        <v>80</v>
      </c>
      <c r="N351" s="3" t="s">
        <v>81</v>
      </c>
      <c r="O351" s="3" t="s">
        <v>283</v>
      </c>
      <c r="P351" s="3" t="s">
        <v>284</v>
      </c>
      <c r="Q351" s="3" t="s">
        <v>69</v>
      </c>
      <c r="R351" s="3" t="s">
        <v>1254</v>
      </c>
      <c r="S351" s="3">
        <v>3</v>
      </c>
      <c r="T351" s="3">
        <v>126</v>
      </c>
      <c r="U351" s="3">
        <v>61</v>
      </c>
      <c r="V351" s="3">
        <v>76</v>
      </c>
      <c r="W351" s="3">
        <v>18</v>
      </c>
      <c r="X351" s="3">
        <v>37.1</v>
      </c>
      <c r="Y351" s="3">
        <v>36.299999999999997</v>
      </c>
      <c r="Z351" s="3">
        <v>90</v>
      </c>
      <c r="AA351" s="3" t="s">
        <v>50</v>
      </c>
      <c r="AB351" s="3" t="s">
        <v>51</v>
      </c>
      <c r="AC351" s="3" t="s">
        <v>52</v>
      </c>
      <c r="AD351" s="3" t="s">
        <v>53</v>
      </c>
      <c r="AE351" s="3" t="s">
        <v>54</v>
      </c>
      <c r="AF351" s="3" t="s">
        <v>55</v>
      </c>
      <c r="AG351" s="3" t="s">
        <v>408</v>
      </c>
    </row>
    <row r="352" spans="1:33" x14ac:dyDescent="0.2">
      <c r="A352" s="2" t="s">
        <v>1255</v>
      </c>
      <c r="B352" s="2" t="s">
        <v>1256</v>
      </c>
      <c r="C352" s="2" t="s">
        <v>1257</v>
      </c>
      <c r="D352" s="2" t="s">
        <v>88</v>
      </c>
      <c r="E352" s="2" t="s">
        <v>167</v>
      </c>
      <c r="F352" s="2" t="s">
        <v>38</v>
      </c>
      <c r="G352" s="2" t="s">
        <v>104</v>
      </c>
      <c r="H352" s="2" t="s">
        <v>1258</v>
      </c>
      <c r="I352" s="2">
        <v>22</v>
      </c>
      <c r="J352" s="2" t="s">
        <v>65</v>
      </c>
      <c r="K352" s="2" t="s">
        <v>42</v>
      </c>
      <c r="L352" s="2" t="s">
        <v>141</v>
      </c>
      <c r="M352" s="2" t="s">
        <v>125</v>
      </c>
      <c r="N352" s="2" t="s">
        <v>45</v>
      </c>
      <c r="O352" s="2" t="s">
        <v>126</v>
      </c>
      <c r="P352" s="2" t="s">
        <v>127</v>
      </c>
      <c r="Q352" s="2" t="s">
        <v>69</v>
      </c>
      <c r="R352" s="2" t="s">
        <v>1259</v>
      </c>
      <c r="S352" s="2">
        <v>2</v>
      </c>
      <c r="T352" s="2">
        <v>97</v>
      </c>
      <c r="U352" s="2">
        <v>74</v>
      </c>
      <c r="V352" s="2">
        <v>93</v>
      </c>
      <c r="W352" s="2">
        <v>17</v>
      </c>
      <c r="X352" s="2">
        <v>36.299999999999997</v>
      </c>
      <c r="Y352" s="2">
        <v>31.4</v>
      </c>
      <c r="Z352" s="2">
        <v>96</v>
      </c>
      <c r="AA352" s="2" t="s">
        <v>50</v>
      </c>
      <c r="AB352" s="2" t="s">
        <v>51</v>
      </c>
      <c r="AC352" s="2" t="s">
        <v>52</v>
      </c>
      <c r="AD352" s="2" t="s">
        <v>53</v>
      </c>
      <c r="AE352" s="2" t="s">
        <v>54</v>
      </c>
      <c r="AF352" s="2" t="s">
        <v>55</v>
      </c>
      <c r="AG352" s="2" t="s">
        <v>160</v>
      </c>
    </row>
    <row r="353" spans="1:33" x14ac:dyDescent="0.2">
      <c r="A353" s="3" t="s">
        <v>1255</v>
      </c>
      <c r="B353" s="3" t="s">
        <v>1260</v>
      </c>
      <c r="C353" s="3" t="s">
        <v>248</v>
      </c>
      <c r="D353" s="3" t="s">
        <v>88</v>
      </c>
      <c r="E353" s="3" t="s">
        <v>37</v>
      </c>
      <c r="F353" s="3" t="s">
        <v>97</v>
      </c>
      <c r="G353" s="3" t="s">
        <v>63</v>
      </c>
      <c r="H353" s="3" t="s">
        <v>1258</v>
      </c>
      <c r="I353" s="3">
        <v>22</v>
      </c>
      <c r="J353" s="3" t="s">
        <v>65</v>
      </c>
      <c r="K353" s="3" t="s">
        <v>90</v>
      </c>
      <c r="L353" s="3" t="s">
        <v>141</v>
      </c>
      <c r="M353" s="3" t="s">
        <v>125</v>
      </c>
      <c r="N353" s="3" t="s">
        <v>45</v>
      </c>
      <c r="O353" s="3" t="s">
        <v>126</v>
      </c>
      <c r="P353" s="3" t="s">
        <v>127</v>
      </c>
      <c r="Q353" s="3" t="s">
        <v>69</v>
      </c>
      <c r="R353" s="3" t="s">
        <v>1261</v>
      </c>
      <c r="S353" s="3">
        <v>3</v>
      </c>
      <c r="T353" s="3">
        <v>113</v>
      </c>
      <c r="U353" s="3">
        <v>93</v>
      </c>
      <c r="V353" s="3">
        <v>123</v>
      </c>
      <c r="W353" s="3">
        <v>13</v>
      </c>
      <c r="X353" s="3">
        <v>38.700000000000003</v>
      </c>
      <c r="Y353" s="3">
        <v>23.6</v>
      </c>
      <c r="Z353" s="3">
        <v>90</v>
      </c>
      <c r="AA353" s="3" t="s">
        <v>50</v>
      </c>
      <c r="AB353" s="3" t="s">
        <v>51</v>
      </c>
      <c r="AC353" s="3" t="s">
        <v>52</v>
      </c>
      <c r="AD353" s="3" t="s">
        <v>53</v>
      </c>
      <c r="AE353" s="3" t="s">
        <v>54</v>
      </c>
      <c r="AF353" s="3" t="s">
        <v>55</v>
      </c>
      <c r="AG353" s="3" t="s">
        <v>164</v>
      </c>
    </row>
    <row r="354" spans="1:33" x14ac:dyDescent="0.2">
      <c r="A354" s="2" t="s">
        <v>1255</v>
      </c>
      <c r="B354" s="2" t="s">
        <v>1262</v>
      </c>
      <c r="C354" s="2" t="s">
        <v>1263</v>
      </c>
      <c r="D354" s="2" t="s">
        <v>103</v>
      </c>
      <c r="E354" s="2" t="s">
        <v>96</v>
      </c>
      <c r="F354" s="2" t="s">
        <v>132</v>
      </c>
      <c r="G354" s="2" t="s">
        <v>104</v>
      </c>
      <c r="H354" s="2" t="s">
        <v>1258</v>
      </c>
      <c r="I354" s="2">
        <v>22</v>
      </c>
      <c r="J354" s="2" t="s">
        <v>65</v>
      </c>
      <c r="K354" s="2" t="s">
        <v>90</v>
      </c>
      <c r="L354" s="2" t="s">
        <v>141</v>
      </c>
      <c r="M354" s="2" t="s">
        <v>125</v>
      </c>
      <c r="N354" s="2" t="s">
        <v>45</v>
      </c>
      <c r="O354" s="2" t="s">
        <v>126</v>
      </c>
      <c r="P354" s="2" t="s">
        <v>127</v>
      </c>
      <c r="Q354" s="2" t="s">
        <v>69</v>
      </c>
      <c r="R354" s="2" t="s">
        <v>1264</v>
      </c>
      <c r="S354" s="2">
        <v>3</v>
      </c>
      <c r="T354" s="2">
        <v>120</v>
      </c>
      <c r="U354" s="2">
        <v>89</v>
      </c>
      <c r="V354" s="2">
        <v>90</v>
      </c>
      <c r="W354" s="2">
        <v>19</v>
      </c>
      <c r="X354" s="2">
        <v>37.1</v>
      </c>
      <c r="Y354" s="2">
        <v>19.7</v>
      </c>
      <c r="Z354" s="2">
        <v>98</v>
      </c>
      <c r="AA354" s="2" t="s">
        <v>50</v>
      </c>
      <c r="AB354" s="2" t="s">
        <v>51</v>
      </c>
      <c r="AC354" s="2" t="s">
        <v>52</v>
      </c>
      <c r="AD354" s="2" t="s">
        <v>53</v>
      </c>
      <c r="AE354" s="2" t="s">
        <v>54</v>
      </c>
      <c r="AF354" s="2" t="s">
        <v>55</v>
      </c>
      <c r="AG354" s="2" t="s">
        <v>169</v>
      </c>
    </row>
    <row r="355" spans="1:33" x14ac:dyDescent="0.2">
      <c r="A355" s="3" t="s">
        <v>1255</v>
      </c>
      <c r="B355" s="3" t="s">
        <v>1265</v>
      </c>
      <c r="C355" s="3" t="s">
        <v>1266</v>
      </c>
      <c r="D355" s="3" t="s">
        <v>88</v>
      </c>
      <c r="E355" s="3" t="s">
        <v>89</v>
      </c>
      <c r="F355" s="3" t="s">
        <v>132</v>
      </c>
      <c r="G355" s="3" t="s">
        <v>123</v>
      </c>
      <c r="H355" s="3" t="s">
        <v>1258</v>
      </c>
      <c r="I355" s="3">
        <v>22</v>
      </c>
      <c r="J355" s="3" t="s">
        <v>65</v>
      </c>
      <c r="K355" s="3" t="s">
        <v>90</v>
      </c>
      <c r="L355" s="3" t="s">
        <v>141</v>
      </c>
      <c r="M355" s="3" t="s">
        <v>125</v>
      </c>
      <c r="N355" s="3" t="s">
        <v>45</v>
      </c>
      <c r="O355" s="3" t="s">
        <v>126</v>
      </c>
      <c r="P355" s="3" t="s">
        <v>127</v>
      </c>
      <c r="Q355" s="3" t="s">
        <v>69</v>
      </c>
      <c r="R355" s="3" t="s">
        <v>1267</v>
      </c>
      <c r="S355" s="3">
        <v>2</v>
      </c>
      <c r="T355" s="3">
        <v>136</v>
      </c>
      <c r="U355" s="3">
        <v>101</v>
      </c>
      <c r="V355" s="3">
        <v>64</v>
      </c>
      <c r="W355" s="3">
        <v>12</v>
      </c>
      <c r="X355" s="3">
        <v>38.299999999999997</v>
      </c>
      <c r="Y355" s="3">
        <v>42.1</v>
      </c>
      <c r="Z355" s="3">
        <v>94</v>
      </c>
      <c r="AA355" s="3" t="s">
        <v>50</v>
      </c>
      <c r="AB355" s="3" t="s">
        <v>51</v>
      </c>
      <c r="AC355" s="3" t="s">
        <v>52</v>
      </c>
      <c r="AD355" s="3" t="s">
        <v>53</v>
      </c>
      <c r="AE355" s="3" t="s">
        <v>54</v>
      </c>
      <c r="AF355" s="3" t="s">
        <v>55</v>
      </c>
      <c r="AG355" s="3" t="s">
        <v>173</v>
      </c>
    </row>
    <row r="356" spans="1:33" x14ac:dyDescent="0.2">
      <c r="A356" s="2" t="s">
        <v>1255</v>
      </c>
      <c r="B356" s="2" t="s">
        <v>1268</v>
      </c>
      <c r="C356" s="2" t="s">
        <v>900</v>
      </c>
      <c r="D356" s="2" t="s">
        <v>95</v>
      </c>
      <c r="E356" s="2" t="s">
        <v>167</v>
      </c>
      <c r="F356" s="2" t="s">
        <v>62</v>
      </c>
      <c r="G356" s="2" t="s">
        <v>115</v>
      </c>
      <c r="H356" s="2" t="s">
        <v>1258</v>
      </c>
      <c r="I356" s="2">
        <v>22</v>
      </c>
      <c r="J356" s="2" t="s">
        <v>65</v>
      </c>
      <c r="K356" s="2" t="s">
        <v>42</v>
      </c>
      <c r="L356" s="2" t="s">
        <v>141</v>
      </c>
      <c r="M356" s="2" t="s">
        <v>125</v>
      </c>
      <c r="N356" s="2" t="s">
        <v>45</v>
      </c>
      <c r="O356" s="2" t="s">
        <v>126</v>
      </c>
      <c r="P356" s="2" t="s">
        <v>127</v>
      </c>
      <c r="Q356" s="2" t="s">
        <v>69</v>
      </c>
      <c r="R356" s="2" t="s">
        <v>518</v>
      </c>
      <c r="S356" s="2">
        <v>1</v>
      </c>
      <c r="T356" s="2">
        <v>128</v>
      </c>
      <c r="U356" s="2">
        <v>64</v>
      </c>
      <c r="V356" s="2">
        <v>61</v>
      </c>
      <c r="W356" s="2">
        <v>23</v>
      </c>
      <c r="X356" s="2">
        <v>37</v>
      </c>
      <c r="Y356" s="2">
        <v>29.9</v>
      </c>
      <c r="Z356" s="2">
        <v>91</v>
      </c>
      <c r="AA356" s="2" t="s">
        <v>50</v>
      </c>
      <c r="AB356" s="2" t="s">
        <v>51</v>
      </c>
      <c r="AC356" s="2" t="s">
        <v>52</v>
      </c>
      <c r="AD356" s="2" t="s">
        <v>53</v>
      </c>
      <c r="AE356" s="2" t="s">
        <v>54</v>
      </c>
      <c r="AF356" s="2" t="s">
        <v>55</v>
      </c>
      <c r="AG356" s="2" t="s">
        <v>177</v>
      </c>
    </row>
    <row r="357" spans="1:33" x14ac:dyDescent="0.2">
      <c r="A357" s="3" t="s">
        <v>1269</v>
      </c>
      <c r="B357" s="3" t="s">
        <v>1270</v>
      </c>
      <c r="C357" s="3" t="s">
        <v>1271</v>
      </c>
      <c r="D357" s="3" t="s">
        <v>95</v>
      </c>
      <c r="E357" s="3" t="s">
        <v>37</v>
      </c>
      <c r="F357" s="3" t="s">
        <v>75</v>
      </c>
      <c r="G357" s="3" t="s">
        <v>63</v>
      </c>
      <c r="H357" s="3" t="s">
        <v>1272</v>
      </c>
      <c r="I357" s="3">
        <v>69</v>
      </c>
      <c r="J357" s="3" t="s">
        <v>41</v>
      </c>
      <c r="K357" s="3" t="s">
        <v>42</v>
      </c>
      <c r="L357" s="3" t="s">
        <v>45</v>
      </c>
      <c r="M357" s="3" t="s">
        <v>80</v>
      </c>
      <c r="N357" s="3" t="s">
        <v>81</v>
      </c>
      <c r="O357" s="3" t="s">
        <v>305</v>
      </c>
      <c r="P357" s="3" t="s">
        <v>306</v>
      </c>
      <c r="Q357" s="3" t="s">
        <v>48</v>
      </c>
      <c r="R357" s="3" t="s">
        <v>1273</v>
      </c>
      <c r="S357" s="3">
        <v>3</v>
      </c>
      <c r="T357" s="3">
        <v>184</v>
      </c>
      <c r="U357" s="3">
        <v>80</v>
      </c>
      <c r="V357" s="3">
        <v>118</v>
      </c>
      <c r="W357" s="3">
        <v>15</v>
      </c>
      <c r="X357" s="3">
        <v>36.9</v>
      </c>
      <c r="Y357" s="3">
        <v>18.3</v>
      </c>
      <c r="Z357" s="3">
        <v>97</v>
      </c>
      <c r="AA357" s="3" t="s">
        <v>50</v>
      </c>
      <c r="AB357" s="3" t="s">
        <v>51</v>
      </c>
      <c r="AC357" s="3" t="s">
        <v>52</v>
      </c>
      <c r="AD357" s="3" t="s">
        <v>53</v>
      </c>
      <c r="AE357" s="3" t="s">
        <v>54</v>
      </c>
      <c r="AF357" s="3" t="s">
        <v>55</v>
      </c>
      <c r="AG357" s="3" t="s">
        <v>56</v>
      </c>
    </row>
    <row r="358" spans="1:33" x14ac:dyDescent="0.2">
      <c r="A358" s="2" t="s">
        <v>1274</v>
      </c>
      <c r="B358" s="2" t="s">
        <v>1275</v>
      </c>
      <c r="C358" s="2" t="s">
        <v>1276</v>
      </c>
      <c r="D358" s="2" t="s">
        <v>36</v>
      </c>
      <c r="E358" s="2" t="s">
        <v>167</v>
      </c>
      <c r="F358" s="2" t="s">
        <v>97</v>
      </c>
      <c r="G358" s="2" t="s">
        <v>39</v>
      </c>
      <c r="H358" s="2" t="s">
        <v>1277</v>
      </c>
      <c r="I358" s="2">
        <v>26</v>
      </c>
      <c r="J358" s="2" t="s">
        <v>65</v>
      </c>
      <c r="K358" s="2" t="s">
        <v>66</v>
      </c>
      <c r="L358" s="2" t="s">
        <v>43</v>
      </c>
      <c r="M358" s="2" t="s">
        <v>80</v>
      </c>
      <c r="N358" s="2" t="s">
        <v>45</v>
      </c>
      <c r="O358" s="2" t="s">
        <v>195</v>
      </c>
      <c r="P358" s="2" t="s">
        <v>196</v>
      </c>
      <c r="Q358" s="2" t="s">
        <v>69</v>
      </c>
      <c r="R358" s="2" t="s">
        <v>1278</v>
      </c>
      <c r="S358" s="2">
        <v>2</v>
      </c>
      <c r="T358" s="2">
        <v>179</v>
      </c>
      <c r="U358" s="2">
        <v>86</v>
      </c>
      <c r="V358" s="2">
        <v>112</v>
      </c>
      <c r="W358" s="2">
        <v>27</v>
      </c>
      <c r="X358" s="2">
        <v>39</v>
      </c>
      <c r="Y358" s="2">
        <v>24.7</v>
      </c>
      <c r="Z358" s="2">
        <v>98</v>
      </c>
      <c r="AA358" s="2" t="s">
        <v>50</v>
      </c>
      <c r="AB358" s="2" t="s">
        <v>51</v>
      </c>
      <c r="AC358" s="2" t="s">
        <v>52</v>
      </c>
      <c r="AD358" s="2" t="s">
        <v>53</v>
      </c>
      <c r="AE358" s="2" t="s">
        <v>54</v>
      </c>
      <c r="AF358" s="2" t="s">
        <v>55</v>
      </c>
      <c r="AG358" s="2" t="s">
        <v>394</v>
      </c>
    </row>
    <row r="359" spans="1:33" x14ac:dyDescent="0.2">
      <c r="A359" s="3" t="s">
        <v>1274</v>
      </c>
      <c r="B359" s="3" t="s">
        <v>1279</v>
      </c>
      <c r="C359" s="3" t="s">
        <v>334</v>
      </c>
      <c r="D359" s="3" t="s">
        <v>88</v>
      </c>
      <c r="E359" s="3" t="s">
        <v>167</v>
      </c>
      <c r="F359" s="3" t="s">
        <v>122</v>
      </c>
      <c r="G359" s="3" t="s">
        <v>76</v>
      </c>
      <c r="H359" s="3" t="s">
        <v>1277</v>
      </c>
      <c r="I359" s="3">
        <v>26</v>
      </c>
      <c r="J359" s="3" t="s">
        <v>65</v>
      </c>
      <c r="K359" s="3" t="s">
        <v>90</v>
      </c>
      <c r="L359" s="3" t="s">
        <v>43</v>
      </c>
      <c r="M359" s="3" t="s">
        <v>80</v>
      </c>
      <c r="N359" s="3" t="s">
        <v>45</v>
      </c>
      <c r="O359" s="3" t="s">
        <v>195</v>
      </c>
      <c r="P359" s="3" t="s">
        <v>196</v>
      </c>
      <c r="Q359" s="3" t="s">
        <v>69</v>
      </c>
      <c r="R359" s="3" t="s">
        <v>117</v>
      </c>
      <c r="S359" s="3">
        <v>1</v>
      </c>
      <c r="T359" s="3">
        <v>162</v>
      </c>
      <c r="U359" s="3">
        <v>111</v>
      </c>
      <c r="V359" s="3">
        <v>66</v>
      </c>
      <c r="W359" s="3">
        <v>14</v>
      </c>
      <c r="X359" s="3">
        <v>36.700000000000003</v>
      </c>
      <c r="Y359" s="3">
        <v>25.3</v>
      </c>
      <c r="Z359" s="3">
        <v>92</v>
      </c>
      <c r="AA359" s="3" t="s">
        <v>50</v>
      </c>
      <c r="AB359" s="3" t="s">
        <v>51</v>
      </c>
      <c r="AC359" s="3" t="s">
        <v>52</v>
      </c>
      <c r="AD359" s="3" t="s">
        <v>53</v>
      </c>
      <c r="AE359" s="3" t="s">
        <v>54</v>
      </c>
      <c r="AF359" s="3" t="s">
        <v>55</v>
      </c>
      <c r="AG359" s="3" t="s">
        <v>399</v>
      </c>
    </row>
    <row r="360" spans="1:33" x14ac:dyDescent="0.2">
      <c r="A360" s="2" t="s">
        <v>1274</v>
      </c>
      <c r="B360" s="2" t="s">
        <v>1280</v>
      </c>
      <c r="C360" s="2" t="s">
        <v>1281</v>
      </c>
      <c r="D360" s="2" t="s">
        <v>103</v>
      </c>
      <c r="E360" s="2" t="s">
        <v>167</v>
      </c>
      <c r="F360" s="2" t="s">
        <v>148</v>
      </c>
      <c r="G360" s="2" t="s">
        <v>39</v>
      </c>
      <c r="H360" s="2" t="s">
        <v>1277</v>
      </c>
      <c r="I360" s="2">
        <v>26</v>
      </c>
      <c r="J360" s="2" t="s">
        <v>65</v>
      </c>
      <c r="K360" s="2" t="s">
        <v>42</v>
      </c>
      <c r="L360" s="2" t="s">
        <v>43</v>
      </c>
      <c r="M360" s="2" t="s">
        <v>80</v>
      </c>
      <c r="N360" s="2" t="s">
        <v>45</v>
      </c>
      <c r="O360" s="2" t="s">
        <v>195</v>
      </c>
      <c r="P360" s="2" t="s">
        <v>196</v>
      </c>
      <c r="Q360" s="2" t="s">
        <v>69</v>
      </c>
      <c r="R360" s="2" t="s">
        <v>1282</v>
      </c>
      <c r="S360" s="2">
        <v>3</v>
      </c>
      <c r="T360" s="2">
        <v>138</v>
      </c>
      <c r="U360" s="2">
        <v>70</v>
      </c>
      <c r="V360" s="2">
        <v>71</v>
      </c>
      <c r="W360" s="2">
        <v>25</v>
      </c>
      <c r="X360" s="2">
        <v>36.5</v>
      </c>
      <c r="Y360" s="2">
        <v>31</v>
      </c>
      <c r="Z360" s="2">
        <v>92</v>
      </c>
      <c r="AA360" s="2" t="s">
        <v>50</v>
      </c>
      <c r="AB360" s="2" t="s">
        <v>51</v>
      </c>
      <c r="AC360" s="2" t="s">
        <v>52</v>
      </c>
      <c r="AD360" s="2" t="s">
        <v>53</v>
      </c>
      <c r="AE360" s="2" t="s">
        <v>54</v>
      </c>
      <c r="AF360" s="2" t="s">
        <v>55</v>
      </c>
      <c r="AG360" s="2" t="s">
        <v>403</v>
      </c>
    </row>
    <row r="361" spans="1:33" x14ac:dyDescent="0.2">
      <c r="A361" s="3" t="s">
        <v>1274</v>
      </c>
      <c r="B361" s="3" t="s">
        <v>1283</v>
      </c>
      <c r="C361" s="3" t="s">
        <v>502</v>
      </c>
      <c r="D361" s="3" t="s">
        <v>36</v>
      </c>
      <c r="E361" s="3" t="s">
        <v>61</v>
      </c>
      <c r="F361" s="3" t="s">
        <v>38</v>
      </c>
      <c r="G361" s="3" t="s">
        <v>98</v>
      </c>
      <c r="H361" s="3" t="s">
        <v>1277</v>
      </c>
      <c r="I361" s="3">
        <v>26</v>
      </c>
      <c r="J361" s="3" t="s">
        <v>65</v>
      </c>
      <c r="K361" s="3" t="s">
        <v>116</v>
      </c>
      <c r="L361" s="3" t="s">
        <v>43</v>
      </c>
      <c r="M361" s="3" t="s">
        <v>80</v>
      </c>
      <c r="N361" s="3" t="s">
        <v>45</v>
      </c>
      <c r="O361" s="3" t="s">
        <v>195</v>
      </c>
      <c r="P361" s="3" t="s">
        <v>196</v>
      </c>
      <c r="Q361" s="3" t="s">
        <v>69</v>
      </c>
      <c r="R361" s="3" t="s">
        <v>1284</v>
      </c>
      <c r="S361" s="3">
        <v>4</v>
      </c>
      <c r="T361" s="3">
        <v>181</v>
      </c>
      <c r="U361" s="3">
        <v>77</v>
      </c>
      <c r="V361" s="3">
        <v>111</v>
      </c>
      <c r="W361" s="3">
        <v>14</v>
      </c>
      <c r="X361" s="3">
        <v>38.799999999999997</v>
      </c>
      <c r="Y361" s="3">
        <v>41.9</v>
      </c>
      <c r="Z361" s="3">
        <v>92</v>
      </c>
      <c r="AA361" s="3" t="s">
        <v>50</v>
      </c>
      <c r="AB361" s="3" t="s">
        <v>51</v>
      </c>
      <c r="AC361" s="3" t="s">
        <v>52</v>
      </c>
      <c r="AD361" s="3" t="s">
        <v>53</v>
      </c>
      <c r="AE361" s="3" t="s">
        <v>54</v>
      </c>
      <c r="AF361" s="3" t="s">
        <v>55</v>
      </c>
      <c r="AG361" s="3" t="s">
        <v>408</v>
      </c>
    </row>
    <row r="362" spans="1:33" x14ac:dyDescent="0.2">
      <c r="A362" s="2" t="s">
        <v>1285</v>
      </c>
      <c r="B362" s="2" t="s">
        <v>1286</v>
      </c>
      <c r="C362" s="2" t="s">
        <v>490</v>
      </c>
      <c r="D362" s="2" t="s">
        <v>103</v>
      </c>
      <c r="E362" s="2" t="s">
        <v>37</v>
      </c>
      <c r="F362" s="2" t="s">
        <v>132</v>
      </c>
      <c r="G362" s="2" t="s">
        <v>138</v>
      </c>
      <c r="H362" s="2" t="s">
        <v>1287</v>
      </c>
      <c r="I362" s="2">
        <v>70</v>
      </c>
      <c r="J362" s="2" t="s">
        <v>65</v>
      </c>
      <c r="K362" s="2" t="s">
        <v>116</v>
      </c>
      <c r="L362" s="2" t="s">
        <v>141</v>
      </c>
      <c r="M362" s="2"/>
      <c r="N362" s="2" t="s">
        <v>81</v>
      </c>
      <c r="O362" s="2" t="s">
        <v>195</v>
      </c>
      <c r="P362" s="2" t="s">
        <v>196</v>
      </c>
      <c r="Q362" s="2" t="s">
        <v>69</v>
      </c>
      <c r="R362" s="2" t="s">
        <v>1288</v>
      </c>
      <c r="S362" s="2">
        <v>4</v>
      </c>
      <c r="T362" s="2">
        <v>169</v>
      </c>
      <c r="U362" s="2">
        <v>97</v>
      </c>
      <c r="V362" s="2">
        <v>88</v>
      </c>
      <c r="W362" s="2">
        <v>18</v>
      </c>
      <c r="X362" s="2">
        <v>37.9</v>
      </c>
      <c r="Y362" s="2">
        <v>40.700000000000003</v>
      </c>
      <c r="Z362" s="2">
        <v>97</v>
      </c>
      <c r="AA362" s="2" t="s">
        <v>50</v>
      </c>
      <c r="AB362" s="2" t="s">
        <v>51</v>
      </c>
      <c r="AC362" s="2" t="s">
        <v>52</v>
      </c>
      <c r="AD362" s="2" t="s">
        <v>53</v>
      </c>
      <c r="AE362" s="2" t="s">
        <v>54</v>
      </c>
      <c r="AF362" s="2" t="s">
        <v>55</v>
      </c>
      <c r="AG362" s="2" t="s">
        <v>394</v>
      </c>
    </row>
    <row r="363" spans="1:33" x14ac:dyDescent="0.2">
      <c r="A363" s="3" t="s">
        <v>1285</v>
      </c>
      <c r="B363" s="3" t="s">
        <v>1289</v>
      </c>
      <c r="C363" s="3" t="s">
        <v>851</v>
      </c>
      <c r="D363" s="3" t="s">
        <v>36</v>
      </c>
      <c r="E363" s="3" t="s">
        <v>61</v>
      </c>
      <c r="F363" s="3" t="s">
        <v>97</v>
      </c>
      <c r="G363" s="3" t="s">
        <v>76</v>
      </c>
      <c r="H363" s="3" t="s">
        <v>1287</v>
      </c>
      <c r="I363" s="3">
        <v>70</v>
      </c>
      <c r="J363" s="3" t="s">
        <v>65</v>
      </c>
      <c r="K363" s="3" t="s">
        <v>66</v>
      </c>
      <c r="L363" s="3" t="s">
        <v>141</v>
      </c>
      <c r="M363" s="3"/>
      <c r="N363" s="3" t="s">
        <v>81</v>
      </c>
      <c r="O363" s="3" t="s">
        <v>195</v>
      </c>
      <c r="P363" s="3" t="s">
        <v>196</v>
      </c>
      <c r="Q363" s="3" t="s">
        <v>69</v>
      </c>
      <c r="R363" s="3" t="s">
        <v>1290</v>
      </c>
      <c r="S363" s="3">
        <v>4</v>
      </c>
      <c r="T363" s="3">
        <v>123</v>
      </c>
      <c r="U363" s="3">
        <v>60</v>
      </c>
      <c r="V363" s="3">
        <v>62</v>
      </c>
      <c r="W363" s="3">
        <v>20</v>
      </c>
      <c r="X363" s="3">
        <v>39.1</v>
      </c>
      <c r="Y363" s="3">
        <v>41.2</v>
      </c>
      <c r="Z363" s="3">
        <v>97</v>
      </c>
      <c r="AA363" s="3" t="s">
        <v>50</v>
      </c>
      <c r="AB363" s="3" t="s">
        <v>51</v>
      </c>
      <c r="AC363" s="3" t="s">
        <v>52</v>
      </c>
      <c r="AD363" s="3" t="s">
        <v>53</v>
      </c>
      <c r="AE363" s="3" t="s">
        <v>54</v>
      </c>
      <c r="AF363" s="3" t="s">
        <v>55</v>
      </c>
      <c r="AG363" s="3" t="s">
        <v>399</v>
      </c>
    </row>
    <row r="364" spans="1:33" x14ac:dyDescent="0.2">
      <c r="A364" s="2" t="s">
        <v>1285</v>
      </c>
      <c r="B364" s="2" t="s">
        <v>1291</v>
      </c>
      <c r="C364" s="2" t="s">
        <v>1292</v>
      </c>
      <c r="D364" s="2" t="s">
        <v>88</v>
      </c>
      <c r="E364" s="2" t="s">
        <v>61</v>
      </c>
      <c r="F364" s="2" t="s">
        <v>122</v>
      </c>
      <c r="G364" s="2" t="s">
        <v>98</v>
      </c>
      <c r="H364" s="2" t="s">
        <v>1287</v>
      </c>
      <c r="I364" s="2">
        <v>70</v>
      </c>
      <c r="J364" s="2" t="s">
        <v>65</v>
      </c>
      <c r="K364" s="2" t="s">
        <v>140</v>
      </c>
      <c r="L364" s="2" t="s">
        <v>141</v>
      </c>
      <c r="M364" s="2"/>
      <c r="N364" s="2" t="s">
        <v>81</v>
      </c>
      <c r="O364" s="2" t="s">
        <v>195</v>
      </c>
      <c r="P364" s="2" t="s">
        <v>196</v>
      </c>
      <c r="Q364" s="2" t="s">
        <v>69</v>
      </c>
      <c r="R364" s="2" t="s">
        <v>268</v>
      </c>
      <c r="S364" s="2">
        <v>1</v>
      </c>
      <c r="T364" s="2">
        <v>113</v>
      </c>
      <c r="U364" s="2">
        <v>80</v>
      </c>
      <c r="V364" s="2">
        <v>64</v>
      </c>
      <c r="W364" s="2">
        <v>26</v>
      </c>
      <c r="X364" s="2">
        <v>39</v>
      </c>
      <c r="Y364" s="2">
        <v>42.7</v>
      </c>
      <c r="Z364" s="2">
        <v>90</v>
      </c>
      <c r="AA364" s="2" t="s">
        <v>50</v>
      </c>
      <c r="AB364" s="2" t="s">
        <v>51</v>
      </c>
      <c r="AC364" s="2" t="s">
        <v>52</v>
      </c>
      <c r="AD364" s="2" t="s">
        <v>53</v>
      </c>
      <c r="AE364" s="2" t="s">
        <v>54</v>
      </c>
      <c r="AF364" s="2" t="s">
        <v>55</v>
      </c>
      <c r="AG364" s="2" t="s">
        <v>403</v>
      </c>
    </row>
    <row r="365" spans="1:33" x14ac:dyDescent="0.2">
      <c r="A365" s="3" t="s">
        <v>1285</v>
      </c>
      <c r="B365" s="3" t="s">
        <v>1293</v>
      </c>
      <c r="C365" s="3" t="s">
        <v>644</v>
      </c>
      <c r="D365" s="3" t="s">
        <v>88</v>
      </c>
      <c r="E365" s="3" t="s">
        <v>96</v>
      </c>
      <c r="F365" s="3" t="s">
        <v>219</v>
      </c>
      <c r="G365" s="3" t="s">
        <v>98</v>
      </c>
      <c r="H365" s="3" t="s">
        <v>1287</v>
      </c>
      <c r="I365" s="3">
        <v>70</v>
      </c>
      <c r="J365" s="3" t="s">
        <v>65</v>
      </c>
      <c r="K365" s="3" t="s">
        <v>110</v>
      </c>
      <c r="L365" s="3" t="s">
        <v>141</v>
      </c>
      <c r="M365" s="3"/>
      <c r="N365" s="3" t="s">
        <v>81</v>
      </c>
      <c r="O365" s="3" t="s">
        <v>195</v>
      </c>
      <c r="P365" s="3" t="s">
        <v>196</v>
      </c>
      <c r="Q365" s="3" t="s">
        <v>69</v>
      </c>
      <c r="R365" s="3" t="s">
        <v>163</v>
      </c>
      <c r="S365" s="3">
        <v>1</v>
      </c>
      <c r="T365" s="3">
        <v>158</v>
      </c>
      <c r="U365" s="3">
        <v>65</v>
      </c>
      <c r="V365" s="3">
        <v>80</v>
      </c>
      <c r="W365" s="3">
        <v>19</v>
      </c>
      <c r="X365" s="3">
        <v>36.799999999999997</v>
      </c>
      <c r="Y365" s="3">
        <v>20</v>
      </c>
      <c r="Z365" s="3">
        <v>92</v>
      </c>
      <c r="AA365" s="3" t="s">
        <v>50</v>
      </c>
      <c r="AB365" s="3" t="s">
        <v>51</v>
      </c>
      <c r="AC365" s="3" t="s">
        <v>52</v>
      </c>
      <c r="AD365" s="3" t="s">
        <v>53</v>
      </c>
      <c r="AE365" s="3" t="s">
        <v>54</v>
      </c>
      <c r="AF365" s="3" t="s">
        <v>55</v>
      </c>
      <c r="AG365" s="3" t="s">
        <v>408</v>
      </c>
    </row>
    <row r="366" spans="1:33" x14ac:dyDescent="0.2">
      <c r="A366" s="2" t="s">
        <v>1294</v>
      </c>
      <c r="B366" s="2" t="s">
        <v>1295</v>
      </c>
      <c r="C366" s="2" t="s">
        <v>615</v>
      </c>
      <c r="D366" s="2" t="s">
        <v>103</v>
      </c>
      <c r="E366" s="2" t="s">
        <v>167</v>
      </c>
      <c r="F366" s="2" t="s">
        <v>97</v>
      </c>
      <c r="G366" s="2" t="s">
        <v>98</v>
      </c>
      <c r="H366" s="2" t="s">
        <v>1296</v>
      </c>
      <c r="I366" s="2">
        <v>44</v>
      </c>
      <c r="J366" s="2" t="s">
        <v>41</v>
      </c>
      <c r="K366" s="2" t="s">
        <v>110</v>
      </c>
      <c r="L366" s="2" t="s">
        <v>141</v>
      </c>
      <c r="M366" s="2"/>
      <c r="N366" s="2" t="s">
        <v>182</v>
      </c>
      <c r="O366" s="2" t="s">
        <v>254</v>
      </c>
      <c r="P366" s="2" t="s">
        <v>255</v>
      </c>
      <c r="Q366" s="2" t="s">
        <v>69</v>
      </c>
      <c r="R366" s="2" t="s">
        <v>1297</v>
      </c>
      <c r="S366" s="2">
        <v>3</v>
      </c>
      <c r="T366" s="2">
        <v>149</v>
      </c>
      <c r="U366" s="2">
        <v>115</v>
      </c>
      <c r="V366" s="2">
        <v>71</v>
      </c>
      <c r="W366" s="2">
        <v>23</v>
      </c>
      <c r="X366" s="2">
        <v>37.299999999999997</v>
      </c>
      <c r="Y366" s="2">
        <v>29.1</v>
      </c>
      <c r="Z366" s="2">
        <v>89</v>
      </c>
      <c r="AA366" s="2" t="s">
        <v>50</v>
      </c>
      <c r="AB366" s="2" t="s">
        <v>51</v>
      </c>
      <c r="AC366" s="2" t="s">
        <v>52</v>
      </c>
      <c r="AD366" s="2" t="s">
        <v>53</v>
      </c>
      <c r="AE366" s="2" t="s">
        <v>54</v>
      </c>
      <c r="AF366" s="2" t="s">
        <v>55</v>
      </c>
      <c r="AG366" s="2" t="s">
        <v>198</v>
      </c>
    </row>
    <row r="367" spans="1:33" x14ac:dyDescent="0.2">
      <c r="A367" s="3" t="s">
        <v>1294</v>
      </c>
      <c r="B367" s="3" t="s">
        <v>1298</v>
      </c>
      <c r="C367" s="3" t="s">
        <v>1299</v>
      </c>
      <c r="D367" s="3" t="s">
        <v>60</v>
      </c>
      <c r="E367" s="3" t="s">
        <v>37</v>
      </c>
      <c r="F367" s="3" t="s">
        <v>109</v>
      </c>
      <c r="G367" s="3" t="s">
        <v>138</v>
      </c>
      <c r="H367" s="3" t="s">
        <v>1296</v>
      </c>
      <c r="I367" s="3">
        <v>44</v>
      </c>
      <c r="J367" s="3" t="s">
        <v>41</v>
      </c>
      <c r="K367" s="3" t="s">
        <v>78</v>
      </c>
      <c r="L367" s="3" t="s">
        <v>141</v>
      </c>
      <c r="M367" s="3"/>
      <c r="N367" s="3" t="s">
        <v>182</v>
      </c>
      <c r="O367" s="3" t="s">
        <v>254</v>
      </c>
      <c r="P367" s="3" t="s">
        <v>255</v>
      </c>
      <c r="Q367" s="3" t="s">
        <v>69</v>
      </c>
      <c r="R367" s="3" t="s">
        <v>1300</v>
      </c>
      <c r="S367" s="3">
        <v>3</v>
      </c>
      <c r="T367" s="3">
        <v>137</v>
      </c>
      <c r="U367" s="3">
        <v>107</v>
      </c>
      <c r="V367" s="3">
        <v>123</v>
      </c>
      <c r="W367" s="3">
        <v>18</v>
      </c>
      <c r="X367" s="3">
        <v>36.700000000000003</v>
      </c>
      <c r="Y367" s="3">
        <v>28.4</v>
      </c>
      <c r="Z367" s="3">
        <v>93</v>
      </c>
      <c r="AA367" s="3" t="s">
        <v>50</v>
      </c>
      <c r="AB367" s="3" t="s">
        <v>51</v>
      </c>
      <c r="AC367" s="3" t="s">
        <v>52</v>
      </c>
      <c r="AD367" s="3" t="s">
        <v>53</v>
      </c>
      <c r="AE367" s="3" t="s">
        <v>54</v>
      </c>
      <c r="AF367" s="3" t="s">
        <v>55</v>
      </c>
      <c r="AG367" s="3" t="s">
        <v>202</v>
      </c>
    </row>
    <row r="368" spans="1:33" x14ac:dyDescent="0.2">
      <c r="A368" s="2" t="s">
        <v>1294</v>
      </c>
      <c r="B368" s="2" t="s">
        <v>1301</v>
      </c>
      <c r="C368" s="2" t="s">
        <v>908</v>
      </c>
      <c r="D368" s="2" t="s">
        <v>88</v>
      </c>
      <c r="E368" s="2" t="s">
        <v>37</v>
      </c>
      <c r="F368" s="2" t="s">
        <v>97</v>
      </c>
      <c r="G368" s="2" t="s">
        <v>115</v>
      </c>
      <c r="H368" s="2" t="s">
        <v>1296</v>
      </c>
      <c r="I368" s="2">
        <v>44</v>
      </c>
      <c r="J368" s="2" t="s">
        <v>41</v>
      </c>
      <c r="K368" s="2" t="s">
        <v>42</v>
      </c>
      <c r="L368" s="2" t="s">
        <v>141</v>
      </c>
      <c r="M368" s="2"/>
      <c r="N368" s="2" t="s">
        <v>182</v>
      </c>
      <c r="O368" s="2" t="s">
        <v>254</v>
      </c>
      <c r="P368" s="2" t="s">
        <v>255</v>
      </c>
      <c r="Q368" s="2" t="s">
        <v>69</v>
      </c>
      <c r="R368" s="2" t="s">
        <v>1302</v>
      </c>
      <c r="S368" s="2">
        <v>4</v>
      </c>
      <c r="T368" s="2">
        <v>185</v>
      </c>
      <c r="U368" s="2">
        <v>111</v>
      </c>
      <c r="V368" s="2">
        <v>123</v>
      </c>
      <c r="W368" s="2">
        <v>22</v>
      </c>
      <c r="X368" s="2">
        <v>38.4</v>
      </c>
      <c r="Y368" s="2">
        <v>18.8</v>
      </c>
      <c r="Z368" s="2">
        <v>90</v>
      </c>
      <c r="AA368" s="2" t="s">
        <v>50</v>
      </c>
      <c r="AB368" s="2" t="s">
        <v>51</v>
      </c>
      <c r="AC368" s="2" t="s">
        <v>52</v>
      </c>
      <c r="AD368" s="2" t="s">
        <v>53</v>
      </c>
      <c r="AE368" s="2" t="s">
        <v>54</v>
      </c>
      <c r="AF368" s="2" t="s">
        <v>55</v>
      </c>
      <c r="AG368" s="2" t="s">
        <v>206</v>
      </c>
    </row>
    <row r="369" spans="1:33" x14ac:dyDescent="0.2">
      <c r="A369" s="3" t="s">
        <v>1303</v>
      </c>
      <c r="B369" s="3" t="s">
        <v>1304</v>
      </c>
      <c r="C369" s="4" t="s">
        <v>1305</v>
      </c>
      <c r="D369" s="3" t="s">
        <v>36</v>
      </c>
      <c r="E369" s="3" t="s">
        <v>96</v>
      </c>
      <c r="F369" s="3" t="s">
        <v>38</v>
      </c>
      <c r="G369" s="3" t="s">
        <v>76</v>
      </c>
      <c r="H369" s="3" t="s">
        <v>1306</v>
      </c>
      <c r="I369" s="4"/>
      <c r="J369" s="3" t="s">
        <v>41</v>
      </c>
      <c r="K369" s="3" t="s">
        <v>116</v>
      </c>
      <c r="L369" s="3" t="s">
        <v>45</v>
      </c>
      <c r="M369" s="3" t="s">
        <v>125</v>
      </c>
      <c r="N369" s="3"/>
      <c r="O369" s="3" t="s">
        <v>82</v>
      </c>
      <c r="P369" s="3" t="s">
        <v>83</v>
      </c>
      <c r="Q369" s="3" t="s">
        <v>69</v>
      </c>
      <c r="R369" s="3" t="s">
        <v>1307</v>
      </c>
      <c r="S369" s="3">
        <v>3</v>
      </c>
      <c r="T369" s="4">
        <v>123</v>
      </c>
      <c r="U369" s="4">
        <v>114</v>
      </c>
      <c r="V369" s="3">
        <v>87</v>
      </c>
      <c r="W369" s="3">
        <v>28</v>
      </c>
      <c r="X369" s="3">
        <v>36.9</v>
      </c>
      <c r="Y369" s="4">
        <v>27.8</v>
      </c>
      <c r="Z369" s="3">
        <v>93</v>
      </c>
      <c r="AA369" s="3" t="s">
        <v>50</v>
      </c>
      <c r="AB369" s="3" t="s">
        <v>51</v>
      </c>
      <c r="AC369" s="3" t="s">
        <v>52</v>
      </c>
      <c r="AD369" s="3" t="s">
        <v>53</v>
      </c>
      <c r="AE369" s="3" t="s">
        <v>54</v>
      </c>
      <c r="AF369" s="3" t="s">
        <v>407</v>
      </c>
      <c r="AG369" s="3" t="s">
        <v>129</v>
      </c>
    </row>
    <row r="370" spans="1:33" x14ac:dyDescent="0.2">
      <c r="A370" s="2" t="s">
        <v>1303</v>
      </c>
      <c r="B370" s="2" t="s">
        <v>1308</v>
      </c>
      <c r="C370" s="4" t="s">
        <v>313</v>
      </c>
      <c r="D370" s="2" t="s">
        <v>60</v>
      </c>
      <c r="E370" s="2" t="s">
        <v>96</v>
      </c>
      <c r="F370" s="2" t="s">
        <v>109</v>
      </c>
      <c r="G370" s="2" t="s">
        <v>98</v>
      </c>
      <c r="H370" s="2" t="s">
        <v>1306</v>
      </c>
      <c r="I370" s="4">
        <v>82</v>
      </c>
      <c r="J370" s="2" t="s">
        <v>41</v>
      </c>
      <c r="K370" s="2" t="s">
        <v>78</v>
      </c>
      <c r="L370" s="2" t="s">
        <v>45</v>
      </c>
      <c r="M370" s="2" t="s">
        <v>125</v>
      </c>
      <c r="N370" s="2"/>
      <c r="O370" s="2" t="s">
        <v>82</v>
      </c>
      <c r="P370" s="2" t="s">
        <v>83</v>
      </c>
      <c r="Q370" s="2" t="s">
        <v>69</v>
      </c>
      <c r="R370" s="2" t="s">
        <v>117</v>
      </c>
      <c r="S370" s="2">
        <v>1</v>
      </c>
      <c r="T370" s="4">
        <v>135</v>
      </c>
      <c r="U370" s="4">
        <v>66</v>
      </c>
      <c r="V370" s="2">
        <v>54</v>
      </c>
      <c r="W370" s="2">
        <v>15</v>
      </c>
      <c r="X370" s="2">
        <v>37.5</v>
      </c>
      <c r="Y370" s="4">
        <v>-9</v>
      </c>
      <c r="Z370" s="2">
        <v>93</v>
      </c>
      <c r="AA370" s="2" t="s">
        <v>50</v>
      </c>
      <c r="AB370" s="2" t="s">
        <v>51</v>
      </c>
      <c r="AC370" s="2" t="s">
        <v>52</v>
      </c>
      <c r="AD370" s="2" t="s">
        <v>53</v>
      </c>
      <c r="AE370" s="2" t="s">
        <v>54</v>
      </c>
      <c r="AF370" s="2" t="s">
        <v>323</v>
      </c>
      <c r="AG370" s="2" t="s">
        <v>134</v>
      </c>
    </row>
    <row r="371" spans="1:33" x14ac:dyDescent="0.2">
      <c r="A371" s="3" t="s">
        <v>1309</v>
      </c>
      <c r="B371" s="3" t="s">
        <v>1310</v>
      </c>
      <c r="C371" s="3" t="s">
        <v>867</v>
      </c>
      <c r="D371" s="3" t="s">
        <v>103</v>
      </c>
      <c r="E371" s="3" t="s">
        <v>37</v>
      </c>
      <c r="F371" s="3" t="s">
        <v>122</v>
      </c>
      <c r="G371" s="3" t="s">
        <v>98</v>
      </c>
      <c r="H371" s="3" t="s">
        <v>1311</v>
      </c>
      <c r="I371" s="3">
        <v>41</v>
      </c>
      <c r="J371" s="3" t="s">
        <v>65</v>
      </c>
      <c r="K371" s="3" t="s">
        <v>66</v>
      </c>
      <c r="L371" s="3" t="s">
        <v>43</v>
      </c>
      <c r="M371" s="3" t="s">
        <v>44</v>
      </c>
      <c r="N371" s="3" t="s">
        <v>182</v>
      </c>
      <c r="O371" s="3" t="s">
        <v>283</v>
      </c>
      <c r="P371" s="3" t="s">
        <v>284</v>
      </c>
      <c r="Q371" s="3" t="s">
        <v>69</v>
      </c>
      <c r="R371" s="3" t="s">
        <v>1312</v>
      </c>
      <c r="S371" s="3">
        <v>3</v>
      </c>
      <c r="T371" s="3">
        <v>117</v>
      </c>
      <c r="U371" s="3">
        <v>85</v>
      </c>
      <c r="V371" s="3">
        <v>57</v>
      </c>
      <c r="W371" s="3">
        <v>17</v>
      </c>
      <c r="X371" s="3">
        <v>36.9</v>
      </c>
      <c r="Y371" s="3">
        <v>45.5</v>
      </c>
      <c r="Z371" s="3">
        <v>89</v>
      </c>
      <c r="AA371" s="3" t="s">
        <v>50</v>
      </c>
      <c r="AB371" s="3" t="s">
        <v>51</v>
      </c>
      <c r="AC371" s="3" t="s">
        <v>52</v>
      </c>
      <c r="AD371" s="3" t="s">
        <v>53</v>
      </c>
      <c r="AE371" s="3" t="s">
        <v>54</v>
      </c>
      <c r="AF371" s="3" t="s">
        <v>55</v>
      </c>
      <c r="AG371" s="3" t="s">
        <v>198</v>
      </c>
    </row>
    <row r="372" spans="1:33" x14ac:dyDescent="0.2">
      <c r="A372" s="2" t="s">
        <v>1309</v>
      </c>
      <c r="B372" s="2" t="s">
        <v>1313</v>
      </c>
      <c r="C372" s="2" t="s">
        <v>1314</v>
      </c>
      <c r="D372" s="2" t="s">
        <v>60</v>
      </c>
      <c r="E372" s="2" t="s">
        <v>167</v>
      </c>
      <c r="F372" s="2" t="s">
        <v>109</v>
      </c>
      <c r="G372" s="2" t="s">
        <v>123</v>
      </c>
      <c r="H372" s="2" t="s">
        <v>1311</v>
      </c>
      <c r="I372" s="2">
        <v>41</v>
      </c>
      <c r="J372" s="2" t="s">
        <v>65</v>
      </c>
      <c r="K372" s="2" t="s">
        <v>116</v>
      </c>
      <c r="L372" s="2" t="s">
        <v>43</v>
      </c>
      <c r="M372" s="2" t="s">
        <v>44</v>
      </c>
      <c r="N372" s="2" t="s">
        <v>182</v>
      </c>
      <c r="O372" s="2" t="s">
        <v>283</v>
      </c>
      <c r="P372" s="2" t="s">
        <v>284</v>
      </c>
      <c r="Q372" s="2" t="s">
        <v>69</v>
      </c>
      <c r="R372" s="2" t="s">
        <v>1315</v>
      </c>
      <c r="S372" s="2">
        <v>4</v>
      </c>
      <c r="T372" s="2">
        <v>154</v>
      </c>
      <c r="U372" s="2">
        <v>82</v>
      </c>
      <c r="V372" s="2">
        <v>122</v>
      </c>
      <c r="W372" s="2">
        <v>22</v>
      </c>
      <c r="X372" s="2">
        <v>36</v>
      </c>
      <c r="Y372" s="2">
        <v>45.1</v>
      </c>
      <c r="Z372" s="2">
        <v>96</v>
      </c>
      <c r="AA372" s="2" t="s">
        <v>50</v>
      </c>
      <c r="AB372" s="2" t="s">
        <v>51</v>
      </c>
      <c r="AC372" s="2" t="s">
        <v>52</v>
      </c>
      <c r="AD372" s="2" t="s">
        <v>53</v>
      </c>
      <c r="AE372" s="2" t="s">
        <v>54</v>
      </c>
      <c r="AF372" s="2" t="s">
        <v>55</v>
      </c>
      <c r="AG372" s="2" t="s">
        <v>202</v>
      </c>
    </row>
    <row r="373" spans="1:33" x14ac:dyDescent="0.2">
      <c r="A373" s="3" t="s">
        <v>1309</v>
      </c>
      <c r="B373" s="3" t="s">
        <v>1316</v>
      </c>
      <c r="C373" s="3" t="s">
        <v>1317</v>
      </c>
      <c r="D373" s="3" t="s">
        <v>103</v>
      </c>
      <c r="E373" s="3" t="s">
        <v>96</v>
      </c>
      <c r="F373" s="3" t="s">
        <v>132</v>
      </c>
      <c r="G373" s="3" t="s">
        <v>104</v>
      </c>
      <c r="H373" s="3" t="s">
        <v>1311</v>
      </c>
      <c r="I373" s="3">
        <v>41</v>
      </c>
      <c r="J373" s="3" t="s">
        <v>65</v>
      </c>
      <c r="K373" s="3" t="s">
        <v>116</v>
      </c>
      <c r="L373" s="3" t="s">
        <v>43</v>
      </c>
      <c r="M373" s="3" t="s">
        <v>44</v>
      </c>
      <c r="N373" s="3" t="s">
        <v>182</v>
      </c>
      <c r="O373" s="3" t="s">
        <v>283</v>
      </c>
      <c r="P373" s="3" t="s">
        <v>284</v>
      </c>
      <c r="Q373" s="3" t="s">
        <v>69</v>
      </c>
      <c r="R373" s="3" t="s">
        <v>518</v>
      </c>
      <c r="S373" s="3">
        <v>1</v>
      </c>
      <c r="T373" s="3">
        <v>144</v>
      </c>
      <c r="U373" s="3">
        <v>91</v>
      </c>
      <c r="V373" s="3">
        <v>57</v>
      </c>
      <c r="W373" s="3">
        <v>16</v>
      </c>
      <c r="X373" s="3">
        <v>36.799999999999997</v>
      </c>
      <c r="Y373" s="3">
        <v>39.5</v>
      </c>
      <c r="Z373" s="3">
        <v>92</v>
      </c>
      <c r="AA373" s="3" t="s">
        <v>50</v>
      </c>
      <c r="AB373" s="3" t="s">
        <v>51</v>
      </c>
      <c r="AC373" s="3" t="s">
        <v>52</v>
      </c>
      <c r="AD373" s="3" t="s">
        <v>53</v>
      </c>
      <c r="AE373" s="3" t="s">
        <v>54</v>
      </c>
      <c r="AF373" s="3" t="s">
        <v>55</v>
      </c>
      <c r="AG373" s="3" t="s">
        <v>206</v>
      </c>
    </row>
    <row r="374" spans="1:33" x14ac:dyDescent="0.2">
      <c r="A374" s="2" t="s">
        <v>1318</v>
      </c>
      <c r="B374" s="2" t="s">
        <v>1319</v>
      </c>
      <c r="C374" s="2" t="s">
        <v>1237</v>
      </c>
      <c r="D374" s="2" t="s">
        <v>95</v>
      </c>
      <c r="E374" s="2" t="s">
        <v>37</v>
      </c>
      <c r="F374" s="2" t="s">
        <v>75</v>
      </c>
      <c r="G374" s="2" t="s">
        <v>76</v>
      </c>
      <c r="H374" s="2" t="s">
        <v>1320</v>
      </c>
      <c r="I374" s="2">
        <v>33</v>
      </c>
      <c r="J374" s="2" t="s">
        <v>41</v>
      </c>
      <c r="K374" s="2" t="s">
        <v>78</v>
      </c>
      <c r="L374" s="2" t="s">
        <v>79</v>
      </c>
      <c r="M374" s="2" t="s">
        <v>80</v>
      </c>
      <c r="N374" s="2" t="s">
        <v>81</v>
      </c>
      <c r="O374" s="2" t="s">
        <v>126</v>
      </c>
      <c r="P374" s="2" t="s">
        <v>127</v>
      </c>
      <c r="Q374" s="2" t="s">
        <v>69</v>
      </c>
      <c r="R374" s="2" t="s">
        <v>1321</v>
      </c>
      <c r="S374" s="2">
        <v>3</v>
      </c>
      <c r="T374" s="2">
        <v>141</v>
      </c>
      <c r="U374" s="2">
        <v>84</v>
      </c>
      <c r="V374" s="2">
        <v>116</v>
      </c>
      <c r="W374" s="2">
        <v>20</v>
      </c>
      <c r="X374" s="2">
        <v>37.799999999999997</v>
      </c>
      <c r="Y374" s="2">
        <v>29.6</v>
      </c>
      <c r="Z374" s="2">
        <v>97</v>
      </c>
      <c r="AA374" s="2" t="s">
        <v>50</v>
      </c>
      <c r="AB374" s="2" t="s">
        <v>51</v>
      </c>
      <c r="AC374" s="2" t="s">
        <v>52</v>
      </c>
      <c r="AD374" s="2" t="s">
        <v>53</v>
      </c>
      <c r="AE374" s="2" t="s">
        <v>54</v>
      </c>
      <c r="AF374" s="2" t="s">
        <v>55</v>
      </c>
      <c r="AG374" s="2" t="s">
        <v>85</v>
      </c>
    </row>
    <row r="375" spans="1:33" x14ac:dyDescent="0.2">
      <c r="A375" s="3" t="s">
        <v>1318</v>
      </c>
      <c r="B375" s="3" t="s">
        <v>1322</v>
      </c>
      <c r="C375" s="3" t="s">
        <v>1323</v>
      </c>
      <c r="D375" s="3" t="s">
        <v>103</v>
      </c>
      <c r="E375" s="3" t="s">
        <v>167</v>
      </c>
      <c r="F375" s="3" t="s">
        <v>189</v>
      </c>
      <c r="G375" s="3" t="s">
        <v>39</v>
      </c>
      <c r="H375" s="3" t="s">
        <v>1320</v>
      </c>
      <c r="I375" s="3">
        <v>33</v>
      </c>
      <c r="J375" s="3" t="s">
        <v>41</v>
      </c>
      <c r="K375" s="3" t="s">
        <v>42</v>
      </c>
      <c r="L375" s="3" t="s">
        <v>79</v>
      </c>
      <c r="M375" s="3" t="s">
        <v>80</v>
      </c>
      <c r="N375" s="3" t="s">
        <v>81</v>
      </c>
      <c r="O375" s="3" t="s">
        <v>126</v>
      </c>
      <c r="P375" s="3" t="s">
        <v>127</v>
      </c>
      <c r="Q375" s="3" t="s">
        <v>69</v>
      </c>
      <c r="R375" s="3" t="s">
        <v>1324</v>
      </c>
      <c r="S375" s="3">
        <v>4</v>
      </c>
      <c r="T375" s="3">
        <v>115</v>
      </c>
      <c r="U375" s="3">
        <v>96</v>
      </c>
      <c r="V375" s="3">
        <v>62</v>
      </c>
      <c r="W375" s="3">
        <v>20</v>
      </c>
      <c r="X375" s="3">
        <v>38</v>
      </c>
      <c r="Y375" s="3">
        <v>32.5</v>
      </c>
      <c r="Z375" s="3">
        <v>91</v>
      </c>
      <c r="AA375" s="3" t="s">
        <v>50</v>
      </c>
      <c r="AB375" s="3" t="s">
        <v>51</v>
      </c>
      <c r="AC375" s="3" t="s">
        <v>52</v>
      </c>
      <c r="AD375" s="3" t="s">
        <v>53</v>
      </c>
      <c r="AE375" s="3" t="s">
        <v>54</v>
      </c>
      <c r="AF375" s="3" t="s">
        <v>55</v>
      </c>
      <c r="AG375" s="3" t="s">
        <v>92</v>
      </c>
    </row>
    <row r="376" spans="1:33" x14ac:dyDescent="0.2">
      <c r="A376" s="2" t="s">
        <v>1318</v>
      </c>
      <c r="B376" s="2" t="s">
        <v>1325</v>
      </c>
      <c r="C376" s="2" t="s">
        <v>781</v>
      </c>
      <c r="D376" s="2" t="s">
        <v>88</v>
      </c>
      <c r="E376" s="2" t="s">
        <v>37</v>
      </c>
      <c r="F376" s="2" t="s">
        <v>122</v>
      </c>
      <c r="G376" s="2" t="s">
        <v>98</v>
      </c>
      <c r="H376" s="2" t="s">
        <v>1320</v>
      </c>
      <c r="I376" s="2">
        <v>33</v>
      </c>
      <c r="J376" s="2" t="s">
        <v>41</v>
      </c>
      <c r="K376" s="2" t="s">
        <v>140</v>
      </c>
      <c r="L376" s="2" t="s">
        <v>79</v>
      </c>
      <c r="M376" s="2" t="s">
        <v>80</v>
      </c>
      <c r="N376" s="2" t="s">
        <v>81</v>
      </c>
      <c r="O376" s="2" t="s">
        <v>126</v>
      </c>
      <c r="P376" s="2" t="s">
        <v>127</v>
      </c>
      <c r="Q376" s="2" t="s">
        <v>69</v>
      </c>
      <c r="R376" s="2" t="s">
        <v>1326</v>
      </c>
      <c r="S376" s="2">
        <v>3</v>
      </c>
      <c r="T376" s="2">
        <v>99</v>
      </c>
      <c r="U376" s="2">
        <v>60</v>
      </c>
      <c r="V376" s="2">
        <v>53</v>
      </c>
      <c r="W376" s="2">
        <v>14</v>
      </c>
      <c r="X376" s="2">
        <v>37.4</v>
      </c>
      <c r="Y376" s="2">
        <v>20.2</v>
      </c>
      <c r="Z376" s="2">
        <v>96</v>
      </c>
      <c r="AA376" s="2" t="s">
        <v>50</v>
      </c>
      <c r="AB376" s="2" t="s">
        <v>51</v>
      </c>
      <c r="AC376" s="2" t="s">
        <v>52</v>
      </c>
      <c r="AD376" s="2" t="s">
        <v>53</v>
      </c>
      <c r="AE376" s="2" t="s">
        <v>54</v>
      </c>
      <c r="AF376" s="2" t="s">
        <v>55</v>
      </c>
      <c r="AG376" s="2" t="s">
        <v>100</v>
      </c>
    </row>
    <row r="377" spans="1:33" x14ac:dyDescent="0.2">
      <c r="A377" s="3" t="s">
        <v>1318</v>
      </c>
      <c r="B377" s="3" t="s">
        <v>1327</v>
      </c>
      <c r="C377" s="3" t="s">
        <v>1328</v>
      </c>
      <c r="D377" s="3" t="s">
        <v>103</v>
      </c>
      <c r="E377" s="3" t="s">
        <v>61</v>
      </c>
      <c r="F377" s="3" t="s">
        <v>122</v>
      </c>
      <c r="G377" s="3" t="s">
        <v>104</v>
      </c>
      <c r="H377" s="3" t="s">
        <v>1320</v>
      </c>
      <c r="I377" s="3">
        <v>33</v>
      </c>
      <c r="J377" s="3" t="s">
        <v>41</v>
      </c>
      <c r="K377" s="3" t="s">
        <v>66</v>
      </c>
      <c r="L377" s="3" t="s">
        <v>79</v>
      </c>
      <c r="M377" s="3" t="s">
        <v>80</v>
      </c>
      <c r="N377" s="3" t="s">
        <v>81</v>
      </c>
      <c r="O377" s="3" t="s">
        <v>126</v>
      </c>
      <c r="P377" s="3" t="s">
        <v>127</v>
      </c>
      <c r="Q377" s="3" t="s">
        <v>69</v>
      </c>
      <c r="R377" s="3" t="s">
        <v>1329</v>
      </c>
      <c r="S377" s="3">
        <v>4</v>
      </c>
      <c r="T377" s="3">
        <v>111</v>
      </c>
      <c r="U377" s="3">
        <v>79</v>
      </c>
      <c r="V377" s="3">
        <v>56</v>
      </c>
      <c r="W377" s="3">
        <v>26</v>
      </c>
      <c r="X377" s="3">
        <v>37</v>
      </c>
      <c r="Y377" s="3">
        <v>34.200000000000003</v>
      </c>
      <c r="Z377" s="3">
        <v>93</v>
      </c>
      <c r="AA377" s="3" t="s">
        <v>50</v>
      </c>
      <c r="AB377" s="3" t="s">
        <v>51</v>
      </c>
      <c r="AC377" s="3" t="s">
        <v>52</v>
      </c>
      <c r="AD377" s="3" t="s">
        <v>53</v>
      </c>
      <c r="AE377" s="3" t="s">
        <v>54</v>
      </c>
      <c r="AF377" s="3" t="s">
        <v>55</v>
      </c>
      <c r="AG377" s="3" t="s">
        <v>106</v>
      </c>
    </row>
    <row r="378" spans="1:33" x14ac:dyDescent="0.2">
      <c r="A378" s="2" t="s">
        <v>1318</v>
      </c>
      <c r="B378" s="2" t="s">
        <v>1330</v>
      </c>
      <c r="C378" s="2" t="s">
        <v>930</v>
      </c>
      <c r="D378" s="2" t="s">
        <v>60</v>
      </c>
      <c r="E378" s="2" t="s">
        <v>61</v>
      </c>
      <c r="F378" s="2" t="s">
        <v>38</v>
      </c>
      <c r="G378" s="2" t="s">
        <v>123</v>
      </c>
      <c r="H378" s="2" t="s">
        <v>1320</v>
      </c>
      <c r="I378" s="2">
        <v>33</v>
      </c>
      <c r="J378" s="2" t="s">
        <v>41</v>
      </c>
      <c r="K378" s="2" t="s">
        <v>140</v>
      </c>
      <c r="L378" s="2" t="s">
        <v>79</v>
      </c>
      <c r="M378" s="2" t="s">
        <v>80</v>
      </c>
      <c r="N378" s="2" t="s">
        <v>81</v>
      </c>
      <c r="O378" s="2" t="s">
        <v>126</v>
      </c>
      <c r="P378" s="2" t="s">
        <v>127</v>
      </c>
      <c r="Q378" s="2" t="s">
        <v>69</v>
      </c>
      <c r="R378" s="2" t="s">
        <v>1331</v>
      </c>
      <c r="S378" s="2">
        <v>4</v>
      </c>
      <c r="T378" s="2">
        <v>105</v>
      </c>
      <c r="U378" s="2">
        <v>87</v>
      </c>
      <c r="V378" s="2">
        <v>50</v>
      </c>
      <c r="W378" s="2">
        <v>14</v>
      </c>
      <c r="X378" s="2">
        <v>36.5</v>
      </c>
      <c r="Y378" s="2">
        <v>31.1</v>
      </c>
      <c r="Z378" s="2">
        <v>96</v>
      </c>
      <c r="AA378" s="2" t="s">
        <v>50</v>
      </c>
      <c r="AB378" s="2" t="s">
        <v>51</v>
      </c>
      <c r="AC378" s="2" t="s">
        <v>52</v>
      </c>
      <c r="AD378" s="2" t="s">
        <v>53</v>
      </c>
      <c r="AE378" s="2" t="s">
        <v>54</v>
      </c>
      <c r="AF378" s="2" t="s">
        <v>55</v>
      </c>
      <c r="AG378" s="2" t="s">
        <v>112</v>
      </c>
    </row>
    <row r="379" spans="1:33" x14ac:dyDescent="0.2">
      <c r="A379" s="3" t="s">
        <v>1318</v>
      </c>
      <c r="B379" s="3" t="s">
        <v>1332</v>
      </c>
      <c r="C379" s="3" t="s">
        <v>114</v>
      </c>
      <c r="D379" s="3" t="s">
        <v>95</v>
      </c>
      <c r="E379" s="3" t="s">
        <v>61</v>
      </c>
      <c r="F379" s="3" t="s">
        <v>219</v>
      </c>
      <c r="G379" s="3" t="s">
        <v>39</v>
      </c>
      <c r="H379" s="3" t="s">
        <v>1320</v>
      </c>
      <c r="I379" s="3">
        <v>33</v>
      </c>
      <c r="J379" s="3" t="s">
        <v>41</v>
      </c>
      <c r="K379" s="3" t="s">
        <v>110</v>
      </c>
      <c r="L379" s="3" t="s">
        <v>79</v>
      </c>
      <c r="M379" s="3" t="s">
        <v>80</v>
      </c>
      <c r="N379" s="3" t="s">
        <v>81</v>
      </c>
      <c r="O379" s="3" t="s">
        <v>126</v>
      </c>
      <c r="P379" s="3" t="s">
        <v>127</v>
      </c>
      <c r="Q379" s="3" t="s">
        <v>69</v>
      </c>
      <c r="R379" s="3" t="s">
        <v>1333</v>
      </c>
      <c r="S379" s="3">
        <v>2</v>
      </c>
      <c r="T379" s="3">
        <v>168</v>
      </c>
      <c r="U379" s="3">
        <v>97</v>
      </c>
      <c r="V379" s="3">
        <v>64</v>
      </c>
      <c r="W379" s="3">
        <v>12</v>
      </c>
      <c r="X379" s="3">
        <v>37.5</v>
      </c>
      <c r="Y379" s="3">
        <v>21.6</v>
      </c>
      <c r="Z379" s="3">
        <v>90</v>
      </c>
      <c r="AA379" s="3" t="s">
        <v>50</v>
      </c>
      <c r="AB379" s="3" t="s">
        <v>51</v>
      </c>
      <c r="AC379" s="3" t="s">
        <v>52</v>
      </c>
      <c r="AD379" s="3" t="s">
        <v>53</v>
      </c>
      <c r="AE379" s="3" t="s">
        <v>54</v>
      </c>
      <c r="AF379" s="3" t="s">
        <v>55</v>
      </c>
      <c r="AG379" s="3" t="s">
        <v>118</v>
      </c>
    </row>
    <row r="380" spans="1:33" x14ac:dyDescent="0.2">
      <c r="A380" s="2" t="s">
        <v>1334</v>
      </c>
      <c r="B380" s="2" t="s">
        <v>1335</v>
      </c>
      <c r="C380" s="2" t="s">
        <v>1336</v>
      </c>
      <c r="D380" s="2" t="s">
        <v>60</v>
      </c>
      <c r="E380" s="2" t="s">
        <v>96</v>
      </c>
      <c r="F380" s="2" t="s">
        <v>132</v>
      </c>
      <c r="G380" s="2" t="s">
        <v>98</v>
      </c>
      <c r="H380" s="2" t="s">
        <v>1337</v>
      </c>
      <c r="I380" s="2">
        <v>39</v>
      </c>
      <c r="J380" s="2" t="s">
        <v>41</v>
      </c>
      <c r="K380" s="2" t="s">
        <v>90</v>
      </c>
      <c r="L380" s="2" t="s">
        <v>141</v>
      </c>
      <c r="M380" s="2" t="s">
        <v>44</v>
      </c>
      <c r="N380" s="2"/>
      <c r="O380" s="2" t="s">
        <v>82</v>
      </c>
      <c r="P380" s="2" t="s">
        <v>83</v>
      </c>
      <c r="Q380" s="2" t="s">
        <v>69</v>
      </c>
      <c r="R380" s="2" t="s">
        <v>1338</v>
      </c>
      <c r="S380" s="2">
        <v>4</v>
      </c>
      <c r="T380" s="2">
        <v>122</v>
      </c>
      <c r="U380" s="2">
        <v>105</v>
      </c>
      <c r="V380" s="2">
        <v>79</v>
      </c>
      <c r="W380" s="2">
        <v>17</v>
      </c>
      <c r="X380" s="2">
        <v>36.299999999999997</v>
      </c>
      <c r="Y380" s="2">
        <v>41.7</v>
      </c>
      <c r="Z380" s="2">
        <v>93</v>
      </c>
      <c r="AA380" s="2" t="s">
        <v>50</v>
      </c>
      <c r="AB380" s="2" t="s">
        <v>51</v>
      </c>
      <c r="AC380" s="2" t="s">
        <v>52</v>
      </c>
      <c r="AD380" s="2" t="s">
        <v>53</v>
      </c>
      <c r="AE380" s="2" t="s">
        <v>54</v>
      </c>
      <c r="AF380" s="2" t="s">
        <v>55</v>
      </c>
      <c r="AG380" s="2" t="s">
        <v>394</v>
      </c>
    </row>
    <row r="381" spans="1:33" x14ac:dyDescent="0.2">
      <c r="A381" s="3" t="s">
        <v>1334</v>
      </c>
      <c r="B381" s="3" t="s">
        <v>1339</v>
      </c>
      <c r="C381" s="3" t="s">
        <v>1340</v>
      </c>
      <c r="D381" s="3" t="s">
        <v>95</v>
      </c>
      <c r="E381" s="3" t="s">
        <v>96</v>
      </c>
      <c r="F381" s="3" t="s">
        <v>122</v>
      </c>
      <c r="G381" s="3" t="s">
        <v>98</v>
      </c>
      <c r="H381" s="3" t="s">
        <v>1337</v>
      </c>
      <c r="I381" s="3">
        <v>39</v>
      </c>
      <c r="J381" s="3" t="s">
        <v>41</v>
      </c>
      <c r="K381" s="3" t="s">
        <v>90</v>
      </c>
      <c r="L381" s="3" t="s">
        <v>141</v>
      </c>
      <c r="M381" s="3" t="s">
        <v>44</v>
      </c>
      <c r="N381" s="3"/>
      <c r="O381" s="3" t="s">
        <v>82</v>
      </c>
      <c r="P381" s="3" t="s">
        <v>83</v>
      </c>
      <c r="Q381" s="3" t="s">
        <v>69</v>
      </c>
      <c r="R381" s="3" t="s">
        <v>1341</v>
      </c>
      <c r="S381" s="3">
        <v>3</v>
      </c>
      <c r="T381" s="3">
        <v>160</v>
      </c>
      <c r="U381" s="3">
        <v>111</v>
      </c>
      <c r="V381" s="3">
        <v>118</v>
      </c>
      <c r="W381" s="3">
        <v>26</v>
      </c>
      <c r="X381" s="3">
        <v>36.700000000000003</v>
      </c>
      <c r="Y381" s="3">
        <v>19.2</v>
      </c>
      <c r="Z381" s="3">
        <v>87</v>
      </c>
      <c r="AA381" s="3" t="s">
        <v>50</v>
      </c>
      <c r="AB381" s="3" t="s">
        <v>51</v>
      </c>
      <c r="AC381" s="3" t="s">
        <v>52</v>
      </c>
      <c r="AD381" s="3" t="s">
        <v>53</v>
      </c>
      <c r="AE381" s="3" t="s">
        <v>54</v>
      </c>
      <c r="AF381" s="3" t="s">
        <v>55</v>
      </c>
      <c r="AG381" s="3" t="s">
        <v>399</v>
      </c>
    </row>
    <row r="382" spans="1:33" x14ac:dyDescent="0.2">
      <c r="A382" s="2" t="s">
        <v>1334</v>
      </c>
      <c r="B382" s="2" t="s">
        <v>1342</v>
      </c>
      <c r="C382" s="2" t="s">
        <v>1343</v>
      </c>
      <c r="D382" s="2" t="s">
        <v>88</v>
      </c>
      <c r="E382" s="2" t="s">
        <v>96</v>
      </c>
      <c r="F382" s="2" t="s">
        <v>38</v>
      </c>
      <c r="G382" s="2" t="s">
        <v>104</v>
      </c>
      <c r="H382" s="2" t="s">
        <v>1337</v>
      </c>
      <c r="I382" s="2">
        <v>39</v>
      </c>
      <c r="J382" s="2" t="s">
        <v>41</v>
      </c>
      <c r="K382" s="2" t="s">
        <v>116</v>
      </c>
      <c r="L382" s="2" t="s">
        <v>141</v>
      </c>
      <c r="M382" s="2" t="s">
        <v>44</v>
      </c>
      <c r="N382" s="2"/>
      <c r="O382" s="2" t="s">
        <v>82</v>
      </c>
      <c r="P382" s="2" t="s">
        <v>83</v>
      </c>
      <c r="Q382" s="2" t="s">
        <v>69</v>
      </c>
      <c r="R382" s="2" t="s">
        <v>1344</v>
      </c>
      <c r="S382" s="2">
        <v>2</v>
      </c>
      <c r="T382" s="2">
        <v>126</v>
      </c>
      <c r="U382" s="2">
        <v>97</v>
      </c>
      <c r="V382" s="2">
        <v>52</v>
      </c>
      <c r="W382" s="2">
        <v>17</v>
      </c>
      <c r="X382" s="2">
        <v>36.6</v>
      </c>
      <c r="Y382" s="2">
        <v>27.3</v>
      </c>
      <c r="Z382" s="2">
        <v>90</v>
      </c>
      <c r="AA382" s="2" t="s">
        <v>50</v>
      </c>
      <c r="AB382" s="2" t="s">
        <v>51</v>
      </c>
      <c r="AC382" s="2" t="s">
        <v>52</v>
      </c>
      <c r="AD382" s="2" t="s">
        <v>53</v>
      </c>
      <c r="AE382" s="2" t="s">
        <v>54</v>
      </c>
      <c r="AF382" s="2" t="s">
        <v>55</v>
      </c>
      <c r="AG382" s="2" t="s">
        <v>403</v>
      </c>
    </row>
    <row r="383" spans="1:33" x14ac:dyDescent="0.2">
      <c r="A383" s="3" t="s">
        <v>1334</v>
      </c>
      <c r="B383" s="3" t="s">
        <v>1345</v>
      </c>
      <c r="C383" s="3" t="s">
        <v>765</v>
      </c>
      <c r="D383" s="3" t="s">
        <v>36</v>
      </c>
      <c r="E383" s="3" t="s">
        <v>37</v>
      </c>
      <c r="F383" s="3" t="s">
        <v>219</v>
      </c>
      <c r="G383" s="3" t="s">
        <v>115</v>
      </c>
      <c r="H383" s="3" t="s">
        <v>1337</v>
      </c>
      <c r="I383" s="3">
        <v>39</v>
      </c>
      <c r="J383" s="3" t="s">
        <v>41</v>
      </c>
      <c r="K383" s="3" t="s">
        <v>140</v>
      </c>
      <c r="L383" s="3" t="s">
        <v>141</v>
      </c>
      <c r="M383" s="3" t="s">
        <v>44</v>
      </c>
      <c r="N383" s="3"/>
      <c r="O383" s="3" t="s">
        <v>82</v>
      </c>
      <c r="P383" s="3" t="s">
        <v>83</v>
      </c>
      <c r="Q383" s="3" t="s">
        <v>69</v>
      </c>
      <c r="R383" s="3" t="s">
        <v>1346</v>
      </c>
      <c r="S383" s="3">
        <v>2</v>
      </c>
      <c r="T383" s="3">
        <v>130</v>
      </c>
      <c r="U383" s="3">
        <v>80</v>
      </c>
      <c r="V383" s="3">
        <v>121</v>
      </c>
      <c r="W383" s="3">
        <v>22</v>
      </c>
      <c r="X383" s="3">
        <v>37.200000000000003</v>
      </c>
      <c r="Y383" s="3">
        <v>31</v>
      </c>
      <c r="Z383" s="3">
        <v>100</v>
      </c>
      <c r="AA383" s="3" t="s">
        <v>50</v>
      </c>
      <c r="AB383" s="3" t="s">
        <v>51</v>
      </c>
      <c r="AC383" s="3" t="s">
        <v>52</v>
      </c>
      <c r="AD383" s="3" t="s">
        <v>53</v>
      </c>
      <c r="AE383" s="3" t="s">
        <v>54</v>
      </c>
      <c r="AF383" s="3" t="s">
        <v>55</v>
      </c>
      <c r="AG383" s="3" t="s">
        <v>408</v>
      </c>
    </row>
    <row r="384" spans="1:33" x14ac:dyDescent="0.2">
      <c r="A384" s="2" t="s">
        <v>1347</v>
      </c>
      <c r="B384" s="2" t="s">
        <v>1348</v>
      </c>
      <c r="C384" s="2" t="s">
        <v>1349</v>
      </c>
      <c r="D384" s="2" t="s">
        <v>95</v>
      </c>
      <c r="E384" s="2" t="s">
        <v>37</v>
      </c>
      <c r="F384" s="2" t="s">
        <v>97</v>
      </c>
      <c r="G384" s="2" t="s">
        <v>138</v>
      </c>
      <c r="H384" s="2" t="s">
        <v>1350</v>
      </c>
      <c r="I384" s="2">
        <v>38</v>
      </c>
      <c r="J384" s="2" t="s">
        <v>41</v>
      </c>
      <c r="K384" s="2" t="s">
        <v>110</v>
      </c>
      <c r="L384" s="2" t="s">
        <v>141</v>
      </c>
      <c r="M384" s="2" t="s">
        <v>125</v>
      </c>
      <c r="N384" s="2" t="s">
        <v>182</v>
      </c>
      <c r="O384" s="2" t="s">
        <v>142</v>
      </c>
      <c r="P384" s="2" t="s">
        <v>143</v>
      </c>
      <c r="Q384" s="2" t="s">
        <v>48</v>
      </c>
      <c r="R384" s="2" t="s">
        <v>460</v>
      </c>
      <c r="S384" s="2">
        <v>1</v>
      </c>
      <c r="T384" s="2">
        <v>185</v>
      </c>
      <c r="U384" s="2">
        <v>77</v>
      </c>
      <c r="V384" s="2">
        <v>70</v>
      </c>
      <c r="W384" s="2">
        <v>23</v>
      </c>
      <c r="X384" s="2">
        <v>36.6</v>
      </c>
      <c r="Y384" s="2">
        <v>42</v>
      </c>
      <c r="Z384" s="2">
        <v>94</v>
      </c>
      <c r="AA384" s="2" t="s">
        <v>50</v>
      </c>
      <c r="AB384" s="2" t="s">
        <v>51</v>
      </c>
      <c r="AC384" s="2" t="s">
        <v>52</v>
      </c>
      <c r="AD384" s="2" t="s">
        <v>53</v>
      </c>
      <c r="AE384" s="2" t="s">
        <v>54</v>
      </c>
      <c r="AF384" s="2" t="s">
        <v>55</v>
      </c>
      <c r="AG384" s="2" t="s">
        <v>186</v>
      </c>
    </row>
    <row r="385" spans="1:33" x14ac:dyDescent="0.2">
      <c r="A385" s="3" t="s">
        <v>1347</v>
      </c>
      <c r="B385" s="3" t="s">
        <v>1351</v>
      </c>
      <c r="C385" s="3" t="s">
        <v>1352</v>
      </c>
      <c r="D385" s="3" t="s">
        <v>60</v>
      </c>
      <c r="E385" s="3" t="s">
        <v>96</v>
      </c>
      <c r="F385" s="3" t="s">
        <v>219</v>
      </c>
      <c r="G385" s="3" t="s">
        <v>63</v>
      </c>
      <c r="H385" s="3" t="s">
        <v>1350</v>
      </c>
      <c r="I385" s="3">
        <v>38</v>
      </c>
      <c r="J385" s="3" t="s">
        <v>41</v>
      </c>
      <c r="K385" s="3" t="s">
        <v>110</v>
      </c>
      <c r="L385" s="3" t="s">
        <v>141</v>
      </c>
      <c r="M385" s="3" t="s">
        <v>125</v>
      </c>
      <c r="N385" s="3" t="s">
        <v>182</v>
      </c>
      <c r="O385" s="3" t="s">
        <v>142</v>
      </c>
      <c r="P385" s="3" t="s">
        <v>143</v>
      </c>
      <c r="Q385" s="3" t="s">
        <v>48</v>
      </c>
      <c r="R385" s="3" t="s">
        <v>1353</v>
      </c>
      <c r="S385" s="3">
        <v>2</v>
      </c>
      <c r="T385" s="3">
        <v>115</v>
      </c>
      <c r="U385" s="3">
        <v>70</v>
      </c>
      <c r="V385" s="3">
        <v>76</v>
      </c>
      <c r="W385" s="3">
        <v>18</v>
      </c>
      <c r="X385" s="3">
        <v>36.1</v>
      </c>
      <c r="Y385" s="3">
        <v>42.5</v>
      </c>
      <c r="Z385" s="3">
        <v>90</v>
      </c>
      <c r="AA385" s="3" t="s">
        <v>50</v>
      </c>
      <c r="AB385" s="3" t="s">
        <v>51</v>
      </c>
      <c r="AC385" s="3" t="s">
        <v>52</v>
      </c>
      <c r="AD385" s="3" t="s">
        <v>53</v>
      </c>
      <c r="AE385" s="3" t="s">
        <v>54</v>
      </c>
      <c r="AF385" s="3" t="s">
        <v>55</v>
      </c>
      <c r="AG385" s="3" t="s">
        <v>191</v>
      </c>
    </row>
    <row r="386" spans="1:33" x14ac:dyDescent="0.2">
      <c r="A386" s="2" t="s">
        <v>1354</v>
      </c>
      <c r="B386" s="2" t="s">
        <v>1355</v>
      </c>
      <c r="C386" s="2" t="s">
        <v>947</v>
      </c>
      <c r="D386" s="2" t="s">
        <v>95</v>
      </c>
      <c r="E386" s="2" t="s">
        <v>96</v>
      </c>
      <c r="F386" s="2" t="s">
        <v>75</v>
      </c>
      <c r="G386" s="2" t="s">
        <v>138</v>
      </c>
      <c r="H386" s="2" t="s">
        <v>1356</v>
      </c>
      <c r="I386" s="2">
        <v>23</v>
      </c>
      <c r="J386" s="2" t="s">
        <v>41</v>
      </c>
      <c r="K386" s="2" t="s">
        <v>66</v>
      </c>
      <c r="L386" s="2" t="s">
        <v>45</v>
      </c>
      <c r="M386" s="2" t="s">
        <v>80</v>
      </c>
      <c r="N386" s="2" t="s">
        <v>81</v>
      </c>
      <c r="O386" s="2" t="s">
        <v>497</v>
      </c>
      <c r="P386" s="2" t="s">
        <v>498</v>
      </c>
      <c r="Q386" s="2" t="s">
        <v>69</v>
      </c>
      <c r="R386" s="2" t="s">
        <v>518</v>
      </c>
      <c r="S386" s="2">
        <v>1</v>
      </c>
      <c r="T386" s="2">
        <v>159</v>
      </c>
      <c r="U386" s="2">
        <v>101</v>
      </c>
      <c r="V386" s="2">
        <v>87</v>
      </c>
      <c r="W386" s="2">
        <v>26</v>
      </c>
      <c r="X386" s="2">
        <v>36.5</v>
      </c>
      <c r="Y386" s="2">
        <v>27.9</v>
      </c>
      <c r="Z386" s="2">
        <v>98</v>
      </c>
      <c r="AA386" s="2" t="s">
        <v>50</v>
      </c>
      <c r="AB386" s="2" t="s">
        <v>51</v>
      </c>
      <c r="AC386" s="2" t="s">
        <v>52</v>
      </c>
      <c r="AD386" s="2" t="s">
        <v>53</v>
      </c>
      <c r="AE386" s="2" t="s">
        <v>54</v>
      </c>
      <c r="AF386" s="2" t="s">
        <v>55</v>
      </c>
      <c r="AG386" s="2" t="s">
        <v>85</v>
      </c>
    </row>
    <row r="387" spans="1:33" x14ac:dyDescent="0.2">
      <c r="A387" s="3" t="s">
        <v>1354</v>
      </c>
      <c r="B387" s="3" t="s">
        <v>1357</v>
      </c>
      <c r="C387" s="3" t="s">
        <v>1358</v>
      </c>
      <c r="D387" s="3" t="s">
        <v>103</v>
      </c>
      <c r="E387" s="3" t="s">
        <v>61</v>
      </c>
      <c r="F387" s="3" t="s">
        <v>132</v>
      </c>
      <c r="G387" s="3" t="s">
        <v>39</v>
      </c>
      <c r="H387" s="3" t="s">
        <v>1356</v>
      </c>
      <c r="I387" s="3">
        <v>23</v>
      </c>
      <c r="J387" s="3" t="s">
        <v>41</v>
      </c>
      <c r="K387" s="3" t="s">
        <v>78</v>
      </c>
      <c r="L387" s="3" t="s">
        <v>45</v>
      </c>
      <c r="M387" s="3" t="s">
        <v>80</v>
      </c>
      <c r="N387" s="3" t="s">
        <v>81</v>
      </c>
      <c r="O387" s="3" t="s">
        <v>497</v>
      </c>
      <c r="P387" s="3" t="s">
        <v>498</v>
      </c>
      <c r="Q387" s="3" t="s">
        <v>69</v>
      </c>
      <c r="R387" s="3" t="s">
        <v>668</v>
      </c>
      <c r="S387" s="3">
        <v>2</v>
      </c>
      <c r="T387" s="3">
        <v>126</v>
      </c>
      <c r="U387" s="3">
        <v>85</v>
      </c>
      <c r="V387" s="3">
        <v>56</v>
      </c>
      <c r="W387" s="3">
        <v>18</v>
      </c>
      <c r="X387" s="3">
        <v>38.4</v>
      </c>
      <c r="Y387" s="3">
        <v>27.8</v>
      </c>
      <c r="Z387" s="3">
        <v>96</v>
      </c>
      <c r="AA387" s="3" t="s">
        <v>50</v>
      </c>
      <c r="AB387" s="3" t="s">
        <v>51</v>
      </c>
      <c r="AC387" s="3" t="s">
        <v>52</v>
      </c>
      <c r="AD387" s="3" t="s">
        <v>53</v>
      </c>
      <c r="AE387" s="3" t="s">
        <v>54</v>
      </c>
      <c r="AF387" s="3" t="s">
        <v>55</v>
      </c>
      <c r="AG387" s="3" t="s">
        <v>92</v>
      </c>
    </row>
    <row r="388" spans="1:33" x14ac:dyDescent="0.2">
      <c r="A388" s="2" t="s">
        <v>1354</v>
      </c>
      <c r="B388" s="2" t="s">
        <v>1359</v>
      </c>
      <c r="C388" s="2" t="s">
        <v>1360</v>
      </c>
      <c r="D388" s="2" t="s">
        <v>36</v>
      </c>
      <c r="E388" s="2" t="s">
        <v>167</v>
      </c>
      <c r="F388" s="2" t="s">
        <v>132</v>
      </c>
      <c r="G388" s="2" t="s">
        <v>115</v>
      </c>
      <c r="H388" s="2" t="s">
        <v>1356</v>
      </c>
      <c r="I388" s="2">
        <v>23</v>
      </c>
      <c r="J388" s="2" t="s">
        <v>41</v>
      </c>
      <c r="K388" s="2" t="s">
        <v>78</v>
      </c>
      <c r="L388" s="2" t="s">
        <v>45</v>
      </c>
      <c r="M388" s="2" t="s">
        <v>80</v>
      </c>
      <c r="N388" s="2" t="s">
        <v>81</v>
      </c>
      <c r="O388" s="2" t="s">
        <v>497</v>
      </c>
      <c r="P388" s="2" t="s">
        <v>498</v>
      </c>
      <c r="Q388" s="2" t="s">
        <v>69</v>
      </c>
      <c r="R388" s="2" t="s">
        <v>176</v>
      </c>
      <c r="S388" s="2">
        <v>1</v>
      </c>
      <c r="T388" s="2">
        <v>181</v>
      </c>
      <c r="U388" s="2">
        <v>86</v>
      </c>
      <c r="V388" s="2">
        <v>101</v>
      </c>
      <c r="W388" s="2">
        <v>27</v>
      </c>
      <c r="X388" s="2">
        <v>37.4</v>
      </c>
      <c r="Y388" s="2">
        <v>39.4</v>
      </c>
      <c r="Z388" s="2">
        <v>96</v>
      </c>
      <c r="AA388" s="2" t="s">
        <v>50</v>
      </c>
      <c r="AB388" s="2" t="s">
        <v>51</v>
      </c>
      <c r="AC388" s="2" t="s">
        <v>52</v>
      </c>
      <c r="AD388" s="2" t="s">
        <v>53</v>
      </c>
      <c r="AE388" s="2" t="s">
        <v>54</v>
      </c>
      <c r="AF388" s="2" t="s">
        <v>55</v>
      </c>
      <c r="AG388" s="2" t="s">
        <v>100</v>
      </c>
    </row>
    <row r="389" spans="1:33" x14ac:dyDescent="0.2">
      <c r="A389" s="3" t="s">
        <v>1354</v>
      </c>
      <c r="B389" s="3" t="s">
        <v>1361</v>
      </c>
      <c r="C389" s="3" t="s">
        <v>1362</v>
      </c>
      <c r="D389" s="3" t="s">
        <v>36</v>
      </c>
      <c r="E389" s="3" t="s">
        <v>167</v>
      </c>
      <c r="F389" s="3" t="s">
        <v>109</v>
      </c>
      <c r="G389" s="3" t="s">
        <v>123</v>
      </c>
      <c r="H389" s="3" t="s">
        <v>1356</v>
      </c>
      <c r="I389" s="3">
        <v>23</v>
      </c>
      <c r="J389" s="3" t="s">
        <v>41</v>
      </c>
      <c r="K389" s="3" t="s">
        <v>66</v>
      </c>
      <c r="L389" s="3" t="s">
        <v>45</v>
      </c>
      <c r="M389" s="3" t="s">
        <v>80</v>
      </c>
      <c r="N389" s="3" t="s">
        <v>81</v>
      </c>
      <c r="O389" s="3" t="s">
        <v>497</v>
      </c>
      <c r="P389" s="3" t="s">
        <v>498</v>
      </c>
      <c r="Q389" s="3" t="s">
        <v>69</v>
      </c>
      <c r="R389" s="3" t="s">
        <v>1363</v>
      </c>
      <c r="S389" s="3">
        <v>3</v>
      </c>
      <c r="T389" s="3">
        <v>130</v>
      </c>
      <c r="U389" s="3">
        <v>57</v>
      </c>
      <c r="V389" s="3">
        <v>119</v>
      </c>
      <c r="W389" s="3">
        <v>14</v>
      </c>
      <c r="X389" s="3">
        <v>37.799999999999997</v>
      </c>
      <c r="Y389" s="3">
        <v>45.4</v>
      </c>
      <c r="Z389" s="3">
        <v>100</v>
      </c>
      <c r="AA389" s="3" t="s">
        <v>50</v>
      </c>
      <c r="AB389" s="3" t="s">
        <v>51</v>
      </c>
      <c r="AC389" s="3" t="s">
        <v>52</v>
      </c>
      <c r="AD389" s="3" t="s">
        <v>53</v>
      </c>
      <c r="AE389" s="3" t="s">
        <v>54</v>
      </c>
      <c r="AF389" s="3" t="s">
        <v>55</v>
      </c>
      <c r="AG389" s="3" t="s">
        <v>106</v>
      </c>
    </row>
    <row r="390" spans="1:33" x14ac:dyDescent="0.2">
      <c r="A390" s="2" t="s">
        <v>1354</v>
      </c>
      <c r="B390" s="2" t="s">
        <v>1364</v>
      </c>
      <c r="C390" s="2" t="s">
        <v>1365</v>
      </c>
      <c r="D390" s="2" t="s">
        <v>60</v>
      </c>
      <c r="E390" s="2" t="s">
        <v>37</v>
      </c>
      <c r="F390" s="2" t="s">
        <v>148</v>
      </c>
      <c r="G390" s="2" t="s">
        <v>76</v>
      </c>
      <c r="H390" s="2" t="s">
        <v>1356</v>
      </c>
      <c r="I390" s="2">
        <v>23</v>
      </c>
      <c r="J390" s="2" t="s">
        <v>41</v>
      </c>
      <c r="K390" s="2" t="s">
        <v>78</v>
      </c>
      <c r="L390" s="2" t="s">
        <v>45</v>
      </c>
      <c r="M390" s="2" t="s">
        <v>80</v>
      </c>
      <c r="N390" s="2" t="s">
        <v>81</v>
      </c>
      <c r="O390" s="2" t="s">
        <v>497</v>
      </c>
      <c r="P390" s="2" t="s">
        <v>498</v>
      </c>
      <c r="Q390" s="2" t="s">
        <v>69</v>
      </c>
      <c r="R390" s="2" t="s">
        <v>1366</v>
      </c>
      <c r="S390" s="2">
        <v>4</v>
      </c>
      <c r="T390" s="2">
        <v>176</v>
      </c>
      <c r="U390" s="2">
        <v>92</v>
      </c>
      <c r="V390" s="2">
        <v>61</v>
      </c>
      <c r="W390" s="2">
        <v>18</v>
      </c>
      <c r="X390" s="2">
        <v>38.1</v>
      </c>
      <c r="Y390" s="2">
        <v>42.8</v>
      </c>
      <c r="Z390" s="2">
        <v>95</v>
      </c>
      <c r="AA390" s="2" t="s">
        <v>50</v>
      </c>
      <c r="AB390" s="2" t="s">
        <v>51</v>
      </c>
      <c r="AC390" s="2" t="s">
        <v>52</v>
      </c>
      <c r="AD390" s="2" t="s">
        <v>53</v>
      </c>
      <c r="AE390" s="2" t="s">
        <v>54</v>
      </c>
      <c r="AF390" s="2" t="s">
        <v>55</v>
      </c>
      <c r="AG390" s="2" t="s">
        <v>112</v>
      </c>
    </row>
    <row r="391" spans="1:33" x14ac:dyDescent="0.2">
      <c r="A391" s="3" t="s">
        <v>1354</v>
      </c>
      <c r="B391" s="3" t="s">
        <v>1367</v>
      </c>
      <c r="C391" s="3" t="s">
        <v>1368</v>
      </c>
      <c r="D391" s="3" t="s">
        <v>88</v>
      </c>
      <c r="E391" s="3" t="s">
        <v>89</v>
      </c>
      <c r="F391" s="3" t="s">
        <v>62</v>
      </c>
      <c r="G391" s="3" t="s">
        <v>138</v>
      </c>
      <c r="H391" s="3" t="s">
        <v>1356</v>
      </c>
      <c r="I391" s="3">
        <v>23</v>
      </c>
      <c r="J391" s="3" t="s">
        <v>41</v>
      </c>
      <c r="K391" s="3" t="s">
        <v>66</v>
      </c>
      <c r="L391" s="3" t="s">
        <v>45</v>
      </c>
      <c r="M391" s="3" t="s">
        <v>80</v>
      </c>
      <c r="N391" s="3" t="s">
        <v>81</v>
      </c>
      <c r="O391" s="3" t="s">
        <v>497</v>
      </c>
      <c r="P391" s="3" t="s">
        <v>498</v>
      </c>
      <c r="Q391" s="3" t="s">
        <v>69</v>
      </c>
      <c r="R391" s="3" t="s">
        <v>1369</v>
      </c>
      <c r="S391" s="3">
        <v>3</v>
      </c>
      <c r="T391" s="3">
        <v>160</v>
      </c>
      <c r="U391" s="3">
        <v>108</v>
      </c>
      <c r="V391" s="3">
        <v>89</v>
      </c>
      <c r="W391" s="3">
        <v>21</v>
      </c>
      <c r="X391" s="3">
        <v>36.700000000000003</v>
      </c>
      <c r="Y391" s="3">
        <v>32.1</v>
      </c>
      <c r="Z391" s="3">
        <v>91</v>
      </c>
      <c r="AA391" s="3" t="s">
        <v>50</v>
      </c>
      <c r="AB391" s="3" t="s">
        <v>51</v>
      </c>
      <c r="AC391" s="3" t="s">
        <v>52</v>
      </c>
      <c r="AD391" s="3" t="s">
        <v>53</v>
      </c>
      <c r="AE391" s="3" t="s">
        <v>54</v>
      </c>
      <c r="AF391" s="3" t="s">
        <v>55</v>
      </c>
      <c r="AG391" s="3" t="s">
        <v>118</v>
      </c>
    </row>
    <row r="392" spans="1:33" x14ac:dyDescent="0.2">
      <c r="A392" s="2" t="s">
        <v>1370</v>
      </c>
      <c r="B392" s="2" t="s">
        <v>1371</v>
      </c>
      <c r="C392" s="4" t="s">
        <v>313</v>
      </c>
      <c r="D392" s="2" t="s">
        <v>36</v>
      </c>
      <c r="E392" s="2" t="s">
        <v>89</v>
      </c>
      <c r="F392" s="2" t="s">
        <v>38</v>
      </c>
      <c r="G392" s="2" t="s">
        <v>39</v>
      </c>
      <c r="H392" s="2" t="s">
        <v>1372</v>
      </c>
      <c r="I392" s="4">
        <v>72</v>
      </c>
      <c r="J392" s="2" t="s">
        <v>65</v>
      </c>
      <c r="K392" s="2" t="s">
        <v>90</v>
      </c>
      <c r="L392" s="2" t="s">
        <v>79</v>
      </c>
      <c r="M392" s="2" t="s">
        <v>125</v>
      </c>
      <c r="N392" s="2" t="s">
        <v>45</v>
      </c>
      <c r="O392" s="2" t="s">
        <v>315</v>
      </c>
      <c r="P392" s="2" t="s">
        <v>316</v>
      </c>
      <c r="Q392" s="2" t="s">
        <v>69</v>
      </c>
      <c r="R392" s="2" t="s">
        <v>1373</v>
      </c>
      <c r="S392" s="2">
        <v>2</v>
      </c>
      <c r="T392" s="4">
        <v>180</v>
      </c>
      <c r="U392" s="4"/>
      <c r="V392" s="2">
        <v>93</v>
      </c>
      <c r="W392" s="2">
        <v>12</v>
      </c>
      <c r="X392" s="2">
        <v>37.1</v>
      </c>
      <c r="Y392" s="4">
        <v>24.2</v>
      </c>
      <c r="Z392" s="2">
        <v>97</v>
      </c>
      <c r="AA392" s="2" t="s">
        <v>50</v>
      </c>
      <c r="AB392" s="2" t="s">
        <v>51</v>
      </c>
      <c r="AC392" s="2" t="s">
        <v>52</v>
      </c>
      <c r="AD392" s="2" t="s">
        <v>53</v>
      </c>
      <c r="AE392" s="2" t="s">
        <v>54</v>
      </c>
      <c r="AF392" s="2" t="s">
        <v>318</v>
      </c>
      <c r="AG392" s="2" t="s">
        <v>198</v>
      </c>
    </row>
    <row r="393" spans="1:33" x14ac:dyDescent="0.2">
      <c r="A393" s="3" t="s">
        <v>1370</v>
      </c>
      <c r="B393" s="3" t="s">
        <v>1374</v>
      </c>
      <c r="C393" s="3" t="s">
        <v>1375</v>
      </c>
      <c r="D393" s="3" t="s">
        <v>88</v>
      </c>
      <c r="E393" s="3" t="s">
        <v>89</v>
      </c>
      <c r="F393" s="3" t="s">
        <v>148</v>
      </c>
      <c r="G393" s="3" t="s">
        <v>39</v>
      </c>
      <c r="H393" s="3" t="s">
        <v>1372</v>
      </c>
      <c r="I393" s="3">
        <v>72</v>
      </c>
      <c r="J393" s="3" t="s">
        <v>65</v>
      </c>
      <c r="K393" s="3" t="s">
        <v>66</v>
      </c>
      <c r="L393" s="3" t="s">
        <v>79</v>
      </c>
      <c r="M393" s="3" t="s">
        <v>125</v>
      </c>
      <c r="N393" s="3" t="s">
        <v>45</v>
      </c>
      <c r="O393" s="3" t="s">
        <v>315</v>
      </c>
      <c r="P393" s="3" t="s">
        <v>316</v>
      </c>
      <c r="Q393" s="3" t="s">
        <v>69</v>
      </c>
      <c r="R393" s="3" t="s">
        <v>1376</v>
      </c>
      <c r="S393" s="3">
        <v>4</v>
      </c>
      <c r="T393" s="3"/>
      <c r="U393" s="3">
        <v>98</v>
      </c>
      <c r="V393" s="3">
        <v>112</v>
      </c>
      <c r="W393" s="3">
        <v>13</v>
      </c>
      <c r="X393" s="3">
        <v>36.200000000000003</v>
      </c>
      <c r="Y393" s="3">
        <v>42.8</v>
      </c>
      <c r="Z393" s="3">
        <v>93</v>
      </c>
      <c r="AA393" s="3" t="s">
        <v>50</v>
      </c>
      <c r="AB393" s="3" t="s">
        <v>51</v>
      </c>
      <c r="AC393" s="3" t="s">
        <v>52</v>
      </c>
      <c r="AD393" s="3" t="s">
        <v>53</v>
      </c>
      <c r="AE393" s="3" t="s">
        <v>54</v>
      </c>
      <c r="AF393" s="3" t="s">
        <v>55</v>
      </c>
      <c r="AG393" s="3" t="s">
        <v>202</v>
      </c>
    </row>
    <row r="394" spans="1:33" x14ac:dyDescent="0.2">
      <c r="A394" s="2" t="s">
        <v>1370</v>
      </c>
      <c r="B394" s="2" t="s">
        <v>1377</v>
      </c>
      <c r="C394" s="4" t="s">
        <v>761</v>
      </c>
      <c r="D394" s="2" t="s">
        <v>95</v>
      </c>
      <c r="E394" s="2" t="s">
        <v>96</v>
      </c>
      <c r="F394" s="2" t="s">
        <v>75</v>
      </c>
      <c r="G394" s="2" t="s">
        <v>115</v>
      </c>
      <c r="H394" s="2" t="s">
        <v>1372</v>
      </c>
      <c r="I394" s="4">
        <v>72</v>
      </c>
      <c r="J394" s="2" t="s">
        <v>65</v>
      </c>
      <c r="K394" s="2" t="s">
        <v>90</v>
      </c>
      <c r="L394" s="2" t="s">
        <v>79</v>
      </c>
      <c r="M394" s="2" t="s">
        <v>125</v>
      </c>
      <c r="N394" s="2" t="s">
        <v>45</v>
      </c>
      <c r="O394" s="2" t="s">
        <v>315</v>
      </c>
      <c r="P394" s="2" t="s">
        <v>316</v>
      </c>
      <c r="Q394" s="2" t="s">
        <v>69</v>
      </c>
      <c r="R394" s="2" t="s">
        <v>518</v>
      </c>
      <c r="S394" s="2">
        <v>1</v>
      </c>
      <c r="T394" s="4"/>
      <c r="U394" s="4">
        <v>80</v>
      </c>
      <c r="V394" s="2">
        <v>62</v>
      </c>
      <c r="W394" s="2">
        <v>20</v>
      </c>
      <c r="X394" s="2">
        <v>37.6</v>
      </c>
      <c r="Y394" s="4">
        <v>-9</v>
      </c>
      <c r="Z394" s="2">
        <v>100</v>
      </c>
      <c r="AA394" s="2" t="s">
        <v>50</v>
      </c>
      <c r="AB394" s="2" t="s">
        <v>51</v>
      </c>
      <c r="AC394" s="2" t="s">
        <v>52</v>
      </c>
      <c r="AD394" s="2" t="s">
        <v>53</v>
      </c>
      <c r="AE394" s="2" t="s">
        <v>54</v>
      </c>
      <c r="AF394" s="2" t="s">
        <v>422</v>
      </c>
      <c r="AG394" s="2" t="s">
        <v>206</v>
      </c>
    </row>
    <row r="395" spans="1:33" x14ac:dyDescent="0.2">
      <c r="A395" s="3" t="s">
        <v>1378</v>
      </c>
      <c r="B395" s="3" t="s">
        <v>1379</v>
      </c>
      <c r="C395" s="3" t="s">
        <v>1380</v>
      </c>
      <c r="D395" s="3" t="s">
        <v>60</v>
      </c>
      <c r="E395" s="3" t="s">
        <v>37</v>
      </c>
      <c r="F395" s="3" t="s">
        <v>132</v>
      </c>
      <c r="G395" s="3" t="s">
        <v>98</v>
      </c>
      <c r="H395" s="3" t="s">
        <v>1381</v>
      </c>
      <c r="I395" s="3">
        <v>23</v>
      </c>
      <c r="J395" s="3" t="s">
        <v>65</v>
      </c>
      <c r="K395" s="3" t="s">
        <v>90</v>
      </c>
      <c r="L395" s="3" t="s">
        <v>79</v>
      </c>
      <c r="M395" s="3" t="s">
        <v>125</v>
      </c>
      <c r="N395" s="3" t="s">
        <v>81</v>
      </c>
      <c r="O395" s="3" t="s">
        <v>142</v>
      </c>
      <c r="P395" s="3" t="s">
        <v>143</v>
      </c>
      <c r="Q395" s="3" t="s">
        <v>48</v>
      </c>
      <c r="R395" s="3" t="s">
        <v>1382</v>
      </c>
      <c r="S395" s="3">
        <v>4</v>
      </c>
      <c r="T395" s="3">
        <v>166</v>
      </c>
      <c r="U395" s="3">
        <v>64</v>
      </c>
      <c r="V395" s="3">
        <v>94</v>
      </c>
      <c r="W395" s="3">
        <v>13</v>
      </c>
      <c r="X395" s="3">
        <v>38.9</v>
      </c>
      <c r="Y395" s="3">
        <v>42.8</v>
      </c>
      <c r="Z395" s="3">
        <v>90</v>
      </c>
      <c r="AA395" s="3" t="s">
        <v>50</v>
      </c>
      <c r="AB395" s="3" t="s">
        <v>51</v>
      </c>
      <c r="AC395" s="3" t="s">
        <v>52</v>
      </c>
      <c r="AD395" s="3" t="s">
        <v>53</v>
      </c>
      <c r="AE395" s="3" t="s">
        <v>54</v>
      </c>
      <c r="AF395" s="3" t="s">
        <v>55</v>
      </c>
      <c r="AG395" s="3" t="s">
        <v>186</v>
      </c>
    </row>
    <row r="396" spans="1:33" x14ac:dyDescent="0.2">
      <c r="A396" s="2" t="s">
        <v>1378</v>
      </c>
      <c r="B396" s="2" t="s">
        <v>1383</v>
      </c>
      <c r="C396" s="2" t="s">
        <v>378</v>
      </c>
      <c r="D396" s="2" t="s">
        <v>60</v>
      </c>
      <c r="E396" s="2" t="s">
        <v>89</v>
      </c>
      <c r="F396" s="2" t="s">
        <v>97</v>
      </c>
      <c r="G396" s="2" t="s">
        <v>39</v>
      </c>
      <c r="H396" s="2" t="s">
        <v>1381</v>
      </c>
      <c r="I396" s="2">
        <v>23</v>
      </c>
      <c r="J396" s="2" t="s">
        <v>65</v>
      </c>
      <c r="K396" s="2" t="s">
        <v>78</v>
      </c>
      <c r="L396" s="2" t="s">
        <v>79</v>
      </c>
      <c r="M396" s="2" t="s">
        <v>125</v>
      </c>
      <c r="N396" s="2" t="s">
        <v>81</v>
      </c>
      <c r="O396" s="2" t="s">
        <v>142</v>
      </c>
      <c r="P396" s="2" t="s">
        <v>143</v>
      </c>
      <c r="Q396" s="2" t="s">
        <v>48</v>
      </c>
      <c r="R396" s="2" t="s">
        <v>1384</v>
      </c>
      <c r="S396" s="2">
        <v>4</v>
      </c>
      <c r="T396" s="2">
        <v>146</v>
      </c>
      <c r="U396" s="2">
        <v>109</v>
      </c>
      <c r="V396" s="2">
        <v>109</v>
      </c>
      <c r="W396" s="2">
        <v>20</v>
      </c>
      <c r="X396" s="2">
        <v>38.299999999999997</v>
      </c>
      <c r="Y396" s="2">
        <v>34.799999999999997</v>
      </c>
      <c r="Z396" s="2">
        <v>97</v>
      </c>
      <c r="AA396" s="2" t="s">
        <v>50</v>
      </c>
      <c r="AB396" s="2" t="s">
        <v>51</v>
      </c>
      <c r="AC396" s="2" t="s">
        <v>52</v>
      </c>
      <c r="AD396" s="2" t="s">
        <v>53</v>
      </c>
      <c r="AE396" s="2" t="s">
        <v>54</v>
      </c>
      <c r="AF396" s="2" t="s">
        <v>55</v>
      </c>
      <c r="AG396" s="2" t="s">
        <v>191</v>
      </c>
    </row>
    <row r="397" spans="1:33" x14ac:dyDescent="0.2">
      <c r="A397" s="3" t="s">
        <v>1385</v>
      </c>
      <c r="B397" s="3" t="s">
        <v>1386</v>
      </c>
      <c r="C397" s="3" t="s">
        <v>1314</v>
      </c>
      <c r="D397" s="3" t="s">
        <v>88</v>
      </c>
      <c r="E397" s="3" t="s">
        <v>61</v>
      </c>
      <c r="F397" s="3" t="s">
        <v>219</v>
      </c>
      <c r="G397" s="3" t="s">
        <v>123</v>
      </c>
      <c r="H397" s="3" t="s">
        <v>1387</v>
      </c>
      <c r="I397" s="3">
        <v>68</v>
      </c>
      <c r="J397" s="3" t="s">
        <v>41</v>
      </c>
      <c r="K397" s="3" t="s">
        <v>110</v>
      </c>
      <c r="L397" s="3" t="s">
        <v>141</v>
      </c>
      <c r="M397" s="3" t="s">
        <v>125</v>
      </c>
      <c r="N397" s="3" t="s">
        <v>45</v>
      </c>
      <c r="O397" s="3" t="s">
        <v>315</v>
      </c>
      <c r="P397" s="3" t="s">
        <v>316</v>
      </c>
      <c r="Q397" s="3" t="s">
        <v>69</v>
      </c>
      <c r="R397" s="3" t="s">
        <v>393</v>
      </c>
      <c r="S397" s="3">
        <v>1</v>
      </c>
      <c r="T397" s="3">
        <v>97</v>
      </c>
      <c r="U397" s="3">
        <v>93</v>
      </c>
      <c r="V397" s="3">
        <v>108</v>
      </c>
      <c r="W397" s="3">
        <v>17</v>
      </c>
      <c r="X397" s="3">
        <v>38.1</v>
      </c>
      <c r="Y397" s="3">
        <v>35.9</v>
      </c>
      <c r="Z397" s="3">
        <v>88</v>
      </c>
      <c r="AA397" s="3" t="s">
        <v>50</v>
      </c>
      <c r="AB397" s="3" t="s">
        <v>51</v>
      </c>
      <c r="AC397" s="3" t="s">
        <v>52</v>
      </c>
      <c r="AD397" s="3" t="s">
        <v>53</v>
      </c>
      <c r="AE397" s="3" t="s">
        <v>54</v>
      </c>
      <c r="AF397" s="3" t="s">
        <v>55</v>
      </c>
      <c r="AG397" s="3" t="s">
        <v>85</v>
      </c>
    </row>
    <row r="398" spans="1:33" x14ac:dyDescent="0.2">
      <c r="A398" s="2" t="s">
        <v>1385</v>
      </c>
      <c r="B398" s="2" t="s">
        <v>1388</v>
      </c>
      <c r="C398" s="2" t="s">
        <v>1389</v>
      </c>
      <c r="D398" s="2" t="s">
        <v>88</v>
      </c>
      <c r="E398" s="2" t="s">
        <v>37</v>
      </c>
      <c r="F398" s="2" t="s">
        <v>219</v>
      </c>
      <c r="G398" s="2" t="s">
        <v>123</v>
      </c>
      <c r="H398" s="2" t="s">
        <v>1387</v>
      </c>
      <c r="I398" s="2">
        <v>68</v>
      </c>
      <c r="J398" s="2" t="s">
        <v>41</v>
      </c>
      <c r="K398" s="2" t="s">
        <v>42</v>
      </c>
      <c r="L398" s="2" t="s">
        <v>141</v>
      </c>
      <c r="M398" s="2" t="s">
        <v>125</v>
      </c>
      <c r="N398" s="2" t="s">
        <v>45</v>
      </c>
      <c r="O398" s="2" t="s">
        <v>315</v>
      </c>
      <c r="P398" s="2" t="s">
        <v>316</v>
      </c>
      <c r="Q398" s="2" t="s">
        <v>69</v>
      </c>
      <c r="R398" s="2" t="s">
        <v>1390</v>
      </c>
      <c r="S398" s="2">
        <v>4</v>
      </c>
      <c r="T398" s="2">
        <v>179</v>
      </c>
      <c r="U398" s="2">
        <v>66</v>
      </c>
      <c r="V398" s="2">
        <v>51</v>
      </c>
      <c r="W398" s="2">
        <v>25</v>
      </c>
      <c r="X398" s="2">
        <v>36.799999999999997</v>
      </c>
      <c r="Y398" s="2">
        <v>37.6</v>
      </c>
      <c r="Z398" s="2">
        <v>99</v>
      </c>
      <c r="AA398" s="2" t="s">
        <v>50</v>
      </c>
      <c r="AB398" s="2" t="s">
        <v>51</v>
      </c>
      <c r="AC398" s="2" t="s">
        <v>52</v>
      </c>
      <c r="AD398" s="2" t="s">
        <v>53</v>
      </c>
      <c r="AE398" s="2" t="s">
        <v>54</v>
      </c>
      <c r="AF398" s="2" t="s">
        <v>55</v>
      </c>
      <c r="AG398" s="2" t="s">
        <v>92</v>
      </c>
    </row>
    <row r="399" spans="1:33" x14ac:dyDescent="0.2">
      <c r="A399" s="3" t="s">
        <v>1385</v>
      </c>
      <c r="B399" s="3" t="s">
        <v>1391</v>
      </c>
      <c r="C399" s="3" t="s">
        <v>1392</v>
      </c>
      <c r="D399" s="3" t="s">
        <v>60</v>
      </c>
      <c r="E399" s="3" t="s">
        <v>61</v>
      </c>
      <c r="F399" s="3" t="s">
        <v>62</v>
      </c>
      <c r="G399" s="3" t="s">
        <v>39</v>
      </c>
      <c r="H399" s="3" t="s">
        <v>1387</v>
      </c>
      <c r="I399" s="3">
        <v>68</v>
      </c>
      <c r="J399" s="3" t="s">
        <v>41</v>
      </c>
      <c r="K399" s="3" t="s">
        <v>116</v>
      </c>
      <c r="L399" s="3" t="s">
        <v>141</v>
      </c>
      <c r="M399" s="3" t="s">
        <v>125</v>
      </c>
      <c r="N399" s="3" t="s">
        <v>45</v>
      </c>
      <c r="O399" s="3" t="s">
        <v>315</v>
      </c>
      <c r="P399" s="3" t="s">
        <v>316</v>
      </c>
      <c r="Q399" s="3" t="s">
        <v>69</v>
      </c>
      <c r="R399" s="3" t="s">
        <v>1393</v>
      </c>
      <c r="S399" s="3">
        <v>3</v>
      </c>
      <c r="T399" s="3">
        <v>111</v>
      </c>
      <c r="U399" s="3">
        <v>56</v>
      </c>
      <c r="V399" s="3">
        <v>90</v>
      </c>
      <c r="W399" s="3">
        <v>18</v>
      </c>
      <c r="X399" s="3">
        <v>36.299999999999997</v>
      </c>
      <c r="Y399" s="3">
        <v>45.4</v>
      </c>
      <c r="Z399" s="3">
        <v>94</v>
      </c>
      <c r="AA399" s="3" t="s">
        <v>50</v>
      </c>
      <c r="AB399" s="3" t="s">
        <v>51</v>
      </c>
      <c r="AC399" s="3" t="s">
        <v>52</v>
      </c>
      <c r="AD399" s="3" t="s">
        <v>53</v>
      </c>
      <c r="AE399" s="3" t="s">
        <v>54</v>
      </c>
      <c r="AF399" s="3" t="s">
        <v>55</v>
      </c>
      <c r="AG399" s="3" t="s">
        <v>100</v>
      </c>
    </row>
    <row r="400" spans="1:33" x14ac:dyDescent="0.2">
      <c r="A400" s="2" t="s">
        <v>1385</v>
      </c>
      <c r="B400" s="2" t="s">
        <v>1394</v>
      </c>
      <c r="C400" s="2" t="s">
        <v>1395</v>
      </c>
      <c r="D400" s="2" t="s">
        <v>60</v>
      </c>
      <c r="E400" s="2" t="s">
        <v>61</v>
      </c>
      <c r="F400" s="2" t="s">
        <v>189</v>
      </c>
      <c r="G400" s="2" t="s">
        <v>138</v>
      </c>
      <c r="H400" s="2" t="s">
        <v>1387</v>
      </c>
      <c r="I400" s="2">
        <v>68</v>
      </c>
      <c r="J400" s="2" t="s">
        <v>41</v>
      </c>
      <c r="K400" s="2" t="s">
        <v>78</v>
      </c>
      <c r="L400" s="2" t="s">
        <v>141</v>
      </c>
      <c r="M400" s="2" t="s">
        <v>125</v>
      </c>
      <c r="N400" s="2" t="s">
        <v>45</v>
      </c>
      <c r="O400" s="2" t="s">
        <v>315</v>
      </c>
      <c r="P400" s="2" t="s">
        <v>316</v>
      </c>
      <c r="Q400" s="2" t="s">
        <v>69</v>
      </c>
      <c r="R400" s="2" t="s">
        <v>1396</v>
      </c>
      <c r="S400" s="2">
        <v>3</v>
      </c>
      <c r="T400" s="2">
        <v>100</v>
      </c>
      <c r="U400" s="2">
        <v>113</v>
      </c>
      <c r="V400" s="2">
        <v>64</v>
      </c>
      <c r="W400" s="2">
        <v>23</v>
      </c>
      <c r="X400" s="2">
        <v>37</v>
      </c>
      <c r="Y400" s="2">
        <v>20.3</v>
      </c>
      <c r="Z400" s="2">
        <v>89</v>
      </c>
      <c r="AA400" s="2" t="s">
        <v>50</v>
      </c>
      <c r="AB400" s="2" t="s">
        <v>51</v>
      </c>
      <c r="AC400" s="2" t="s">
        <v>52</v>
      </c>
      <c r="AD400" s="2" t="s">
        <v>53</v>
      </c>
      <c r="AE400" s="2" t="s">
        <v>54</v>
      </c>
      <c r="AF400" s="2" t="s">
        <v>55</v>
      </c>
      <c r="AG400" s="2" t="s">
        <v>106</v>
      </c>
    </row>
    <row r="401" spans="1:33" x14ac:dyDescent="0.2">
      <c r="A401" s="3" t="s">
        <v>1385</v>
      </c>
      <c r="B401" s="3" t="s">
        <v>1397</v>
      </c>
      <c r="C401" s="3" t="s">
        <v>1398</v>
      </c>
      <c r="D401" s="3" t="s">
        <v>103</v>
      </c>
      <c r="E401" s="3" t="s">
        <v>89</v>
      </c>
      <c r="F401" s="3" t="s">
        <v>38</v>
      </c>
      <c r="G401" s="3" t="s">
        <v>104</v>
      </c>
      <c r="H401" s="3" t="s">
        <v>1387</v>
      </c>
      <c r="I401" s="3">
        <v>68</v>
      </c>
      <c r="J401" s="3" t="s">
        <v>41</v>
      </c>
      <c r="K401" s="3" t="s">
        <v>90</v>
      </c>
      <c r="L401" s="3" t="s">
        <v>141</v>
      </c>
      <c r="M401" s="3" t="s">
        <v>125</v>
      </c>
      <c r="N401" s="3" t="s">
        <v>45</v>
      </c>
      <c r="O401" s="3" t="s">
        <v>315</v>
      </c>
      <c r="P401" s="3" t="s">
        <v>316</v>
      </c>
      <c r="Q401" s="3" t="s">
        <v>69</v>
      </c>
      <c r="R401" s="3" t="s">
        <v>1399</v>
      </c>
      <c r="S401" s="3">
        <v>4</v>
      </c>
      <c r="T401" s="3">
        <v>163</v>
      </c>
      <c r="U401" s="3">
        <v>78</v>
      </c>
      <c r="V401" s="3">
        <v>59</v>
      </c>
      <c r="W401" s="3">
        <v>13</v>
      </c>
      <c r="X401" s="3">
        <v>37.5</v>
      </c>
      <c r="Y401" s="3">
        <v>29.1</v>
      </c>
      <c r="Z401" s="3">
        <v>93</v>
      </c>
      <c r="AA401" s="3" t="s">
        <v>50</v>
      </c>
      <c r="AB401" s="3" t="s">
        <v>51</v>
      </c>
      <c r="AC401" s="3" t="s">
        <v>52</v>
      </c>
      <c r="AD401" s="3" t="s">
        <v>53</v>
      </c>
      <c r="AE401" s="3" t="s">
        <v>54</v>
      </c>
      <c r="AF401" s="3" t="s">
        <v>55</v>
      </c>
      <c r="AG401" s="3" t="s">
        <v>112</v>
      </c>
    </row>
    <row r="402" spans="1:33" x14ac:dyDescent="0.2">
      <c r="A402" s="2" t="s">
        <v>1385</v>
      </c>
      <c r="B402" s="2" t="s">
        <v>1400</v>
      </c>
      <c r="C402" s="2" t="s">
        <v>252</v>
      </c>
      <c r="D402" s="2" t="s">
        <v>88</v>
      </c>
      <c r="E402" s="2" t="s">
        <v>96</v>
      </c>
      <c r="F402" s="2" t="s">
        <v>75</v>
      </c>
      <c r="G402" s="2" t="s">
        <v>123</v>
      </c>
      <c r="H402" s="2" t="s">
        <v>1387</v>
      </c>
      <c r="I402" s="2">
        <v>68</v>
      </c>
      <c r="J402" s="2" t="s">
        <v>41</v>
      </c>
      <c r="K402" s="2" t="s">
        <v>66</v>
      </c>
      <c r="L402" s="2" t="s">
        <v>141</v>
      </c>
      <c r="M402" s="2" t="s">
        <v>125</v>
      </c>
      <c r="N402" s="2" t="s">
        <v>45</v>
      </c>
      <c r="O402" s="2" t="s">
        <v>315</v>
      </c>
      <c r="P402" s="2" t="s">
        <v>316</v>
      </c>
      <c r="Q402" s="2" t="s">
        <v>69</v>
      </c>
      <c r="R402" s="2" t="s">
        <v>1401</v>
      </c>
      <c r="S402" s="2">
        <v>2</v>
      </c>
      <c r="T402" s="2">
        <v>135</v>
      </c>
      <c r="U402" s="2">
        <v>106</v>
      </c>
      <c r="V402" s="2">
        <v>88</v>
      </c>
      <c r="W402" s="2">
        <v>25</v>
      </c>
      <c r="X402" s="2">
        <v>36.5</v>
      </c>
      <c r="Y402" s="2">
        <v>32.9</v>
      </c>
      <c r="Z402" s="2">
        <v>89</v>
      </c>
      <c r="AA402" s="2" t="s">
        <v>50</v>
      </c>
      <c r="AB402" s="2" t="s">
        <v>51</v>
      </c>
      <c r="AC402" s="2" t="s">
        <v>52</v>
      </c>
      <c r="AD402" s="2" t="s">
        <v>53</v>
      </c>
      <c r="AE402" s="2" t="s">
        <v>54</v>
      </c>
      <c r="AF402" s="2" t="s">
        <v>55</v>
      </c>
      <c r="AG402" s="2" t="s">
        <v>118</v>
      </c>
    </row>
    <row r="403" spans="1:33" x14ac:dyDescent="0.2">
      <c r="A403" s="3" t="s">
        <v>1402</v>
      </c>
      <c r="B403" s="3" t="s">
        <v>1403</v>
      </c>
      <c r="C403" s="3" t="s">
        <v>1040</v>
      </c>
      <c r="D403" s="3" t="s">
        <v>60</v>
      </c>
      <c r="E403" s="3" t="s">
        <v>96</v>
      </c>
      <c r="F403" s="3" t="s">
        <v>122</v>
      </c>
      <c r="G403" s="3" t="s">
        <v>115</v>
      </c>
      <c r="H403" s="3" t="s">
        <v>1404</v>
      </c>
      <c r="I403" s="3">
        <v>55</v>
      </c>
      <c r="J403" s="3" t="s">
        <v>65</v>
      </c>
      <c r="K403" s="3" t="s">
        <v>116</v>
      </c>
      <c r="L403" s="3" t="s">
        <v>141</v>
      </c>
      <c r="M403" s="3" t="s">
        <v>125</v>
      </c>
      <c r="N403" s="3" t="s">
        <v>81</v>
      </c>
      <c r="O403" s="3" t="s">
        <v>504</v>
      </c>
      <c r="P403" s="3" t="s">
        <v>505</v>
      </c>
      <c r="Q403" s="3" t="s">
        <v>69</v>
      </c>
      <c r="R403" s="3" t="s">
        <v>243</v>
      </c>
      <c r="S403" s="3">
        <v>1</v>
      </c>
      <c r="T403" s="3">
        <v>185</v>
      </c>
      <c r="U403" s="3">
        <v>106</v>
      </c>
      <c r="V403" s="3">
        <v>66</v>
      </c>
      <c r="W403" s="3">
        <v>25</v>
      </c>
      <c r="X403" s="3">
        <v>36.9</v>
      </c>
      <c r="Y403" s="3">
        <v>22.1</v>
      </c>
      <c r="Z403" s="3">
        <v>94</v>
      </c>
      <c r="AA403" s="3" t="s">
        <v>50</v>
      </c>
      <c r="AB403" s="3" t="s">
        <v>51</v>
      </c>
      <c r="AC403" s="3" t="s">
        <v>52</v>
      </c>
      <c r="AD403" s="3" t="s">
        <v>53</v>
      </c>
      <c r="AE403" s="3" t="s">
        <v>54</v>
      </c>
      <c r="AF403" s="3" t="s">
        <v>55</v>
      </c>
      <c r="AG403" s="3" t="s">
        <v>71</v>
      </c>
    </row>
  </sheetData>
  <autoFilter ref="A1:AG1" xr:uid="{00000000-0009-0000-0000-000001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92"/>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3" width="14" customWidth="1"/>
    <col min="4" max="4" width="15.6640625" customWidth="1"/>
    <col min="5" max="5" width="30" customWidth="1"/>
    <col min="6" max="6" width="20.5" customWidth="1"/>
    <col min="7" max="7" width="12" customWidth="1"/>
    <col min="8" max="8" width="14" customWidth="1"/>
    <col min="9" max="9" width="15" customWidth="1"/>
    <col min="10" max="10" width="14" customWidth="1"/>
    <col min="11" max="11" width="12" customWidth="1"/>
  </cols>
  <sheetData>
    <row r="1" spans="1:11" x14ac:dyDescent="0.2">
      <c r="A1" s="1" t="s">
        <v>0</v>
      </c>
      <c r="B1" s="1" t="s">
        <v>1</v>
      </c>
      <c r="C1" s="1" t="s">
        <v>2</v>
      </c>
      <c r="D1" s="1" t="s">
        <v>1405</v>
      </c>
      <c r="E1" s="1" t="s">
        <v>1406</v>
      </c>
      <c r="F1" s="1" t="s">
        <v>1407</v>
      </c>
      <c r="G1" s="1" t="s">
        <v>1408</v>
      </c>
      <c r="H1" s="1" t="s">
        <v>1409</v>
      </c>
      <c r="I1" s="1" t="s">
        <v>1410</v>
      </c>
      <c r="J1" s="1" t="s">
        <v>1411</v>
      </c>
      <c r="K1" s="1" t="s">
        <v>1412</v>
      </c>
    </row>
    <row r="2" spans="1:11" x14ac:dyDescent="0.2">
      <c r="A2" s="2" t="s">
        <v>33</v>
      </c>
      <c r="B2" s="2" t="s">
        <v>34</v>
      </c>
      <c r="C2" s="2" t="s">
        <v>35</v>
      </c>
      <c r="D2" s="2" t="s">
        <v>1413</v>
      </c>
      <c r="E2" s="2" t="s">
        <v>1414</v>
      </c>
      <c r="F2" s="2">
        <v>1.65</v>
      </c>
      <c r="G2" s="2" t="s">
        <v>1415</v>
      </c>
      <c r="H2" s="2">
        <v>1</v>
      </c>
      <c r="I2" s="2">
        <v>5</v>
      </c>
      <c r="J2" s="2" t="s">
        <v>1416</v>
      </c>
      <c r="K2" s="2" t="s">
        <v>1417</v>
      </c>
    </row>
    <row r="3" spans="1:11" x14ac:dyDescent="0.2">
      <c r="A3" s="3" t="s">
        <v>33</v>
      </c>
      <c r="B3" s="3" t="s">
        <v>34</v>
      </c>
      <c r="C3" s="3" t="s">
        <v>35</v>
      </c>
      <c r="D3" s="3" t="s">
        <v>1418</v>
      </c>
      <c r="E3" s="3" t="s">
        <v>1419</v>
      </c>
      <c r="F3" s="3">
        <v>3.83</v>
      </c>
      <c r="G3" s="3" t="s">
        <v>1415</v>
      </c>
      <c r="H3" s="3">
        <v>3.5</v>
      </c>
      <c r="I3" s="3">
        <v>5</v>
      </c>
      <c r="J3" s="3" t="s">
        <v>1416</v>
      </c>
      <c r="K3" s="3" t="s">
        <v>1420</v>
      </c>
    </row>
    <row r="4" spans="1:11" x14ac:dyDescent="0.2">
      <c r="A4" s="2" t="s">
        <v>33</v>
      </c>
      <c r="B4" s="2" t="s">
        <v>34</v>
      </c>
      <c r="C4" s="2" t="s">
        <v>35</v>
      </c>
      <c r="D4" s="2" t="s">
        <v>1421</v>
      </c>
      <c r="E4" s="2" t="s">
        <v>1422</v>
      </c>
      <c r="F4" s="2">
        <v>4.87</v>
      </c>
      <c r="G4" s="2" t="s">
        <v>1415</v>
      </c>
      <c r="H4" s="2">
        <v>0</v>
      </c>
      <c r="I4" s="2">
        <v>5</v>
      </c>
      <c r="J4" s="2" t="s">
        <v>1416</v>
      </c>
      <c r="K4" s="2" t="s">
        <v>1417</v>
      </c>
    </row>
    <row r="5" spans="1:11" x14ac:dyDescent="0.2">
      <c r="A5" s="3" t="s">
        <v>33</v>
      </c>
      <c r="B5" s="3" t="s">
        <v>34</v>
      </c>
      <c r="C5" s="3" t="s">
        <v>35</v>
      </c>
      <c r="D5" s="3" t="s">
        <v>1423</v>
      </c>
      <c r="E5" s="3" t="s">
        <v>1424</v>
      </c>
      <c r="F5" s="3">
        <v>5.88</v>
      </c>
      <c r="G5" s="3" t="s">
        <v>1425</v>
      </c>
      <c r="H5" s="3">
        <v>4.5</v>
      </c>
      <c r="I5" s="3">
        <v>5.5</v>
      </c>
      <c r="J5" s="5" t="s">
        <v>1426</v>
      </c>
      <c r="K5" s="3" t="s">
        <v>1420</v>
      </c>
    </row>
    <row r="6" spans="1:11" x14ac:dyDescent="0.2">
      <c r="A6" s="2" t="s">
        <v>33</v>
      </c>
      <c r="B6" s="2" t="s">
        <v>34</v>
      </c>
      <c r="C6" s="2" t="s">
        <v>35</v>
      </c>
      <c r="D6" s="2" t="s">
        <v>1427</v>
      </c>
      <c r="E6" s="2" t="s">
        <v>1428</v>
      </c>
      <c r="F6" s="2">
        <v>2.75</v>
      </c>
      <c r="G6" s="2" t="s">
        <v>1429</v>
      </c>
      <c r="H6" s="2">
        <v>4</v>
      </c>
      <c r="I6" s="2">
        <v>11</v>
      </c>
      <c r="J6" s="5" t="s">
        <v>1430</v>
      </c>
      <c r="K6" s="2" t="s">
        <v>1431</v>
      </c>
    </row>
    <row r="7" spans="1:11" x14ac:dyDescent="0.2">
      <c r="A7" s="3" t="s">
        <v>33</v>
      </c>
      <c r="B7" s="3" t="s">
        <v>34</v>
      </c>
      <c r="C7" s="3" t="s">
        <v>35</v>
      </c>
      <c r="D7" s="3" t="s">
        <v>1432</v>
      </c>
      <c r="E7" s="3" t="s">
        <v>1433</v>
      </c>
      <c r="F7" s="3">
        <v>3.66</v>
      </c>
      <c r="G7" s="3" t="s">
        <v>1415</v>
      </c>
      <c r="H7" s="3">
        <v>0</v>
      </c>
      <c r="I7" s="3">
        <v>3</v>
      </c>
      <c r="J7" s="5" t="s">
        <v>1426</v>
      </c>
      <c r="K7" s="3" t="s">
        <v>1434</v>
      </c>
    </row>
    <row r="8" spans="1:11" x14ac:dyDescent="0.2">
      <c r="A8" s="2" t="s">
        <v>33</v>
      </c>
      <c r="B8" s="2" t="s">
        <v>34</v>
      </c>
      <c r="C8" s="2" t="s">
        <v>35</v>
      </c>
      <c r="D8" s="2" t="s">
        <v>1435</v>
      </c>
      <c r="E8" s="2" t="s">
        <v>1436</v>
      </c>
      <c r="F8" s="2">
        <v>1.29</v>
      </c>
      <c r="G8" s="2" t="s">
        <v>1415</v>
      </c>
      <c r="H8" s="2">
        <v>0.8</v>
      </c>
      <c r="I8" s="2">
        <v>1.5</v>
      </c>
      <c r="J8" s="2" t="s">
        <v>1416</v>
      </c>
      <c r="K8" s="2" t="s">
        <v>1434</v>
      </c>
    </row>
    <row r="9" spans="1:11" x14ac:dyDescent="0.2">
      <c r="A9" s="3" t="s">
        <v>57</v>
      </c>
      <c r="B9" s="3" t="s">
        <v>58</v>
      </c>
      <c r="C9" s="3" t="s">
        <v>59</v>
      </c>
      <c r="D9" s="3" t="s">
        <v>1437</v>
      </c>
      <c r="E9" s="3" t="s">
        <v>1438</v>
      </c>
      <c r="F9" s="3">
        <v>13.23</v>
      </c>
      <c r="G9" s="3" t="s">
        <v>1439</v>
      </c>
      <c r="H9" s="3">
        <v>12</v>
      </c>
      <c r="I9" s="3">
        <v>17.5</v>
      </c>
      <c r="J9" s="3" t="s">
        <v>1416</v>
      </c>
      <c r="K9" s="3" t="s">
        <v>1417</v>
      </c>
    </row>
    <row r="10" spans="1:11" x14ac:dyDescent="0.2">
      <c r="A10" s="2" t="s">
        <v>57</v>
      </c>
      <c r="B10" s="2" t="s">
        <v>58</v>
      </c>
      <c r="C10" s="2" t="s">
        <v>59</v>
      </c>
      <c r="D10" s="2" t="s">
        <v>1440</v>
      </c>
      <c r="E10" s="2" t="s">
        <v>1441</v>
      </c>
      <c r="F10" s="2">
        <v>9.9600000000000009</v>
      </c>
      <c r="G10" s="2" t="s">
        <v>1442</v>
      </c>
      <c r="H10" s="2">
        <v>4</v>
      </c>
      <c r="I10" s="2">
        <v>5.6</v>
      </c>
      <c r="J10" s="5" t="s">
        <v>1426</v>
      </c>
      <c r="K10" s="2" t="s">
        <v>1434</v>
      </c>
    </row>
    <row r="11" spans="1:11" x14ac:dyDescent="0.2">
      <c r="A11" s="3" t="s">
        <v>57</v>
      </c>
      <c r="B11" s="3" t="s">
        <v>58</v>
      </c>
      <c r="C11" s="3" t="s">
        <v>59</v>
      </c>
      <c r="D11" s="3" t="s">
        <v>1418</v>
      </c>
      <c r="E11" s="3" t="s">
        <v>1419</v>
      </c>
      <c r="F11" s="3">
        <v>5.01</v>
      </c>
      <c r="G11" s="3" t="s">
        <v>1415</v>
      </c>
      <c r="H11" s="3">
        <v>3.5</v>
      </c>
      <c r="I11" s="3">
        <v>5</v>
      </c>
      <c r="J11" s="5" t="s">
        <v>1426</v>
      </c>
      <c r="K11" s="3" t="s">
        <v>1434</v>
      </c>
    </row>
    <row r="12" spans="1:11" x14ac:dyDescent="0.2">
      <c r="A12" s="2" t="s">
        <v>72</v>
      </c>
      <c r="B12" s="2" t="s">
        <v>73</v>
      </c>
      <c r="C12" s="2" t="s">
        <v>74</v>
      </c>
      <c r="D12" s="2" t="s">
        <v>1443</v>
      </c>
      <c r="E12" s="2" t="s">
        <v>1444</v>
      </c>
      <c r="F12" s="2">
        <v>93.88</v>
      </c>
      <c r="G12" s="2" t="s">
        <v>1445</v>
      </c>
      <c r="H12" s="2">
        <v>53</v>
      </c>
      <c r="I12" s="2">
        <v>97</v>
      </c>
      <c r="J12" s="2" t="s">
        <v>1416</v>
      </c>
      <c r="K12" s="2" t="s">
        <v>1417</v>
      </c>
    </row>
    <row r="13" spans="1:11" x14ac:dyDescent="0.2">
      <c r="A13" s="3" t="s">
        <v>72</v>
      </c>
      <c r="B13" s="3" t="s">
        <v>73</v>
      </c>
      <c r="C13" s="3" t="s">
        <v>74</v>
      </c>
      <c r="D13" s="3" t="s">
        <v>1446</v>
      </c>
      <c r="E13" s="3" t="s">
        <v>1447</v>
      </c>
      <c r="F13" s="3">
        <v>2.79</v>
      </c>
      <c r="G13" s="3" t="s">
        <v>1415</v>
      </c>
      <c r="H13" s="3">
        <v>2.1</v>
      </c>
      <c r="I13" s="3">
        <v>2.6</v>
      </c>
      <c r="J13" s="5" t="s">
        <v>1426</v>
      </c>
      <c r="K13" s="3" t="s">
        <v>1420</v>
      </c>
    </row>
    <row r="14" spans="1:11" x14ac:dyDescent="0.2">
      <c r="A14" s="2" t="s">
        <v>72</v>
      </c>
      <c r="B14" s="2" t="s">
        <v>73</v>
      </c>
      <c r="C14" s="2" t="s">
        <v>74</v>
      </c>
      <c r="D14" s="2" t="s">
        <v>1437</v>
      </c>
      <c r="E14" s="2" t="s">
        <v>1438</v>
      </c>
      <c r="F14" s="2">
        <v>11.03</v>
      </c>
      <c r="G14" s="2" t="s">
        <v>1439</v>
      </c>
      <c r="H14" s="2">
        <v>12</v>
      </c>
      <c r="I14" s="2">
        <v>17.5</v>
      </c>
      <c r="J14" s="5" t="s">
        <v>1430</v>
      </c>
      <c r="K14" s="2" t="s">
        <v>1434</v>
      </c>
    </row>
    <row r="15" spans="1:11" x14ac:dyDescent="0.2">
      <c r="A15" s="3" t="s">
        <v>72</v>
      </c>
      <c r="B15" s="3" t="s">
        <v>73</v>
      </c>
      <c r="C15" s="3" t="s">
        <v>74</v>
      </c>
      <c r="D15" s="3" t="s">
        <v>1448</v>
      </c>
      <c r="E15" s="3" t="s">
        <v>1449</v>
      </c>
      <c r="F15" s="3">
        <v>134.87</v>
      </c>
      <c r="G15" s="3" t="s">
        <v>1415</v>
      </c>
      <c r="H15" s="3">
        <v>136</v>
      </c>
      <c r="I15" s="3">
        <v>145</v>
      </c>
      <c r="J15" s="5" t="s">
        <v>1430</v>
      </c>
      <c r="K15" s="3" t="s">
        <v>1420</v>
      </c>
    </row>
    <row r="16" spans="1:11" x14ac:dyDescent="0.2">
      <c r="A16" s="2" t="s">
        <v>72</v>
      </c>
      <c r="B16" s="2" t="s">
        <v>73</v>
      </c>
      <c r="C16" s="2" t="s">
        <v>74</v>
      </c>
      <c r="D16" s="2" t="s">
        <v>1450</v>
      </c>
      <c r="E16" s="2" t="s">
        <v>1451</v>
      </c>
      <c r="F16" s="2">
        <v>122.67</v>
      </c>
      <c r="G16" s="2" t="s">
        <v>1452</v>
      </c>
      <c r="H16" s="2">
        <v>60</v>
      </c>
      <c r="I16" s="2">
        <v>120</v>
      </c>
      <c r="J16" s="5" t="s">
        <v>1426</v>
      </c>
      <c r="K16" s="2" t="s">
        <v>1417</v>
      </c>
    </row>
    <row r="17" spans="1:11" x14ac:dyDescent="0.2">
      <c r="A17" s="3" t="s">
        <v>72</v>
      </c>
      <c r="B17" s="3" t="s">
        <v>73</v>
      </c>
      <c r="C17" s="3" t="s">
        <v>74</v>
      </c>
      <c r="D17" s="3" t="s">
        <v>1453</v>
      </c>
      <c r="E17" s="3" t="s">
        <v>1454</v>
      </c>
      <c r="F17" s="3">
        <v>4.05</v>
      </c>
      <c r="G17" s="3" t="s">
        <v>1415</v>
      </c>
      <c r="H17" s="3">
        <v>3.9</v>
      </c>
      <c r="I17" s="3">
        <v>5.5</v>
      </c>
      <c r="J17" s="3" t="s">
        <v>1416</v>
      </c>
      <c r="K17" s="3" t="s">
        <v>1434</v>
      </c>
    </row>
    <row r="18" spans="1:11" x14ac:dyDescent="0.2">
      <c r="A18" s="2" t="s">
        <v>72</v>
      </c>
      <c r="B18" s="2" t="s">
        <v>73</v>
      </c>
      <c r="C18" s="2" t="s">
        <v>74</v>
      </c>
      <c r="D18" s="2" t="s">
        <v>1432</v>
      </c>
      <c r="E18" s="2" t="s">
        <v>1433</v>
      </c>
      <c r="F18" s="2">
        <v>4.08</v>
      </c>
      <c r="G18" s="2" t="s">
        <v>1415</v>
      </c>
      <c r="H18" s="2">
        <v>0</v>
      </c>
      <c r="I18" s="2">
        <v>3</v>
      </c>
      <c r="J18" s="5" t="s">
        <v>1426</v>
      </c>
      <c r="K18" s="2" t="s">
        <v>1420</v>
      </c>
    </row>
    <row r="19" spans="1:11" x14ac:dyDescent="0.2">
      <c r="A19" s="3" t="s">
        <v>72</v>
      </c>
      <c r="B19" s="3" t="s">
        <v>86</v>
      </c>
      <c r="C19" s="3" t="s">
        <v>87</v>
      </c>
      <c r="D19" s="3" t="s">
        <v>1453</v>
      </c>
      <c r="E19" s="3" t="s">
        <v>1454</v>
      </c>
      <c r="F19" s="3">
        <v>5.52</v>
      </c>
      <c r="G19" s="3" t="s">
        <v>1415</v>
      </c>
      <c r="H19" s="3">
        <v>3.9</v>
      </c>
      <c r="I19" s="3">
        <v>5.5</v>
      </c>
      <c r="J19" s="5" t="s">
        <v>1426</v>
      </c>
      <c r="K19" s="3" t="s">
        <v>1431</v>
      </c>
    </row>
    <row r="20" spans="1:11" x14ac:dyDescent="0.2">
      <c r="A20" s="2" t="s">
        <v>72</v>
      </c>
      <c r="B20" s="2" t="s">
        <v>86</v>
      </c>
      <c r="C20" s="2" t="s">
        <v>87</v>
      </c>
      <c r="D20" s="2" t="s">
        <v>1446</v>
      </c>
      <c r="E20" s="2" t="s">
        <v>1447</v>
      </c>
      <c r="F20" s="2">
        <v>2.08</v>
      </c>
      <c r="G20" s="2" t="s">
        <v>1415</v>
      </c>
      <c r="H20" s="2">
        <v>2.1</v>
      </c>
      <c r="I20" s="2">
        <v>2.6</v>
      </c>
      <c r="J20" s="5" t="s">
        <v>1430</v>
      </c>
      <c r="K20" s="2" t="s">
        <v>1417</v>
      </c>
    </row>
    <row r="21" spans="1:11" x14ac:dyDescent="0.2">
      <c r="A21" s="3" t="s">
        <v>72</v>
      </c>
      <c r="B21" s="3" t="s">
        <v>86</v>
      </c>
      <c r="C21" s="3" t="s">
        <v>87</v>
      </c>
      <c r="D21" s="3" t="s">
        <v>1423</v>
      </c>
      <c r="E21" s="3" t="s">
        <v>1424</v>
      </c>
      <c r="F21" s="3">
        <v>5.9</v>
      </c>
      <c r="G21" s="3" t="s">
        <v>1425</v>
      </c>
      <c r="H21" s="3">
        <v>4.5</v>
      </c>
      <c r="I21" s="3">
        <v>5.5</v>
      </c>
      <c r="J21" s="5" t="s">
        <v>1426</v>
      </c>
      <c r="K21" s="3" t="s">
        <v>1434</v>
      </c>
    </row>
    <row r="22" spans="1:11" x14ac:dyDescent="0.2">
      <c r="A22" s="2" t="s">
        <v>72</v>
      </c>
      <c r="B22" s="2" t="s">
        <v>86</v>
      </c>
      <c r="C22" s="2" t="s">
        <v>87</v>
      </c>
      <c r="D22" s="2" t="s">
        <v>1437</v>
      </c>
      <c r="E22" s="2" t="s">
        <v>1438</v>
      </c>
      <c r="F22" s="2">
        <v>9.65</v>
      </c>
      <c r="G22" s="2" t="s">
        <v>1439</v>
      </c>
      <c r="H22" s="2">
        <v>12</v>
      </c>
      <c r="I22" s="2">
        <v>17.5</v>
      </c>
      <c r="J22" s="5" t="s">
        <v>1430</v>
      </c>
      <c r="K22" s="2" t="s">
        <v>1431</v>
      </c>
    </row>
    <row r="23" spans="1:11" x14ac:dyDescent="0.2">
      <c r="A23" s="3" t="s">
        <v>72</v>
      </c>
      <c r="B23" s="3" t="s">
        <v>93</v>
      </c>
      <c r="C23" s="3" t="s">
        <v>94</v>
      </c>
      <c r="D23" s="3" t="s">
        <v>1421</v>
      </c>
      <c r="E23" s="3" t="s">
        <v>1422</v>
      </c>
      <c r="F23" s="3">
        <v>5.08</v>
      </c>
      <c r="G23" s="3" t="s">
        <v>1415</v>
      </c>
      <c r="H23" s="3">
        <v>0</v>
      </c>
      <c r="I23" s="3">
        <v>5</v>
      </c>
      <c r="J23" s="5" t="s">
        <v>1426</v>
      </c>
      <c r="K23" s="3" t="s">
        <v>1420</v>
      </c>
    </row>
    <row r="24" spans="1:11" x14ac:dyDescent="0.2">
      <c r="A24" s="2" t="s">
        <v>72</v>
      </c>
      <c r="B24" s="2" t="s">
        <v>93</v>
      </c>
      <c r="C24" s="2" t="s">
        <v>94</v>
      </c>
      <c r="D24" s="2" t="s">
        <v>1446</v>
      </c>
      <c r="E24" s="2" t="s">
        <v>1447</v>
      </c>
      <c r="F24" s="2">
        <v>2.48</v>
      </c>
      <c r="G24" s="2" t="s">
        <v>1415</v>
      </c>
      <c r="H24" s="2">
        <v>2.1</v>
      </c>
      <c r="I24" s="2">
        <v>2.6</v>
      </c>
      <c r="J24" s="2" t="s">
        <v>1416</v>
      </c>
      <c r="K24" s="2" t="s">
        <v>1417</v>
      </c>
    </row>
    <row r="25" spans="1:11" x14ac:dyDescent="0.2">
      <c r="A25" s="3" t="s">
        <v>72</v>
      </c>
      <c r="B25" s="3" t="s">
        <v>93</v>
      </c>
      <c r="C25" s="3" t="s">
        <v>94</v>
      </c>
      <c r="D25" s="3" t="s">
        <v>1437</v>
      </c>
      <c r="E25" s="3" t="s">
        <v>1438</v>
      </c>
      <c r="F25" s="3">
        <v>8.2200000000000006</v>
      </c>
      <c r="G25" s="3" t="s">
        <v>1439</v>
      </c>
      <c r="H25" s="3">
        <v>12</v>
      </c>
      <c r="I25" s="3">
        <v>17.5</v>
      </c>
      <c r="J25" s="5" t="s">
        <v>1430</v>
      </c>
      <c r="K25" s="3" t="s">
        <v>1431</v>
      </c>
    </row>
    <row r="26" spans="1:11" x14ac:dyDescent="0.2">
      <c r="A26" s="2" t="s">
        <v>72</v>
      </c>
      <c r="B26" s="2" t="s">
        <v>101</v>
      </c>
      <c r="C26" s="2" t="s">
        <v>102</v>
      </c>
      <c r="D26" s="2" t="s">
        <v>1435</v>
      </c>
      <c r="E26" s="2" t="s">
        <v>1436</v>
      </c>
      <c r="F26" s="2">
        <v>1.26</v>
      </c>
      <c r="G26" s="2" t="s">
        <v>1415</v>
      </c>
      <c r="H26" s="2">
        <v>0.8</v>
      </c>
      <c r="I26" s="2">
        <v>1.5</v>
      </c>
      <c r="J26" s="2" t="s">
        <v>1416</v>
      </c>
      <c r="K26" s="2" t="s">
        <v>1434</v>
      </c>
    </row>
    <row r="27" spans="1:11" x14ac:dyDescent="0.2">
      <c r="A27" s="3" t="s">
        <v>72</v>
      </c>
      <c r="B27" s="3" t="s">
        <v>101</v>
      </c>
      <c r="C27" s="3" t="s">
        <v>102</v>
      </c>
      <c r="D27" s="3" t="s">
        <v>1423</v>
      </c>
      <c r="E27" s="3" t="s">
        <v>1424</v>
      </c>
      <c r="F27" s="3">
        <v>3.38</v>
      </c>
      <c r="G27" s="3" t="s">
        <v>1425</v>
      </c>
      <c r="H27" s="3">
        <v>4.5</v>
      </c>
      <c r="I27" s="3">
        <v>5.5</v>
      </c>
      <c r="J27" s="5" t="s">
        <v>1430</v>
      </c>
      <c r="K27" s="3" t="s">
        <v>1431</v>
      </c>
    </row>
    <row r="28" spans="1:11" x14ac:dyDescent="0.2">
      <c r="A28" s="2" t="s">
        <v>72</v>
      </c>
      <c r="B28" s="2" t="s">
        <v>101</v>
      </c>
      <c r="C28" s="2" t="s">
        <v>102</v>
      </c>
      <c r="D28" s="2" t="s">
        <v>1437</v>
      </c>
      <c r="E28" s="2" t="s">
        <v>1438</v>
      </c>
      <c r="F28" s="2">
        <v>17.45</v>
      </c>
      <c r="G28" s="2" t="s">
        <v>1439</v>
      </c>
      <c r="H28" s="2">
        <v>12</v>
      </c>
      <c r="I28" s="2">
        <v>17.5</v>
      </c>
      <c r="J28" s="2" t="s">
        <v>1416</v>
      </c>
      <c r="K28" s="2" t="s">
        <v>1420</v>
      </c>
    </row>
    <row r="29" spans="1:11" x14ac:dyDescent="0.2">
      <c r="A29" s="3" t="s">
        <v>72</v>
      </c>
      <c r="B29" s="3" t="s">
        <v>101</v>
      </c>
      <c r="C29" s="3" t="s">
        <v>102</v>
      </c>
      <c r="D29" s="3" t="s">
        <v>1450</v>
      </c>
      <c r="E29" s="3" t="s">
        <v>1451</v>
      </c>
      <c r="F29" s="3">
        <v>37.06</v>
      </c>
      <c r="G29" s="3" t="s">
        <v>1452</v>
      </c>
      <c r="H29" s="3">
        <v>60</v>
      </c>
      <c r="I29" s="3">
        <v>120</v>
      </c>
      <c r="J29" s="5" t="s">
        <v>1430</v>
      </c>
      <c r="K29" s="3" t="s">
        <v>1434</v>
      </c>
    </row>
    <row r="30" spans="1:11" x14ac:dyDescent="0.2">
      <c r="A30" s="2" t="s">
        <v>72</v>
      </c>
      <c r="B30" s="2" t="s">
        <v>101</v>
      </c>
      <c r="C30" s="2" t="s">
        <v>102</v>
      </c>
      <c r="D30" s="2" t="s">
        <v>1446</v>
      </c>
      <c r="E30" s="2" t="s">
        <v>1447</v>
      </c>
      <c r="F30" s="2">
        <v>2.99</v>
      </c>
      <c r="G30" s="2" t="s">
        <v>1415</v>
      </c>
      <c r="H30" s="2">
        <v>2.1</v>
      </c>
      <c r="I30" s="2">
        <v>2.6</v>
      </c>
      <c r="J30" s="5" t="s">
        <v>1426</v>
      </c>
      <c r="K30" s="2" t="s">
        <v>1420</v>
      </c>
    </row>
    <row r="31" spans="1:11" x14ac:dyDescent="0.2">
      <c r="A31" s="3" t="s">
        <v>72</v>
      </c>
      <c r="B31" s="3" t="s">
        <v>101</v>
      </c>
      <c r="C31" s="3" t="s">
        <v>102</v>
      </c>
      <c r="D31" s="3" t="s">
        <v>1455</v>
      </c>
      <c r="E31" s="3" t="s">
        <v>1456</v>
      </c>
      <c r="F31" s="3">
        <v>247.82</v>
      </c>
      <c r="G31" s="3" t="s">
        <v>1457</v>
      </c>
      <c r="H31" s="3">
        <v>40</v>
      </c>
      <c r="I31" s="3">
        <v>130</v>
      </c>
      <c r="J31" s="5" t="s">
        <v>1426</v>
      </c>
      <c r="K31" s="3" t="s">
        <v>1417</v>
      </c>
    </row>
    <row r="32" spans="1:11" x14ac:dyDescent="0.2">
      <c r="A32" s="2" t="s">
        <v>72</v>
      </c>
      <c r="B32" s="2" t="s">
        <v>101</v>
      </c>
      <c r="C32" s="2" t="s">
        <v>102</v>
      </c>
      <c r="D32" s="2" t="s">
        <v>1440</v>
      </c>
      <c r="E32" s="2" t="s">
        <v>1441</v>
      </c>
      <c r="F32" s="2">
        <v>5.01</v>
      </c>
      <c r="G32" s="2" t="s">
        <v>1442</v>
      </c>
      <c r="H32" s="2">
        <v>4</v>
      </c>
      <c r="I32" s="2">
        <v>5.6</v>
      </c>
      <c r="J32" s="2" t="s">
        <v>1416</v>
      </c>
      <c r="K32" s="2" t="s">
        <v>1417</v>
      </c>
    </row>
    <row r="33" spans="1:11" x14ac:dyDescent="0.2">
      <c r="A33" s="3" t="s">
        <v>72</v>
      </c>
      <c r="B33" s="3" t="s">
        <v>101</v>
      </c>
      <c r="C33" s="3" t="s">
        <v>102</v>
      </c>
      <c r="D33" s="3" t="s">
        <v>1453</v>
      </c>
      <c r="E33" s="3" t="s">
        <v>1454</v>
      </c>
      <c r="F33" s="3">
        <v>7.2</v>
      </c>
      <c r="G33" s="3" t="s">
        <v>1415</v>
      </c>
      <c r="H33" s="3">
        <v>3.9</v>
      </c>
      <c r="I33" s="3">
        <v>5.5</v>
      </c>
      <c r="J33" s="5" t="s">
        <v>1426</v>
      </c>
      <c r="K33" s="3" t="s">
        <v>1434</v>
      </c>
    </row>
    <row r="34" spans="1:11" x14ac:dyDescent="0.2">
      <c r="A34" s="2" t="s">
        <v>72</v>
      </c>
      <c r="B34" s="2" t="s">
        <v>107</v>
      </c>
      <c r="C34" s="2" t="s">
        <v>108</v>
      </c>
      <c r="D34" s="2" t="s">
        <v>1418</v>
      </c>
      <c r="E34" s="2" t="s">
        <v>1419</v>
      </c>
      <c r="F34" s="2">
        <v>4.76</v>
      </c>
      <c r="G34" s="2" t="s">
        <v>1415</v>
      </c>
      <c r="H34" s="2">
        <v>3.5</v>
      </c>
      <c r="I34" s="2">
        <v>5</v>
      </c>
      <c r="J34" s="2" t="s">
        <v>1416</v>
      </c>
      <c r="K34" s="2" t="s">
        <v>1417</v>
      </c>
    </row>
    <row r="35" spans="1:11" x14ac:dyDescent="0.2">
      <c r="A35" s="3" t="s">
        <v>72</v>
      </c>
      <c r="B35" s="3" t="s">
        <v>107</v>
      </c>
      <c r="C35" s="3" t="s">
        <v>108</v>
      </c>
      <c r="D35" s="3" t="s">
        <v>1446</v>
      </c>
      <c r="E35" s="3" t="s">
        <v>1447</v>
      </c>
      <c r="F35" s="3">
        <v>2.39</v>
      </c>
      <c r="G35" s="3" t="s">
        <v>1415</v>
      </c>
      <c r="H35" s="3">
        <v>2.1</v>
      </c>
      <c r="I35" s="3">
        <v>2.6</v>
      </c>
      <c r="J35" s="3" t="s">
        <v>1416</v>
      </c>
      <c r="K35" s="3" t="s">
        <v>1434</v>
      </c>
    </row>
    <row r="36" spans="1:11" x14ac:dyDescent="0.2">
      <c r="A36" s="2" t="s">
        <v>72</v>
      </c>
      <c r="B36" s="2" t="s">
        <v>107</v>
      </c>
      <c r="C36" s="2" t="s">
        <v>108</v>
      </c>
      <c r="D36" s="2" t="s">
        <v>1455</v>
      </c>
      <c r="E36" s="2" t="s">
        <v>1456</v>
      </c>
      <c r="F36" s="2">
        <v>312.82</v>
      </c>
      <c r="G36" s="2" t="s">
        <v>1457</v>
      </c>
      <c r="H36" s="2">
        <v>40</v>
      </c>
      <c r="I36" s="2">
        <v>130</v>
      </c>
      <c r="J36" s="5" t="s">
        <v>1426</v>
      </c>
      <c r="K36" s="2" t="s">
        <v>1431</v>
      </c>
    </row>
    <row r="37" spans="1:11" x14ac:dyDescent="0.2">
      <c r="A37" s="3" t="s">
        <v>72</v>
      </c>
      <c r="B37" s="3" t="s">
        <v>107</v>
      </c>
      <c r="C37" s="3" t="s">
        <v>108</v>
      </c>
      <c r="D37" s="3" t="s">
        <v>1413</v>
      </c>
      <c r="E37" s="3" t="s">
        <v>1414</v>
      </c>
      <c r="F37" s="3">
        <v>0.77</v>
      </c>
      <c r="G37" s="3" t="s">
        <v>1415</v>
      </c>
      <c r="H37" s="3">
        <v>1</v>
      </c>
      <c r="I37" s="3">
        <v>5</v>
      </c>
      <c r="J37" s="5" t="s">
        <v>1430</v>
      </c>
      <c r="K37" s="3" t="s">
        <v>1417</v>
      </c>
    </row>
    <row r="38" spans="1:11" x14ac:dyDescent="0.2">
      <c r="A38" s="2" t="s">
        <v>72</v>
      </c>
      <c r="B38" s="2" t="s">
        <v>107</v>
      </c>
      <c r="C38" s="2" t="s">
        <v>108</v>
      </c>
      <c r="D38" s="2" t="s">
        <v>1453</v>
      </c>
      <c r="E38" s="2" t="s">
        <v>1454</v>
      </c>
      <c r="F38" s="2">
        <v>6.66</v>
      </c>
      <c r="G38" s="2" t="s">
        <v>1415</v>
      </c>
      <c r="H38" s="2">
        <v>3.9</v>
      </c>
      <c r="I38" s="2">
        <v>5.5</v>
      </c>
      <c r="J38" s="5" t="s">
        <v>1426</v>
      </c>
      <c r="K38" s="2" t="s">
        <v>1420</v>
      </c>
    </row>
    <row r="39" spans="1:11" x14ac:dyDescent="0.2">
      <c r="A39" s="3" t="s">
        <v>72</v>
      </c>
      <c r="B39" s="3" t="s">
        <v>113</v>
      </c>
      <c r="C39" s="3" t="s">
        <v>114</v>
      </c>
      <c r="D39" s="3" t="s">
        <v>1418</v>
      </c>
      <c r="E39" s="3" t="s">
        <v>1419</v>
      </c>
      <c r="F39" s="3">
        <v>3.39</v>
      </c>
      <c r="G39" s="3" t="s">
        <v>1415</v>
      </c>
      <c r="H39" s="3">
        <v>3.5</v>
      </c>
      <c r="I39" s="3">
        <v>5</v>
      </c>
      <c r="J39" s="5" t="s">
        <v>1430</v>
      </c>
      <c r="K39" s="3" t="s">
        <v>1434</v>
      </c>
    </row>
    <row r="40" spans="1:11" x14ac:dyDescent="0.2">
      <c r="A40" s="2" t="s">
        <v>72</v>
      </c>
      <c r="B40" s="2" t="s">
        <v>113</v>
      </c>
      <c r="C40" s="2" t="s">
        <v>114</v>
      </c>
      <c r="D40" s="2" t="s">
        <v>1421</v>
      </c>
      <c r="E40" s="2" t="s">
        <v>1422</v>
      </c>
      <c r="F40" s="2">
        <v>7.46</v>
      </c>
      <c r="G40" s="2" t="s">
        <v>1415</v>
      </c>
      <c r="H40" s="2">
        <v>0</v>
      </c>
      <c r="I40" s="2">
        <v>5</v>
      </c>
      <c r="J40" s="5" t="s">
        <v>1426</v>
      </c>
      <c r="K40" s="2" t="s">
        <v>1431</v>
      </c>
    </row>
    <row r="41" spans="1:11" x14ac:dyDescent="0.2">
      <c r="A41" s="3" t="s">
        <v>72</v>
      </c>
      <c r="B41" s="3" t="s">
        <v>113</v>
      </c>
      <c r="C41" s="3" t="s">
        <v>114</v>
      </c>
      <c r="D41" s="3" t="s">
        <v>1432</v>
      </c>
      <c r="E41" s="3" t="s">
        <v>1433</v>
      </c>
      <c r="F41" s="3">
        <v>4.92</v>
      </c>
      <c r="G41" s="3" t="s">
        <v>1415</v>
      </c>
      <c r="H41" s="3">
        <v>0</v>
      </c>
      <c r="I41" s="3">
        <v>3</v>
      </c>
      <c r="J41" s="5" t="s">
        <v>1426</v>
      </c>
      <c r="K41" s="3" t="s">
        <v>1417</v>
      </c>
    </row>
    <row r="42" spans="1:11" x14ac:dyDescent="0.2">
      <c r="A42" s="2" t="s">
        <v>119</v>
      </c>
      <c r="B42" s="2" t="s">
        <v>120</v>
      </c>
      <c r="C42" s="2" t="s">
        <v>121</v>
      </c>
      <c r="D42" s="2" t="s">
        <v>1455</v>
      </c>
      <c r="E42" s="2" t="s">
        <v>1456</v>
      </c>
      <c r="F42" s="2">
        <v>82.63</v>
      </c>
      <c r="G42" s="2" t="s">
        <v>1457</v>
      </c>
      <c r="H42" s="2">
        <v>40</v>
      </c>
      <c r="I42" s="2">
        <v>130</v>
      </c>
      <c r="J42" s="2" t="s">
        <v>1416</v>
      </c>
      <c r="K42" s="2" t="s">
        <v>1420</v>
      </c>
    </row>
    <row r="43" spans="1:11" x14ac:dyDescent="0.2">
      <c r="A43" s="3" t="s">
        <v>119</v>
      </c>
      <c r="B43" s="3" t="s">
        <v>120</v>
      </c>
      <c r="C43" s="3" t="s">
        <v>121</v>
      </c>
      <c r="D43" s="3" t="s">
        <v>1421</v>
      </c>
      <c r="E43" s="3" t="s">
        <v>1422</v>
      </c>
      <c r="F43" s="3">
        <v>3.75</v>
      </c>
      <c r="G43" s="3" t="s">
        <v>1415</v>
      </c>
      <c r="H43" s="3">
        <v>0</v>
      </c>
      <c r="I43" s="3">
        <v>5</v>
      </c>
      <c r="J43" s="3" t="s">
        <v>1416</v>
      </c>
      <c r="K43" s="3" t="s">
        <v>1434</v>
      </c>
    </row>
    <row r="44" spans="1:11" x14ac:dyDescent="0.2">
      <c r="A44" s="2" t="s">
        <v>119</v>
      </c>
      <c r="B44" s="2" t="s">
        <v>120</v>
      </c>
      <c r="C44" s="2" t="s">
        <v>121</v>
      </c>
      <c r="D44" s="2" t="s">
        <v>1446</v>
      </c>
      <c r="E44" s="2" t="s">
        <v>1447</v>
      </c>
      <c r="F44" s="2">
        <v>1.83</v>
      </c>
      <c r="G44" s="2" t="s">
        <v>1415</v>
      </c>
      <c r="H44" s="2">
        <v>2.1</v>
      </c>
      <c r="I44" s="2">
        <v>2.6</v>
      </c>
      <c r="J44" s="5" t="s">
        <v>1430</v>
      </c>
      <c r="K44" s="2" t="s">
        <v>1417</v>
      </c>
    </row>
    <row r="45" spans="1:11" x14ac:dyDescent="0.2">
      <c r="A45" s="3" t="s">
        <v>119</v>
      </c>
      <c r="B45" s="3" t="s">
        <v>130</v>
      </c>
      <c r="C45" s="3" t="s">
        <v>131</v>
      </c>
      <c r="D45" s="3" t="s">
        <v>1423</v>
      </c>
      <c r="E45" s="3" t="s">
        <v>1424</v>
      </c>
      <c r="F45" s="3">
        <v>5.81</v>
      </c>
      <c r="G45" s="3" t="s">
        <v>1425</v>
      </c>
      <c r="H45" s="3">
        <v>4.5</v>
      </c>
      <c r="I45" s="3">
        <v>5.5</v>
      </c>
      <c r="J45" s="5" t="s">
        <v>1426</v>
      </c>
      <c r="K45" s="3" t="s">
        <v>1420</v>
      </c>
    </row>
    <row r="46" spans="1:11" x14ac:dyDescent="0.2">
      <c r="A46" s="2" t="s">
        <v>119</v>
      </c>
      <c r="B46" s="2" t="s">
        <v>130</v>
      </c>
      <c r="C46" s="2" t="s">
        <v>131</v>
      </c>
      <c r="D46" s="2" t="s">
        <v>1450</v>
      </c>
      <c r="E46" s="2" t="s">
        <v>1451</v>
      </c>
      <c r="F46" s="2">
        <v>43.42</v>
      </c>
      <c r="G46" s="2" t="s">
        <v>1452</v>
      </c>
      <c r="H46" s="2">
        <v>60</v>
      </c>
      <c r="I46" s="2">
        <v>120</v>
      </c>
      <c r="J46" s="5" t="s">
        <v>1430</v>
      </c>
      <c r="K46" s="2" t="s">
        <v>1417</v>
      </c>
    </row>
    <row r="47" spans="1:11" x14ac:dyDescent="0.2">
      <c r="A47" s="3" t="s">
        <v>119</v>
      </c>
      <c r="B47" s="3" t="s">
        <v>130</v>
      </c>
      <c r="C47" s="3" t="s">
        <v>131</v>
      </c>
      <c r="D47" s="3" t="s">
        <v>1437</v>
      </c>
      <c r="E47" s="3" t="s">
        <v>1438</v>
      </c>
      <c r="F47" s="3">
        <v>9.1</v>
      </c>
      <c r="G47" s="3" t="s">
        <v>1439</v>
      </c>
      <c r="H47" s="3">
        <v>12</v>
      </c>
      <c r="I47" s="3">
        <v>17.5</v>
      </c>
      <c r="J47" s="5" t="s">
        <v>1430</v>
      </c>
      <c r="K47" s="3" t="s">
        <v>1420</v>
      </c>
    </row>
    <row r="48" spans="1:11" x14ac:dyDescent="0.2">
      <c r="A48" s="2" t="s">
        <v>135</v>
      </c>
      <c r="B48" s="2" t="s">
        <v>136</v>
      </c>
      <c r="C48" s="2" t="s">
        <v>137</v>
      </c>
      <c r="D48" s="2" t="s">
        <v>1446</v>
      </c>
      <c r="E48" s="2" t="s">
        <v>1447</v>
      </c>
      <c r="F48" s="2">
        <v>2.75</v>
      </c>
      <c r="G48" s="2" t="s">
        <v>1415</v>
      </c>
      <c r="H48" s="2">
        <v>2.1</v>
      </c>
      <c r="I48" s="2">
        <v>2.6</v>
      </c>
      <c r="J48" s="5" t="s">
        <v>1426</v>
      </c>
      <c r="K48" s="2" t="s">
        <v>1434</v>
      </c>
    </row>
    <row r="49" spans="1:11" x14ac:dyDescent="0.2">
      <c r="A49" s="3" t="s">
        <v>135</v>
      </c>
      <c r="B49" s="3" t="s">
        <v>136</v>
      </c>
      <c r="C49" s="3" t="s">
        <v>137</v>
      </c>
      <c r="D49" s="3" t="s">
        <v>1432</v>
      </c>
      <c r="E49" s="3" t="s">
        <v>1433</v>
      </c>
      <c r="F49" s="3">
        <v>4.1500000000000004</v>
      </c>
      <c r="G49" s="3" t="s">
        <v>1415</v>
      </c>
      <c r="H49" s="3">
        <v>0</v>
      </c>
      <c r="I49" s="3">
        <v>3</v>
      </c>
      <c r="J49" s="5" t="s">
        <v>1426</v>
      </c>
      <c r="K49" s="3" t="s">
        <v>1417</v>
      </c>
    </row>
    <row r="50" spans="1:11" x14ac:dyDescent="0.2">
      <c r="A50" s="2" t="s">
        <v>135</v>
      </c>
      <c r="B50" s="2" t="s">
        <v>136</v>
      </c>
      <c r="C50" s="2" t="s">
        <v>137</v>
      </c>
      <c r="D50" s="2" t="s">
        <v>1427</v>
      </c>
      <c r="E50" s="2" t="s">
        <v>1428</v>
      </c>
      <c r="F50" s="2">
        <v>14.34</v>
      </c>
      <c r="G50" s="2" t="s">
        <v>1429</v>
      </c>
      <c r="H50" s="2">
        <v>4</v>
      </c>
      <c r="I50" s="2">
        <v>11</v>
      </c>
      <c r="J50" s="5" t="s">
        <v>1426</v>
      </c>
      <c r="K50" s="2" t="s">
        <v>1417</v>
      </c>
    </row>
    <row r="51" spans="1:11" x14ac:dyDescent="0.2">
      <c r="A51" s="3" t="s">
        <v>145</v>
      </c>
      <c r="B51" s="3" t="s">
        <v>146</v>
      </c>
      <c r="C51" s="3" t="s">
        <v>147</v>
      </c>
      <c r="D51" s="3" t="s">
        <v>1453</v>
      </c>
      <c r="E51" s="3" t="s">
        <v>1454</v>
      </c>
      <c r="F51" s="3">
        <v>7.91</v>
      </c>
      <c r="G51" s="3" t="s">
        <v>1415</v>
      </c>
      <c r="H51" s="3">
        <v>3.9</v>
      </c>
      <c r="I51" s="3">
        <v>5.5</v>
      </c>
      <c r="J51" s="5" t="s">
        <v>1426</v>
      </c>
      <c r="K51" s="3" t="s">
        <v>1434</v>
      </c>
    </row>
    <row r="52" spans="1:11" x14ac:dyDescent="0.2">
      <c r="A52" s="2" t="s">
        <v>145</v>
      </c>
      <c r="B52" s="2" t="s">
        <v>146</v>
      </c>
      <c r="C52" s="2" t="s">
        <v>147</v>
      </c>
      <c r="D52" s="2" t="s">
        <v>1455</v>
      </c>
      <c r="E52" s="2" t="s">
        <v>1456</v>
      </c>
      <c r="F52" s="2">
        <v>324.12</v>
      </c>
      <c r="G52" s="2" t="s">
        <v>1457</v>
      </c>
      <c r="H52" s="2">
        <v>40</v>
      </c>
      <c r="I52" s="2">
        <v>130</v>
      </c>
      <c r="J52" s="5" t="s">
        <v>1426</v>
      </c>
      <c r="K52" s="2" t="s">
        <v>1417</v>
      </c>
    </row>
    <row r="53" spans="1:11" x14ac:dyDescent="0.2">
      <c r="A53" s="3" t="s">
        <v>145</v>
      </c>
      <c r="B53" s="3" t="s">
        <v>146</v>
      </c>
      <c r="C53" s="3" t="s">
        <v>147</v>
      </c>
      <c r="D53" s="3" t="s">
        <v>1443</v>
      </c>
      <c r="E53" s="3" t="s">
        <v>1444</v>
      </c>
      <c r="F53" s="3">
        <v>57.19</v>
      </c>
      <c r="G53" s="3" t="s">
        <v>1445</v>
      </c>
      <c r="H53" s="3">
        <v>53</v>
      </c>
      <c r="I53" s="3">
        <v>97</v>
      </c>
      <c r="J53" s="3" t="s">
        <v>1416</v>
      </c>
      <c r="K53" s="3" t="s">
        <v>1417</v>
      </c>
    </row>
    <row r="54" spans="1:11" x14ac:dyDescent="0.2">
      <c r="A54" s="2" t="s">
        <v>145</v>
      </c>
      <c r="B54" s="2" t="s">
        <v>146</v>
      </c>
      <c r="C54" s="2" t="s">
        <v>147</v>
      </c>
      <c r="D54" s="2" t="s">
        <v>1450</v>
      </c>
      <c r="E54" s="2" t="s">
        <v>1451</v>
      </c>
      <c r="F54" s="2">
        <v>22.57</v>
      </c>
      <c r="G54" s="2" t="s">
        <v>1452</v>
      </c>
      <c r="H54" s="2">
        <v>60</v>
      </c>
      <c r="I54" s="2">
        <v>120</v>
      </c>
      <c r="J54" s="5" t="s">
        <v>1430</v>
      </c>
      <c r="K54" s="2" t="s">
        <v>1434</v>
      </c>
    </row>
    <row r="55" spans="1:11" x14ac:dyDescent="0.2">
      <c r="A55" s="3" t="s">
        <v>145</v>
      </c>
      <c r="B55" s="3" t="s">
        <v>146</v>
      </c>
      <c r="C55" s="3" t="s">
        <v>147</v>
      </c>
      <c r="D55" s="3" t="s">
        <v>1418</v>
      </c>
      <c r="E55" s="3" t="s">
        <v>1419</v>
      </c>
      <c r="F55" s="3">
        <v>4.49</v>
      </c>
      <c r="G55" s="3" t="s">
        <v>1415</v>
      </c>
      <c r="H55" s="3">
        <v>3.5</v>
      </c>
      <c r="I55" s="3">
        <v>5</v>
      </c>
      <c r="J55" s="3" t="s">
        <v>1416</v>
      </c>
      <c r="K55" s="3" t="s">
        <v>1420</v>
      </c>
    </row>
    <row r="56" spans="1:11" x14ac:dyDescent="0.2">
      <c r="A56" s="2" t="s">
        <v>145</v>
      </c>
      <c r="B56" s="2" t="s">
        <v>146</v>
      </c>
      <c r="C56" s="2" t="s">
        <v>147</v>
      </c>
      <c r="D56" s="2" t="s">
        <v>1432</v>
      </c>
      <c r="E56" s="2" t="s">
        <v>1433</v>
      </c>
      <c r="F56" s="2">
        <v>4.43</v>
      </c>
      <c r="G56" s="2" t="s">
        <v>1415</v>
      </c>
      <c r="H56" s="2">
        <v>0</v>
      </c>
      <c r="I56" s="2">
        <v>3</v>
      </c>
      <c r="J56" s="5" t="s">
        <v>1426</v>
      </c>
      <c r="K56" s="2" t="s">
        <v>1417</v>
      </c>
    </row>
    <row r="57" spans="1:11" x14ac:dyDescent="0.2">
      <c r="A57" s="3" t="s">
        <v>145</v>
      </c>
      <c r="B57" s="3" t="s">
        <v>146</v>
      </c>
      <c r="C57" s="3" t="s">
        <v>147</v>
      </c>
      <c r="D57" s="3" t="s">
        <v>1446</v>
      </c>
      <c r="E57" s="3" t="s">
        <v>1447</v>
      </c>
      <c r="F57" s="3">
        <v>1.91</v>
      </c>
      <c r="G57" s="3" t="s">
        <v>1415</v>
      </c>
      <c r="H57" s="3">
        <v>2.1</v>
      </c>
      <c r="I57" s="3">
        <v>2.6</v>
      </c>
      <c r="J57" s="5" t="s">
        <v>1430</v>
      </c>
      <c r="K57" s="3" t="s">
        <v>1417</v>
      </c>
    </row>
    <row r="58" spans="1:11" x14ac:dyDescent="0.2">
      <c r="A58" s="2" t="s">
        <v>153</v>
      </c>
      <c r="B58" s="2" t="s">
        <v>154</v>
      </c>
      <c r="C58" s="2" t="s">
        <v>155</v>
      </c>
      <c r="D58" s="2" t="s">
        <v>1446</v>
      </c>
      <c r="E58" s="2" t="s">
        <v>1447</v>
      </c>
      <c r="F58" s="2">
        <v>2.5499999999999998</v>
      </c>
      <c r="G58" s="2" t="s">
        <v>1415</v>
      </c>
      <c r="H58" s="2">
        <v>2.1</v>
      </c>
      <c r="I58" s="2">
        <v>2.6</v>
      </c>
      <c r="J58" s="2" t="s">
        <v>1416</v>
      </c>
      <c r="K58" s="2" t="s">
        <v>1417</v>
      </c>
    </row>
    <row r="59" spans="1:11" x14ac:dyDescent="0.2">
      <c r="A59" s="3" t="s">
        <v>153</v>
      </c>
      <c r="B59" s="3" t="s">
        <v>154</v>
      </c>
      <c r="C59" s="3" t="s">
        <v>155</v>
      </c>
      <c r="D59" s="3" t="s">
        <v>1423</v>
      </c>
      <c r="E59" s="3" t="s">
        <v>1424</v>
      </c>
      <c r="F59" s="3">
        <v>4.1500000000000004</v>
      </c>
      <c r="G59" s="3" t="s">
        <v>1425</v>
      </c>
      <c r="H59" s="3">
        <v>4.5</v>
      </c>
      <c r="I59" s="3">
        <v>5.5</v>
      </c>
      <c r="J59" s="5" t="s">
        <v>1430</v>
      </c>
      <c r="K59" s="3" t="s">
        <v>1417</v>
      </c>
    </row>
    <row r="60" spans="1:11" x14ac:dyDescent="0.2">
      <c r="A60" s="2" t="s">
        <v>153</v>
      </c>
      <c r="B60" s="2" t="s">
        <v>154</v>
      </c>
      <c r="C60" s="2" t="s">
        <v>155</v>
      </c>
      <c r="D60" s="2" t="s">
        <v>1450</v>
      </c>
      <c r="E60" s="2" t="s">
        <v>1451</v>
      </c>
      <c r="F60" s="2">
        <v>116.19</v>
      </c>
      <c r="G60" s="2" t="s">
        <v>1452</v>
      </c>
      <c r="H60" s="2">
        <v>60</v>
      </c>
      <c r="I60" s="2">
        <v>120</v>
      </c>
      <c r="J60" s="2" t="s">
        <v>1416</v>
      </c>
      <c r="K60" s="2" t="s">
        <v>1434</v>
      </c>
    </row>
    <row r="61" spans="1:11" x14ac:dyDescent="0.2">
      <c r="A61" s="3" t="s">
        <v>153</v>
      </c>
      <c r="B61" s="3" t="s">
        <v>154</v>
      </c>
      <c r="C61" s="3" t="s">
        <v>155</v>
      </c>
      <c r="D61" s="3" t="s">
        <v>1437</v>
      </c>
      <c r="E61" s="3" t="s">
        <v>1438</v>
      </c>
      <c r="F61" s="3">
        <v>10.42</v>
      </c>
      <c r="G61" s="3" t="s">
        <v>1439</v>
      </c>
      <c r="H61" s="3">
        <v>12</v>
      </c>
      <c r="I61" s="3">
        <v>17.5</v>
      </c>
      <c r="J61" s="5" t="s">
        <v>1430</v>
      </c>
      <c r="K61" s="3" t="s">
        <v>1434</v>
      </c>
    </row>
    <row r="62" spans="1:11" x14ac:dyDescent="0.2">
      <c r="A62" s="2" t="s">
        <v>153</v>
      </c>
      <c r="B62" s="2" t="s">
        <v>161</v>
      </c>
      <c r="C62" s="2" t="s">
        <v>162</v>
      </c>
      <c r="D62" s="2" t="s">
        <v>1427</v>
      </c>
      <c r="E62" s="2" t="s">
        <v>1428</v>
      </c>
      <c r="F62" s="2">
        <v>2.69</v>
      </c>
      <c r="G62" s="2" t="s">
        <v>1429</v>
      </c>
      <c r="H62" s="2">
        <v>4</v>
      </c>
      <c r="I62" s="2">
        <v>11</v>
      </c>
      <c r="J62" s="5" t="s">
        <v>1430</v>
      </c>
      <c r="K62" s="2" t="s">
        <v>1434</v>
      </c>
    </row>
    <row r="63" spans="1:11" x14ac:dyDescent="0.2">
      <c r="A63" s="3" t="s">
        <v>153</v>
      </c>
      <c r="B63" s="3" t="s">
        <v>161</v>
      </c>
      <c r="C63" s="3" t="s">
        <v>162</v>
      </c>
      <c r="D63" s="3" t="s">
        <v>1432</v>
      </c>
      <c r="E63" s="3" t="s">
        <v>1433</v>
      </c>
      <c r="F63" s="3">
        <v>3.45</v>
      </c>
      <c r="G63" s="3" t="s">
        <v>1415</v>
      </c>
      <c r="H63" s="3">
        <v>0</v>
      </c>
      <c r="I63" s="3">
        <v>3</v>
      </c>
      <c r="J63" s="5" t="s">
        <v>1426</v>
      </c>
      <c r="K63" s="3" t="s">
        <v>1431</v>
      </c>
    </row>
    <row r="64" spans="1:11" x14ac:dyDescent="0.2">
      <c r="A64" s="2" t="s">
        <v>153</v>
      </c>
      <c r="B64" s="2" t="s">
        <v>161</v>
      </c>
      <c r="C64" s="2" t="s">
        <v>162</v>
      </c>
      <c r="D64" s="2" t="s">
        <v>1423</v>
      </c>
      <c r="E64" s="2" t="s">
        <v>1424</v>
      </c>
      <c r="F64" s="2">
        <v>5.71</v>
      </c>
      <c r="G64" s="2" t="s">
        <v>1425</v>
      </c>
      <c r="H64" s="2">
        <v>4.5</v>
      </c>
      <c r="I64" s="2">
        <v>5.5</v>
      </c>
      <c r="J64" s="5" t="s">
        <v>1426</v>
      </c>
      <c r="K64" s="2" t="s">
        <v>1431</v>
      </c>
    </row>
    <row r="65" spans="1:11" x14ac:dyDescent="0.2">
      <c r="A65" s="3" t="s">
        <v>153</v>
      </c>
      <c r="B65" s="3" t="s">
        <v>161</v>
      </c>
      <c r="C65" s="3" t="s">
        <v>162</v>
      </c>
      <c r="D65" s="3" t="s">
        <v>1421</v>
      </c>
      <c r="E65" s="3" t="s">
        <v>1422</v>
      </c>
      <c r="F65" s="3">
        <v>6.05</v>
      </c>
      <c r="G65" s="3" t="s">
        <v>1415</v>
      </c>
      <c r="H65" s="3">
        <v>0</v>
      </c>
      <c r="I65" s="3">
        <v>5</v>
      </c>
      <c r="J65" s="5" t="s">
        <v>1426</v>
      </c>
      <c r="K65" s="3" t="s">
        <v>1420</v>
      </c>
    </row>
    <row r="66" spans="1:11" x14ac:dyDescent="0.2">
      <c r="A66" s="2" t="s">
        <v>153</v>
      </c>
      <c r="B66" s="2" t="s">
        <v>161</v>
      </c>
      <c r="C66" s="2" t="s">
        <v>162</v>
      </c>
      <c r="D66" s="2" t="s">
        <v>1453</v>
      </c>
      <c r="E66" s="2" t="s">
        <v>1454</v>
      </c>
      <c r="F66" s="2">
        <v>5.78</v>
      </c>
      <c r="G66" s="2" t="s">
        <v>1415</v>
      </c>
      <c r="H66" s="2">
        <v>3.9</v>
      </c>
      <c r="I66" s="2">
        <v>5.5</v>
      </c>
      <c r="J66" s="5" t="s">
        <v>1426</v>
      </c>
      <c r="K66" s="2" t="s">
        <v>1417</v>
      </c>
    </row>
    <row r="67" spans="1:11" x14ac:dyDescent="0.2">
      <c r="A67" s="3" t="s">
        <v>153</v>
      </c>
      <c r="B67" s="3" t="s">
        <v>161</v>
      </c>
      <c r="C67" s="3" t="s">
        <v>162</v>
      </c>
      <c r="D67" s="3" t="s">
        <v>1437</v>
      </c>
      <c r="E67" s="3" t="s">
        <v>1438</v>
      </c>
      <c r="F67" s="3">
        <v>15.42</v>
      </c>
      <c r="G67" s="3" t="s">
        <v>1439</v>
      </c>
      <c r="H67" s="3">
        <v>12</v>
      </c>
      <c r="I67" s="3">
        <v>17.5</v>
      </c>
      <c r="J67" s="3" t="s">
        <v>1416</v>
      </c>
      <c r="K67" s="3" t="s">
        <v>1417</v>
      </c>
    </row>
    <row r="68" spans="1:11" x14ac:dyDescent="0.2">
      <c r="A68" s="2" t="s">
        <v>153</v>
      </c>
      <c r="B68" s="2" t="s">
        <v>165</v>
      </c>
      <c r="C68" s="2" t="s">
        <v>166</v>
      </c>
      <c r="D68" s="2" t="s">
        <v>1421</v>
      </c>
      <c r="E68" s="2" t="s">
        <v>1422</v>
      </c>
      <c r="F68" s="2">
        <v>3.74</v>
      </c>
      <c r="G68" s="2" t="s">
        <v>1415</v>
      </c>
      <c r="H68" s="2">
        <v>0</v>
      </c>
      <c r="I68" s="2">
        <v>5</v>
      </c>
      <c r="J68" s="2" t="s">
        <v>1416</v>
      </c>
      <c r="K68" s="2" t="s">
        <v>1420</v>
      </c>
    </row>
    <row r="69" spans="1:11" x14ac:dyDescent="0.2">
      <c r="A69" s="3" t="s">
        <v>153</v>
      </c>
      <c r="B69" s="3" t="s">
        <v>165</v>
      </c>
      <c r="C69" s="3" t="s">
        <v>166</v>
      </c>
      <c r="D69" s="3" t="s">
        <v>1440</v>
      </c>
      <c r="E69" s="3" t="s">
        <v>1441</v>
      </c>
      <c r="F69" s="3">
        <v>8.8000000000000007</v>
      </c>
      <c r="G69" s="3" t="s">
        <v>1442</v>
      </c>
      <c r="H69" s="3">
        <v>4</v>
      </c>
      <c r="I69" s="3">
        <v>5.6</v>
      </c>
      <c r="J69" s="5" t="s">
        <v>1426</v>
      </c>
      <c r="K69" s="3" t="s">
        <v>1420</v>
      </c>
    </row>
    <row r="70" spans="1:11" x14ac:dyDescent="0.2">
      <c r="A70" s="2" t="s">
        <v>153</v>
      </c>
      <c r="B70" s="2" t="s">
        <v>165</v>
      </c>
      <c r="C70" s="2" t="s">
        <v>166</v>
      </c>
      <c r="D70" s="2" t="s">
        <v>1450</v>
      </c>
      <c r="E70" s="2" t="s">
        <v>1451</v>
      </c>
      <c r="F70" s="2">
        <v>50.79</v>
      </c>
      <c r="G70" s="2" t="s">
        <v>1452</v>
      </c>
      <c r="H70" s="2">
        <v>60</v>
      </c>
      <c r="I70" s="2">
        <v>120</v>
      </c>
      <c r="J70" s="5" t="s">
        <v>1430</v>
      </c>
      <c r="K70" s="2" t="s">
        <v>1431</v>
      </c>
    </row>
    <row r="71" spans="1:11" x14ac:dyDescent="0.2">
      <c r="A71" s="3" t="s">
        <v>153</v>
      </c>
      <c r="B71" s="3" t="s">
        <v>165</v>
      </c>
      <c r="C71" s="3" t="s">
        <v>166</v>
      </c>
      <c r="D71" s="3" t="s">
        <v>1443</v>
      </c>
      <c r="E71" s="3" t="s">
        <v>1444</v>
      </c>
      <c r="F71" s="3">
        <v>60.9</v>
      </c>
      <c r="G71" s="3" t="s">
        <v>1445</v>
      </c>
      <c r="H71" s="3">
        <v>53</v>
      </c>
      <c r="I71" s="3">
        <v>97</v>
      </c>
      <c r="J71" s="3" t="s">
        <v>1416</v>
      </c>
      <c r="K71" s="3" t="s">
        <v>1420</v>
      </c>
    </row>
    <row r="72" spans="1:11" x14ac:dyDescent="0.2">
      <c r="A72" s="2" t="s">
        <v>153</v>
      </c>
      <c r="B72" s="2" t="s">
        <v>170</v>
      </c>
      <c r="C72" s="2" t="s">
        <v>171</v>
      </c>
      <c r="D72" s="2" t="s">
        <v>1432</v>
      </c>
      <c r="E72" s="2" t="s">
        <v>1433</v>
      </c>
      <c r="F72" s="2">
        <v>1.42</v>
      </c>
      <c r="G72" s="2" t="s">
        <v>1415</v>
      </c>
      <c r="H72" s="2">
        <v>0</v>
      </c>
      <c r="I72" s="2">
        <v>3</v>
      </c>
      <c r="J72" s="2" t="s">
        <v>1416</v>
      </c>
      <c r="K72" s="2" t="s">
        <v>1434</v>
      </c>
    </row>
    <row r="73" spans="1:11" x14ac:dyDescent="0.2">
      <c r="A73" s="3" t="s">
        <v>153</v>
      </c>
      <c r="B73" s="3" t="s">
        <v>170</v>
      </c>
      <c r="C73" s="3" t="s">
        <v>171</v>
      </c>
      <c r="D73" s="3" t="s">
        <v>1413</v>
      </c>
      <c r="E73" s="3" t="s">
        <v>1414</v>
      </c>
      <c r="F73" s="3">
        <v>1.33</v>
      </c>
      <c r="G73" s="3" t="s">
        <v>1415</v>
      </c>
      <c r="H73" s="3">
        <v>1</v>
      </c>
      <c r="I73" s="3">
        <v>5</v>
      </c>
      <c r="J73" s="3" t="s">
        <v>1416</v>
      </c>
      <c r="K73" s="3" t="s">
        <v>1431</v>
      </c>
    </row>
    <row r="74" spans="1:11" x14ac:dyDescent="0.2">
      <c r="A74" s="2" t="s">
        <v>153</v>
      </c>
      <c r="B74" s="2" t="s">
        <v>170</v>
      </c>
      <c r="C74" s="2" t="s">
        <v>171</v>
      </c>
      <c r="D74" s="2" t="s">
        <v>1455</v>
      </c>
      <c r="E74" s="2" t="s">
        <v>1456</v>
      </c>
      <c r="F74" s="2">
        <v>342.48</v>
      </c>
      <c r="G74" s="2" t="s">
        <v>1457</v>
      </c>
      <c r="H74" s="2">
        <v>40</v>
      </c>
      <c r="I74" s="2">
        <v>130</v>
      </c>
      <c r="J74" s="5" t="s">
        <v>1426</v>
      </c>
      <c r="K74" s="2" t="s">
        <v>1431</v>
      </c>
    </row>
    <row r="75" spans="1:11" x14ac:dyDescent="0.2">
      <c r="A75" s="3" t="s">
        <v>153</v>
      </c>
      <c r="B75" s="3" t="s">
        <v>170</v>
      </c>
      <c r="C75" s="3" t="s">
        <v>171</v>
      </c>
      <c r="D75" s="3" t="s">
        <v>1443</v>
      </c>
      <c r="E75" s="3" t="s">
        <v>1444</v>
      </c>
      <c r="F75" s="3">
        <v>86.41</v>
      </c>
      <c r="G75" s="3" t="s">
        <v>1445</v>
      </c>
      <c r="H75" s="3">
        <v>53</v>
      </c>
      <c r="I75" s="3">
        <v>97</v>
      </c>
      <c r="J75" s="3" t="s">
        <v>1416</v>
      </c>
      <c r="K75" s="3" t="s">
        <v>1420</v>
      </c>
    </row>
    <row r="76" spans="1:11" x14ac:dyDescent="0.2">
      <c r="A76" s="2" t="s">
        <v>153</v>
      </c>
      <c r="B76" s="2" t="s">
        <v>170</v>
      </c>
      <c r="C76" s="2" t="s">
        <v>171</v>
      </c>
      <c r="D76" s="2" t="s">
        <v>1427</v>
      </c>
      <c r="E76" s="2" t="s">
        <v>1428</v>
      </c>
      <c r="F76" s="2">
        <v>5.44</v>
      </c>
      <c r="G76" s="2" t="s">
        <v>1429</v>
      </c>
      <c r="H76" s="2">
        <v>4</v>
      </c>
      <c r="I76" s="2">
        <v>11</v>
      </c>
      <c r="J76" s="2" t="s">
        <v>1416</v>
      </c>
      <c r="K76" s="2" t="s">
        <v>1417</v>
      </c>
    </row>
    <row r="77" spans="1:11" x14ac:dyDescent="0.2">
      <c r="A77" s="3" t="s">
        <v>153</v>
      </c>
      <c r="B77" s="3" t="s">
        <v>170</v>
      </c>
      <c r="C77" s="3" t="s">
        <v>171</v>
      </c>
      <c r="D77" s="3" t="s">
        <v>1423</v>
      </c>
      <c r="E77" s="3" t="s">
        <v>1424</v>
      </c>
      <c r="F77" s="3">
        <v>5.08</v>
      </c>
      <c r="G77" s="3" t="s">
        <v>1425</v>
      </c>
      <c r="H77" s="3">
        <v>4.5</v>
      </c>
      <c r="I77" s="3">
        <v>5.5</v>
      </c>
      <c r="J77" s="3" t="s">
        <v>1416</v>
      </c>
      <c r="K77" s="3" t="s">
        <v>1417</v>
      </c>
    </row>
    <row r="78" spans="1:11" x14ac:dyDescent="0.2">
      <c r="A78" s="2" t="s">
        <v>153</v>
      </c>
      <c r="B78" s="2" t="s">
        <v>170</v>
      </c>
      <c r="C78" s="2" t="s">
        <v>171</v>
      </c>
      <c r="D78" s="2" t="s">
        <v>1440</v>
      </c>
      <c r="E78" s="2" t="s">
        <v>1441</v>
      </c>
      <c r="F78" s="2">
        <v>8.9</v>
      </c>
      <c r="G78" s="2" t="s">
        <v>1442</v>
      </c>
      <c r="H78" s="2">
        <v>4</v>
      </c>
      <c r="I78" s="2">
        <v>5.6</v>
      </c>
      <c r="J78" s="5" t="s">
        <v>1426</v>
      </c>
      <c r="K78" s="2" t="s">
        <v>1420</v>
      </c>
    </row>
    <row r="79" spans="1:11" x14ac:dyDescent="0.2">
      <c r="A79" s="3" t="s">
        <v>153</v>
      </c>
      <c r="B79" s="3" t="s">
        <v>174</v>
      </c>
      <c r="C79" s="3" t="s">
        <v>175</v>
      </c>
      <c r="D79" s="3" t="s">
        <v>1423</v>
      </c>
      <c r="E79" s="3" t="s">
        <v>1424</v>
      </c>
      <c r="F79" s="3">
        <v>3.31</v>
      </c>
      <c r="G79" s="3" t="s">
        <v>1425</v>
      </c>
      <c r="H79" s="3">
        <v>4.5</v>
      </c>
      <c r="I79" s="3">
        <v>5.5</v>
      </c>
      <c r="J79" s="5" t="s">
        <v>1430</v>
      </c>
      <c r="K79" s="3" t="s">
        <v>1434</v>
      </c>
    </row>
    <row r="80" spans="1:11" x14ac:dyDescent="0.2">
      <c r="A80" s="2" t="s">
        <v>153</v>
      </c>
      <c r="B80" s="2" t="s">
        <v>174</v>
      </c>
      <c r="C80" s="2" t="s">
        <v>175</v>
      </c>
      <c r="D80" s="2" t="s">
        <v>1432</v>
      </c>
      <c r="E80" s="2" t="s">
        <v>1433</v>
      </c>
      <c r="F80" s="2">
        <v>3.08</v>
      </c>
      <c r="G80" s="2" t="s">
        <v>1415</v>
      </c>
      <c r="H80" s="2">
        <v>0</v>
      </c>
      <c r="I80" s="2">
        <v>3</v>
      </c>
      <c r="J80" s="5" t="s">
        <v>1426</v>
      </c>
      <c r="K80" s="2" t="s">
        <v>1434</v>
      </c>
    </row>
    <row r="81" spans="1:11" x14ac:dyDescent="0.2">
      <c r="A81" s="3" t="s">
        <v>153</v>
      </c>
      <c r="B81" s="3" t="s">
        <v>174</v>
      </c>
      <c r="C81" s="3" t="s">
        <v>175</v>
      </c>
      <c r="D81" s="3" t="s">
        <v>1455</v>
      </c>
      <c r="E81" s="3" t="s">
        <v>1456</v>
      </c>
      <c r="F81" s="3">
        <v>234.41</v>
      </c>
      <c r="G81" s="3" t="s">
        <v>1457</v>
      </c>
      <c r="H81" s="3">
        <v>40</v>
      </c>
      <c r="I81" s="3">
        <v>130</v>
      </c>
      <c r="J81" s="5" t="s">
        <v>1426</v>
      </c>
      <c r="K81" s="3" t="s">
        <v>1431</v>
      </c>
    </row>
    <row r="82" spans="1:11" x14ac:dyDescent="0.2">
      <c r="A82" s="2" t="s">
        <v>153</v>
      </c>
      <c r="B82" s="2" t="s">
        <v>174</v>
      </c>
      <c r="C82" s="2" t="s">
        <v>175</v>
      </c>
      <c r="D82" s="2" t="s">
        <v>1413</v>
      </c>
      <c r="E82" s="2" t="s">
        <v>1414</v>
      </c>
      <c r="F82" s="2">
        <v>1.4</v>
      </c>
      <c r="G82" s="2" t="s">
        <v>1415</v>
      </c>
      <c r="H82" s="2">
        <v>1</v>
      </c>
      <c r="I82" s="2">
        <v>5</v>
      </c>
      <c r="J82" s="2" t="s">
        <v>1416</v>
      </c>
      <c r="K82" s="2" t="s">
        <v>1431</v>
      </c>
    </row>
    <row r="83" spans="1:11" x14ac:dyDescent="0.2">
      <c r="A83" s="3" t="s">
        <v>153</v>
      </c>
      <c r="B83" s="3" t="s">
        <v>174</v>
      </c>
      <c r="C83" s="3" t="s">
        <v>175</v>
      </c>
      <c r="D83" s="3" t="s">
        <v>1418</v>
      </c>
      <c r="E83" s="3" t="s">
        <v>1419</v>
      </c>
      <c r="F83" s="3">
        <v>3.75</v>
      </c>
      <c r="G83" s="3" t="s">
        <v>1415</v>
      </c>
      <c r="H83" s="3">
        <v>3.5</v>
      </c>
      <c r="I83" s="3">
        <v>5</v>
      </c>
      <c r="J83" s="3" t="s">
        <v>1416</v>
      </c>
      <c r="K83" s="3" t="s">
        <v>1420</v>
      </c>
    </row>
    <row r="84" spans="1:11" x14ac:dyDescent="0.2">
      <c r="A84" s="2" t="s">
        <v>153</v>
      </c>
      <c r="B84" s="2" t="s">
        <v>174</v>
      </c>
      <c r="C84" s="2" t="s">
        <v>175</v>
      </c>
      <c r="D84" s="2" t="s">
        <v>1446</v>
      </c>
      <c r="E84" s="2" t="s">
        <v>1447</v>
      </c>
      <c r="F84" s="2">
        <v>2.77</v>
      </c>
      <c r="G84" s="2" t="s">
        <v>1415</v>
      </c>
      <c r="H84" s="2">
        <v>2.1</v>
      </c>
      <c r="I84" s="2">
        <v>2.6</v>
      </c>
      <c r="J84" s="5" t="s">
        <v>1426</v>
      </c>
      <c r="K84" s="2" t="s">
        <v>1417</v>
      </c>
    </row>
    <row r="85" spans="1:11" x14ac:dyDescent="0.2">
      <c r="A85" s="3" t="s">
        <v>153</v>
      </c>
      <c r="B85" s="3" t="s">
        <v>174</v>
      </c>
      <c r="C85" s="3" t="s">
        <v>175</v>
      </c>
      <c r="D85" s="3" t="s">
        <v>1440</v>
      </c>
      <c r="E85" s="3" t="s">
        <v>1441</v>
      </c>
      <c r="F85" s="3">
        <v>6.33</v>
      </c>
      <c r="G85" s="3" t="s">
        <v>1442</v>
      </c>
      <c r="H85" s="3">
        <v>4</v>
      </c>
      <c r="I85" s="3">
        <v>5.6</v>
      </c>
      <c r="J85" s="5" t="s">
        <v>1426</v>
      </c>
      <c r="K85" s="3" t="s">
        <v>1431</v>
      </c>
    </row>
    <row r="86" spans="1:11" x14ac:dyDescent="0.2">
      <c r="A86" s="2" t="s">
        <v>178</v>
      </c>
      <c r="B86" s="2" t="s">
        <v>179</v>
      </c>
      <c r="C86" s="2" t="s">
        <v>180</v>
      </c>
      <c r="D86" s="2" t="s">
        <v>1432</v>
      </c>
      <c r="E86" s="2" t="s">
        <v>1433</v>
      </c>
      <c r="F86" s="2">
        <v>2.56</v>
      </c>
      <c r="G86" s="2" t="s">
        <v>1415</v>
      </c>
      <c r="H86" s="2">
        <v>0</v>
      </c>
      <c r="I86" s="2">
        <v>3</v>
      </c>
      <c r="J86" s="2" t="s">
        <v>1416</v>
      </c>
      <c r="K86" s="2" t="s">
        <v>1434</v>
      </c>
    </row>
    <row r="87" spans="1:11" x14ac:dyDescent="0.2">
      <c r="A87" s="3" t="s">
        <v>178</v>
      </c>
      <c r="B87" s="3" t="s">
        <v>179</v>
      </c>
      <c r="C87" s="3" t="s">
        <v>180</v>
      </c>
      <c r="D87" s="3" t="s">
        <v>1443</v>
      </c>
      <c r="E87" s="3" t="s">
        <v>1444</v>
      </c>
      <c r="F87" s="3">
        <v>60.7</v>
      </c>
      <c r="G87" s="3" t="s">
        <v>1445</v>
      </c>
      <c r="H87" s="3">
        <v>53</v>
      </c>
      <c r="I87" s="3">
        <v>97</v>
      </c>
      <c r="J87" s="3" t="s">
        <v>1416</v>
      </c>
      <c r="K87" s="3" t="s">
        <v>1417</v>
      </c>
    </row>
    <row r="88" spans="1:11" x14ac:dyDescent="0.2">
      <c r="A88" s="2" t="s">
        <v>178</v>
      </c>
      <c r="B88" s="2" t="s">
        <v>179</v>
      </c>
      <c r="C88" s="2" t="s">
        <v>180</v>
      </c>
      <c r="D88" s="2" t="s">
        <v>1453</v>
      </c>
      <c r="E88" s="2" t="s">
        <v>1454</v>
      </c>
      <c r="F88" s="2">
        <v>4.97</v>
      </c>
      <c r="G88" s="2" t="s">
        <v>1415</v>
      </c>
      <c r="H88" s="2">
        <v>3.9</v>
      </c>
      <c r="I88" s="2">
        <v>5.5</v>
      </c>
      <c r="J88" s="2" t="s">
        <v>1416</v>
      </c>
      <c r="K88" s="2" t="s">
        <v>1420</v>
      </c>
    </row>
    <row r="89" spans="1:11" x14ac:dyDescent="0.2">
      <c r="A89" s="3" t="s">
        <v>178</v>
      </c>
      <c r="B89" s="3" t="s">
        <v>187</v>
      </c>
      <c r="C89" s="3" t="s">
        <v>188</v>
      </c>
      <c r="D89" s="3" t="s">
        <v>1443</v>
      </c>
      <c r="E89" s="3" t="s">
        <v>1444</v>
      </c>
      <c r="F89" s="3">
        <v>66.36</v>
      </c>
      <c r="G89" s="3" t="s">
        <v>1445</v>
      </c>
      <c r="H89" s="3">
        <v>53</v>
      </c>
      <c r="I89" s="3">
        <v>97</v>
      </c>
      <c r="J89" s="3" t="s">
        <v>1416</v>
      </c>
      <c r="K89" s="3" t="s">
        <v>1431</v>
      </c>
    </row>
    <row r="90" spans="1:11" x14ac:dyDescent="0.2">
      <c r="A90" s="2" t="s">
        <v>178</v>
      </c>
      <c r="B90" s="2" t="s">
        <v>187</v>
      </c>
      <c r="C90" s="2" t="s">
        <v>188</v>
      </c>
      <c r="D90" s="2" t="s">
        <v>1421</v>
      </c>
      <c r="E90" s="2" t="s">
        <v>1422</v>
      </c>
      <c r="F90" s="2">
        <v>7.04</v>
      </c>
      <c r="G90" s="2" t="s">
        <v>1415</v>
      </c>
      <c r="H90" s="2">
        <v>0</v>
      </c>
      <c r="I90" s="2">
        <v>5</v>
      </c>
      <c r="J90" s="5" t="s">
        <v>1426</v>
      </c>
      <c r="K90" s="2" t="s">
        <v>1431</v>
      </c>
    </row>
    <row r="91" spans="1:11" x14ac:dyDescent="0.2">
      <c r="A91" s="3" t="s">
        <v>178</v>
      </c>
      <c r="B91" s="3" t="s">
        <v>187</v>
      </c>
      <c r="C91" s="3" t="s">
        <v>188</v>
      </c>
      <c r="D91" s="3" t="s">
        <v>1446</v>
      </c>
      <c r="E91" s="3" t="s">
        <v>1447</v>
      </c>
      <c r="F91" s="3">
        <v>2.21</v>
      </c>
      <c r="G91" s="3" t="s">
        <v>1415</v>
      </c>
      <c r="H91" s="3">
        <v>2.1</v>
      </c>
      <c r="I91" s="3">
        <v>2.6</v>
      </c>
      <c r="J91" s="3" t="s">
        <v>1416</v>
      </c>
      <c r="K91" s="3" t="s">
        <v>1431</v>
      </c>
    </row>
    <row r="92" spans="1:11" x14ac:dyDescent="0.2">
      <c r="A92" s="2" t="s">
        <v>192</v>
      </c>
      <c r="B92" s="2" t="s">
        <v>193</v>
      </c>
      <c r="C92" s="2" t="s">
        <v>171</v>
      </c>
      <c r="D92" s="2" t="s">
        <v>1421</v>
      </c>
      <c r="E92" s="2" t="s">
        <v>1422</v>
      </c>
      <c r="F92" s="2">
        <v>7.14</v>
      </c>
      <c r="G92" s="2" t="s">
        <v>1415</v>
      </c>
      <c r="H92" s="2">
        <v>0</v>
      </c>
      <c r="I92" s="2">
        <v>5</v>
      </c>
      <c r="J92" s="5" t="s">
        <v>1426</v>
      </c>
      <c r="K92" s="2" t="s">
        <v>1434</v>
      </c>
    </row>
    <row r="93" spans="1:11" x14ac:dyDescent="0.2">
      <c r="A93" s="3" t="s">
        <v>192</v>
      </c>
      <c r="B93" s="3" t="s">
        <v>193</v>
      </c>
      <c r="C93" s="3" t="s">
        <v>171</v>
      </c>
      <c r="D93" s="3" t="s">
        <v>1443</v>
      </c>
      <c r="E93" s="3" t="s">
        <v>1444</v>
      </c>
      <c r="F93" s="3">
        <v>88.26</v>
      </c>
      <c r="G93" s="3" t="s">
        <v>1445</v>
      </c>
      <c r="H93" s="3">
        <v>53</v>
      </c>
      <c r="I93" s="3">
        <v>97</v>
      </c>
      <c r="J93" s="3" t="s">
        <v>1416</v>
      </c>
      <c r="K93" s="3" t="s">
        <v>1431</v>
      </c>
    </row>
    <row r="94" spans="1:11" x14ac:dyDescent="0.2">
      <c r="A94" s="2" t="s">
        <v>192</v>
      </c>
      <c r="B94" s="2" t="s">
        <v>193</v>
      </c>
      <c r="C94" s="2" t="s">
        <v>171</v>
      </c>
      <c r="D94" s="2" t="s">
        <v>1440</v>
      </c>
      <c r="E94" s="2" t="s">
        <v>1441</v>
      </c>
      <c r="F94" s="2">
        <v>7.46</v>
      </c>
      <c r="G94" s="2" t="s">
        <v>1442</v>
      </c>
      <c r="H94" s="2">
        <v>4</v>
      </c>
      <c r="I94" s="2">
        <v>5.6</v>
      </c>
      <c r="J94" s="5" t="s">
        <v>1426</v>
      </c>
      <c r="K94" s="2" t="s">
        <v>1434</v>
      </c>
    </row>
    <row r="95" spans="1:11" x14ac:dyDescent="0.2">
      <c r="A95" s="3" t="s">
        <v>192</v>
      </c>
      <c r="B95" s="3" t="s">
        <v>193</v>
      </c>
      <c r="C95" s="3" t="s">
        <v>171</v>
      </c>
      <c r="D95" s="3" t="s">
        <v>1413</v>
      </c>
      <c r="E95" s="3" t="s">
        <v>1414</v>
      </c>
      <c r="F95" s="3">
        <v>1.21</v>
      </c>
      <c r="G95" s="3" t="s">
        <v>1415</v>
      </c>
      <c r="H95" s="3">
        <v>1</v>
      </c>
      <c r="I95" s="3">
        <v>5</v>
      </c>
      <c r="J95" s="3" t="s">
        <v>1416</v>
      </c>
      <c r="K95" s="3" t="s">
        <v>1431</v>
      </c>
    </row>
    <row r="96" spans="1:11" x14ac:dyDescent="0.2">
      <c r="A96" s="2" t="s">
        <v>192</v>
      </c>
      <c r="B96" s="2" t="s">
        <v>199</v>
      </c>
      <c r="C96" s="2" t="s">
        <v>200</v>
      </c>
      <c r="D96" s="2" t="s">
        <v>1448</v>
      </c>
      <c r="E96" s="2" t="s">
        <v>1449</v>
      </c>
      <c r="F96" s="2">
        <v>135.57</v>
      </c>
      <c r="G96" s="2" t="s">
        <v>1415</v>
      </c>
      <c r="H96" s="2">
        <v>136</v>
      </c>
      <c r="I96" s="2">
        <v>145</v>
      </c>
      <c r="J96" s="5" t="s">
        <v>1430</v>
      </c>
      <c r="K96" s="2" t="s">
        <v>1417</v>
      </c>
    </row>
    <row r="97" spans="1:11" x14ac:dyDescent="0.2">
      <c r="A97" s="3" t="s">
        <v>192</v>
      </c>
      <c r="B97" s="3" t="s">
        <v>199</v>
      </c>
      <c r="C97" s="3" t="s">
        <v>200</v>
      </c>
      <c r="D97" s="3" t="s">
        <v>1421</v>
      </c>
      <c r="E97" s="3" t="s">
        <v>1422</v>
      </c>
      <c r="F97" s="3">
        <v>7.01</v>
      </c>
      <c r="G97" s="3" t="s">
        <v>1415</v>
      </c>
      <c r="H97" s="3">
        <v>0</v>
      </c>
      <c r="I97" s="3">
        <v>5</v>
      </c>
      <c r="J97" s="5" t="s">
        <v>1426</v>
      </c>
      <c r="K97" s="3" t="s">
        <v>1434</v>
      </c>
    </row>
    <row r="98" spans="1:11" x14ac:dyDescent="0.2">
      <c r="A98" s="2" t="s">
        <v>192</v>
      </c>
      <c r="B98" s="2" t="s">
        <v>199</v>
      </c>
      <c r="C98" s="2" t="s">
        <v>200</v>
      </c>
      <c r="D98" s="2" t="s">
        <v>1432</v>
      </c>
      <c r="E98" s="2" t="s">
        <v>1433</v>
      </c>
      <c r="F98" s="2">
        <v>1.65</v>
      </c>
      <c r="G98" s="2" t="s">
        <v>1415</v>
      </c>
      <c r="H98" s="2">
        <v>0</v>
      </c>
      <c r="I98" s="2">
        <v>3</v>
      </c>
      <c r="J98" s="2" t="s">
        <v>1416</v>
      </c>
      <c r="K98" s="2" t="s">
        <v>1431</v>
      </c>
    </row>
    <row r="99" spans="1:11" x14ac:dyDescent="0.2">
      <c r="A99" s="3" t="s">
        <v>192</v>
      </c>
      <c r="B99" s="3" t="s">
        <v>199</v>
      </c>
      <c r="C99" s="3" t="s">
        <v>200</v>
      </c>
      <c r="D99" s="3" t="s">
        <v>1450</v>
      </c>
      <c r="E99" s="3" t="s">
        <v>1451</v>
      </c>
      <c r="F99" s="3">
        <v>106.41</v>
      </c>
      <c r="G99" s="3" t="s">
        <v>1452</v>
      </c>
      <c r="H99" s="3">
        <v>60</v>
      </c>
      <c r="I99" s="3">
        <v>120</v>
      </c>
      <c r="J99" s="3" t="s">
        <v>1416</v>
      </c>
      <c r="K99" s="3" t="s">
        <v>1431</v>
      </c>
    </row>
    <row r="100" spans="1:11" x14ac:dyDescent="0.2">
      <c r="A100" s="2" t="s">
        <v>192</v>
      </c>
      <c r="B100" s="2" t="s">
        <v>199</v>
      </c>
      <c r="C100" s="2" t="s">
        <v>200</v>
      </c>
      <c r="D100" s="2" t="s">
        <v>1437</v>
      </c>
      <c r="E100" s="2" t="s">
        <v>1438</v>
      </c>
      <c r="F100" s="2">
        <v>12.92</v>
      </c>
      <c r="G100" s="2" t="s">
        <v>1439</v>
      </c>
      <c r="H100" s="2">
        <v>12</v>
      </c>
      <c r="I100" s="2">
        <v>17.5</v>
      </c>
      <c r="J100" s="2" t="s">
        <v>1416</v>
      </c>
      <c r="K100" s="2" t="s">
        <v>1420</v>
      </c>
    </row>
    <row r="101" spans="1:11" x14ac:dyDescent="0.2">
      <c r="A101" s="3" t="s">
        <v>192</v>
      </c>
      <c r="B101" s="3" t="s">
        <v>203</v>
      </c>
      <c r="C101" s="3" t="s">
        <v>204</v>
      </c>
      <c r="D101" s="3" t="s">
        <v>1423</v>
      </c>
      <c r="E101" s="3" t="s">
        <v>1424</v>
      </c>
      <c r="F101" s="3">
        <v>5.29</v>
      </c>
      <c r="G101" s="3" t="s">
        <v>1425</v>
      </c>
      <c r="H101" s="3">
        <v>4.5</v>
      </c>
      <c r="I101" s="3">
        <v>5.5</v>
      </c>
      <c r="J101" s="3" t="s">
        <v>1416</v>
      </c>
      <c r="K101" s="3" t="s">
        <v>1431</v>
      </c>
    </row>
    <row r="102" spans="1:11" x14ac:dyDescent="0.2">
      <c r="A102" s="2" t="s">
        <v>192</v>
      </c>
      <c r="B102" s="2" t="s">
        <v>203</v>
      </c>
      <c r="C102" s="2" t="s">
        <v>204</v>
      </c>
      <c r="D102" s="2" t="s">
        <v>1418</v>
      </c>
      <c r="E102" s="2" t="s">
        <v>1419</v>
      </c>
      <c r="F102" s="2">
        <v>5.17</v>
      </c>
      <c r="G102" s="2" t="s">
        <v>1415</v>
      </c>
      <c r="H102" s="2">
        <v>3.5</v>
      </c>
      <c r="I102" s="2">
        <v>5</v>
      </c>
      <c r="J102" s="5" t="s">
        <v>1426</v>
      </c>
      <c r="K102" s="2" t="s">
        <v>1420</v>
      </c>
    </row>
    <row r="103" spans="1:11" x14ac:dyDescent="0.2">
      <c r="A103" s="3" t="s">
        <v>192</v>
      </c>
      <c r="B103" s="3" t="s">
        <v>203</v>
      </c>
      <c r="C103" s="3" t="s">
        <v>204</v>
      </c>
      <c r="D103" s="3" t="s">
        <v>1437</v>
      </c>
      <c r="E103" s="3" t="s">
        <v>1438</v>
      </c>
      <c r="F103" s="3">
        <v>16.260000000000002</v>
      </c>
      <c r="G103" s="3" t="s">
        <v>1439</v>
      </c>
      <c r="H103" s="3">
        <v>12</v>
      </c>
      <c r="I103" s="3">
        <v>17.5</v>
      </c>
      <c r="J103" s="3" t="s">
        <v>1416</v>
      </c>
      <c r="K103" s="3" t="s">
        <v>1420</v>
      </c>
    </row>
    <row r="104" spans="1:11" x14ac:dyDescent="0.2">
      <c r="A104" s="2" t="s">
        <v>192</v>
      </c>
      <c r="B104" s="2" t="s">
        <v>203</v>
      </c>
      <c r="C104" s="2" t="s">
        <v>204</v>
      </c>
      <c r="D104" s="2" t="s">
        <v>1421</v>
      </c>
      <c r="E104" s="2" t="s">
        <v>1422</v>
      </c>
      <c r="F104" s="2">
        <v>4.49</v>
      </c>
      <c r="G104" s="2" t="s">
        <v>1415</v>
      </c>
      <c r="H104" s="2">
        <v>0</v>
      </c>
      <c r="I104" s="2">
        <v>5</v>
      </c>
      <c r="J104" s="2" t="s">
        <v>1416</v>
      </c>
      <c r="K104" s="2" t="s">
        <v>1420</v>
      </c>
    </row>
    <row r="105" spans="1:11" x14ac:dyDescent="0.2">
      <c r="A105" s="3" t="s">
        <v>192</v>
      </c>
      <c r="B105" s="3" t="s">
        <v>203</v>
      </c>
      <c r="C105" s="3" t="s">
        <v>204</v>
      </c>
      <c r="D105" s="3" t="s">
        <v>1443</v>
      </c>
      <c r="E105" s="3" t="s">
        <v>1444</v>
      </c>
      <c r="F105" s="3">
        <v>89.91</v>
      </c>
      <c r="G105" s="3" t="s">
        <v>1445</v>
      </c>
      <c r="H105" s="3">
        <v>53</v>
      </c>
      <c r="I105" s="3">
        <v>97</v>
      </c>
      <c r="J105" s="3" t="s">
        <v>1416</v>
      </c>
      <c r="K105" s="3" t="s">
        <v>1417</v>
      </c>
    </row>
    <row r="106" spans="1:11" x14ac:dyDescent="0.2">
      <c r="A106" s="2" t="s">
        <v>207</v>
      </c>
      <c r="B106" s="2" t="s">
        <v>208</v>
      </c>
      <c r="C106" s="2" t="s">
        <v>209</v>
      </c>
      <c r="D106" s="2" t="s">
        <v>1435</v>
      </c>
      <c r="E106" s="2" t="s">
        <v>1436</v>
      </c>
      <c r="F106" s="2">
        <v>1.53</v>
      </c>
      <c r="G106" s="2" t="s">
        <v>1415</v>
      </c>
      <c r="H106" s="2">
        <v>0.8</v>
      </c>
      <c r="I106" s="2">
        <v>1.5</v>
      </c>
      <c r="J106" s="5" t="s">
        <v>1426</v>
      </c>
      <c r="K106" s="2" t="s">
        <v>1434</v>
      </c>
    </row>
    <row r="107" spans="1:11" x14ac:dyDescent="0.2">
      <c r="A107" s="3" t="s">
        <v>207</v>
      </c>
      <c r="B107" s="3" t="s">
        <v>208</v>
      </c>
      <c r="C107" s="3" t="s">
        <v>209</v>
      </c>
      <c r="D107" s="3" t="s">
        <v>1453</v>
      </c>
      <c r="E107" s="3" t="s">
        <v>1454</v>
      </c>
      <c r="F107" s="3">
        <v>4.84</v>
      </c>
      <c r="G107" s="3" t="s">
        <v>1415</v>
      </c>
      <c r="H107" s="3">
        <v>3.9</v>
      </c>
      <c r="I107" s="3">
        <v>5.5</v>
      </c>
      <c r="J107" s="3" t="s">
        <v>1416</v>
      </c>
      <c r="K107" s="3" t="s">
        <v>1417</v>
      </c>
    </row>
    <row r="108" spans="1:11" x14ac:dyDescent="0.2">
      <c r="A108" s="2" t="s">
        <v>207</v>
      </c>
      <c r="B108" s="2" t="s">
        <v>208</v>
      </c>
      <c r="C108" s="2" t="s">
        <v>209</v>
      </c>
      <c r="D108" s="2" t="s">
        <v>1450</v>
      </c>
      <c r="E108" s="2" t="s">
        <v>1451</v>
      </c>
      <c r="F108" s="2">
        <v>101.4</v>
      </c>
      <c r="G108" s="2" t="s">
        <v>1452</v>
      </c>
      <c r="H108" s="2">
        <v>60</v>
      </c>
      <c r="I108" s="2">
        <v>120</v>
      </c>
      <c r="J108" s="2" t="s">
        <v>1416</v>
      </c>
      <c r="K108" s="2" t="s">
        <v>1420</v>
      </c>
    </row>
    <row r="109" spans="1:11" x14ac:dyDescent="0.2">
      <c r="A109" s="3" t="s">
        <v>207</v>
      </c>
      <c r="B109" s="3" t="s">
        <v>208</v>
      </c>
      <c r="C109" s="3" t="s">
        <v>209</v>
      </c>
      <c r="D109" s="3" t="s">
        <v>1448</v>
      </c>
      <c r="E109" s="3" t="s">
        <v>1449</v>
      </c>
      <c r="F109" s="3">
        <v>140.47999999999999</v>
      </c>
      <c r="G109" s="3" t="s">
        <v>1415</v>
      </c>
      <c r="H109" s="3">
        <v>136</v>
      </c>
      <c r="I109" s="3">
        <v>145</v>
      </c>
      <c r="J109" s="3" t="s">
        <v>1416</v>
      </c>
      <c r="K109" s="3" t="s">
        <v>1417</v>
      </c>
    </row>
    <row r="110" spans="1:11" x14ac:dyDescent="0.2">
      <c r="A110" s="2" t="s">
        <v>207</v>
      </c>
      <c r="B110" s="2" t="s">
        <v>214</v>
      </c>
      <c r="C110" s="2" t="s">
        <v>215</v>
      </c>
      <c r="D110" s="2" t="s">
        <v>1432</v>
      </c>
      <c r="E110" s="2" t="s">
        <v>1433</v>
      </c>
      <c r="F110" s="2">
        <v>3.84</v>
      </c>
      <c r="G110" s="2" t="s">
        <v>1415</v>
      </c>
      <c r="H110" s="2">
        <v>0</v>
      </c>
      <c r="I110" s="2">
        <v>3</v>
      </c>
      <c r="J110" s="5" t="s">
        <v>1426</v>
      </c>
      <c r="K110" s="2" t="s">
        <v>1417</v>
      </c>
    </row>
    <row r="111" spans="1:11" x14ac:dyDescent="0.2">
      <c r="A111" s="3" t="s">
        <v>207</v>
      </c>
      <c r="B111" s="3" t="s">
        <v>214</v>
      </c>
      <c r="C111" s="3" t="s">
        <v>215</v>
      </c>
      <c r="D111" s="3" t="s">
        <v>1435</v>
      </c>
      <c r="E111" s="3" t="s">
        <v>1436</v>
      </c>
      <c r="F111" s="3">
        <v>1.1200000000000001</v>
      </c>
      <c r="G111" s="3" t="s">
        <v>1415</v>
      </c>
      <c r="H111" s="3">
        <v>0.8</v>
      </c>
      <c r="I111" s="3">
        <v>1.5</v>
      </c>
      <c r="J111" s="3" t="s">
        <v>1416</v>
      </c>
      <c r="K111" s="3" t="s">
        <v>1417</v>
      </c>
    </row>
    <row r="112" spans="1:11" x14ac:dyDescent="0.2">
      <c r="A112" s="2" t="s">
        <v>207</v>
      </c>
      <c r="B112" s="2" t="s">
        <v>214</v>
      </c>
      <c r="C112" s="2" t="s">
        <v>215</v>
      </c>
      <c r="D112" s="2" t="s">
        <v>1455</v>
      </c>
      <c r="E112" s="2" t="s">
        <v>1456</v>
      </c>
      <c r="F112" s="2">
        <v>234.19</v>
      </c>
      <c r="G112" s="2" t="s">
        <v>1457</v>
      </c>
      <c r="H112" s="2">
        <v>40</v>
      </c>
      <c r="I112" s="2">
        <v>130</v>
      </c>
      <c r="J112" s="5" t="s">
        <v>1426</v>
      </c>
      <c r="K112" s="2" t="s">
        <v>1434</v>
      </c>
    </row>
    <row r="113" spans="1:11" x14ac:dyDescent="0.2">
      <c r="A113" s="3" t="s">
        <v>207</v>
      </c>
      <c r="B113" s="3" t="s">
        <v>214</v>
      </c>
      <c r="C113" s="3" t="s">
        <v>215</v>
      </c>
      <c r="D113" s="3" t="s">
        <v>1427</v>
      </c>
      <c r="E113" s="3" t="s">
        <v>1428</v>
      </c>
      <c r="F113" s="3">
        <v>5.71</v>
      </c>
      <c r="G113" s="3" t="s">
        <v>1429</v>
      </c>
      <c r="H113" s="3">
        <v>4</v>
      </c>
      <c r="I113" s="3">
        <v>11</v>
      </c>
      <c r="J113" s="3" t="s">
        <v>1416</v>
      </c>
      <c r="K113" s="3" t="s">
        <v>1431</v>
      </c>
    </row>
    <row r="114" spans="1:11" x14ac:dyDescent="0.2">
      <c r="A114" s="2" t="s">
        <v>207</v>
      </c>
      <c r="B114" s="2" t="s">
        <v>217</v>
      </c>
      <c r="C114" s="2" t="s">
        <v>218</v>
      </c>
      <c r="D114" s="2" t="s">
        <v>1446</v>
      </c>
      <c r="E114" s="2" t="s">
        <v>1447</v>
      </c>
      <c r="F114" s="2">
        <v>2.87</v>
      </c>
      <c r="G114" s="2" t="s">
        <v>1415</v>
      </c>
      <c r="H114" s="2">
        <v>2.1</v>
      </c>
      <c r="I114" s="2">
        <v>2.6</v>
      </c>
      <c r="J114" s="5" t="s">
        <v>1426</v>
      </c>
      <c r="K114" s="2" t="s">
        <v>1431</v>
      </c>
    </row>
    <row r="115" spans="1:11" x14ac:dyDescent="0.2">
      <c r="A115" s="3" t="s">
        <v>207</v>
      </c>
      <c r="B115" s="3" t="s">
        <v>217</v>
      </c>
      <c r="C115" s="3" t="s">
        <v>218</v>
      </c>
      <c r="D115" s="3" t="s">
        <v>1421</v>
      </c>
      <c r="E115" s="3" t="s">
        <v>1422</v>
      </c>
      <c r="F115" s="3">
        <v>7.24</v>
      </c>
      <c r="G115" s="3" t="s">
        <v>1415</v>
      </c>
      <c r="H115" s="3">
        <v>0</v>
      </c>
      <c r="I115" s="3">
        <v>5</v>
      </c>
      <c r="J115" s="5" t="s">
        <v>1426</v>
      </c>
      <c r="K115" s="3" t="s">
        <v>1420</v>
      </c>
    </row>
    <row r="116" spans="1:11" x14ac:dyDescent="0.2">
      <c r="A116" s="2" t="s">
        <v>207</v>
      </c>
      <c r="B116" s="2" t="s">
        <v>217</v>
      </c>
      <c r="C116" s="2" t="s">
        <v>218</v>
      </c>
      <c r="D116" s="2" t="s">
        <v>1418</v>
      </c>
      <c r="E116" s="2" t="s">
        <v>1419</v>
      </c>
      <c r="F116" s="2">
        <v>3.79</v>
      </c>
      <c r="G116" s="2" t="s">
        <v>1415</v>
      </c>
      <c r="H116" s="2">
        <v>3.5</v>
      </c>
      <c r="I116" s="2">
        <v>5</v>
      </c>
      <c r="J116" s="2" t="s">
        <v>1416</v>
      </c>
      <c r="K116" s="2" t="s">
        <v>1434</v>
      </c>
    </row>
    <row r="117" spans="1:11" x14ac:dyDescent="0.2">
      <c r="A117" s="3" t="s">
        <v>207</v>
      </c>
      <c r="B117" s="3" t="s">
        <v>217</v>
      </c>
      <c r="C117" s="3" t="s">
        <v>218</v>
      </c>
      <c r="D117" s="3" t="s">
        <v>1455</v>
      </c>
      <c r="E117" s="3" t="s">
        <v>1456</v>
      </c>
      <c r="F117" s="3">
        <v>72.989999999999995</v>
      </c>
      <c r="G117" s="3" t="s">
        <v>1457</v>
      </c>
      <c r="H117" s="3">
        <v>40</v>
      </c>
      <c r="I117" s="3">
        <v>130</v>
      </c>
      <c r="J117" s="3" t="s">
        <v>1416</v>
      </c>
      <c r="K117" s="3" t="s">
        <v>1434</v>
      </c>
    </row>
    <row r="118" spans="1:11" x14ac:dyDescent="0.2">
      <c r="A118" s="2" t="s">
        <v>207</v>
      </c>
      <c r="B118" s="2" t="s">
        <v>217</v>
      </c>
      <c r="C118" s="2" t="s">
        <v>218</v>
      </c>
      <c r="D118" s="2" t="s">
        <v>1413</v>
      </c>
      <c r="E118" s="2" t="s">
        <v>1414</v>
      </c>
      <c r="F118" s="2">
        <v>1.1399999999999999</v>
      </c>
      <c r="G118" s="2" t="s">
        <v>1415</v>
      </c>
      <c r="H118" s="2">
        <v>1</v>
      </c>
      <c r="I118" s="2">
        <v>5</v>
      </c>
      <c r="J118" s="2" t="s">
        <v>1416</v>
      </c>
      <c r="K118" s="2" t="s">
        <v>1420</v>
      </c>
    </row>
    <row r="119" spans="1:11" x14ac:dyDescent="0.2">
      <c r="A119" s="3" t="s">
        <v>207</v>
      </c>
      <c r="B119" s="3" t="s">
        <v>217</v>
      </c>
      <c r="C119" s="3" t="s">
        <v>218</v>
      </c>
      <c r="D119" s="3" t="s">
        <v>1450</v>
      </c>
      <c r="E119" s="3" t="s">
        <v>1451</v>
      </c>
      <c r="F119" s="3">
        <v>41.47</v>
      </c>
      <c r="G119" s="3" t="s">
        <v>1452</v>
      </c>
      <c r="H119" s="3">
        <v>60</v>
      </c>
      <c r="I119" s="3">
        <v>120</v>
      </c>
      <c r="J119" s="5" t="s">
        <v>1430</v>
      </c>
      <c r="K119" s="3" t="s">
        <v>1434</v>
      </c>
    </row>
    <row r="120" spans="1:11" x14ac:dyDescent="0.2">
      <c r="A120" s="2" t="s">
        <v>222</v>
      </c>
      <c r="B120" s="2" t="s">
        <v>223</v>
      </c>
      <c r="C120" s="2" t="s">
        <v>224</v>
      </c>
      <c r="D120" s="2" t="s">
        <v>1427</v>
      </c>
      <c r="E120" s="2" t="s">
        <v>1428</v>
      </c>
      <c r="F120" s="2">
        <v>9.1999999999999993</v>
      </c>
      <c r="G120" s="2" t="s">
        <v>1429</v>
      </c>
      <c r="H120" s="2">
        <v>4</v>
      </c>
      <c r="I120" s="2">
        <v>11</v>
      </c>
      <c r="J120" s="2" t="s">
        <v>1416</v>
      </c>
      <c r="K120" s="2" t="s">
        <v>1420</v>
      </c>
    </row>
    <row r="121" spans="1:11" x14ac:dyDescent="0.2">
      <c r="A121" s="3" t="s">
        <v>222</v>
      </c>
      <c r="B121" s="3" t="s">
        <v>223</v>
      </c>
      <c r="C121" s="3" t="s">
        <v>224</v>
      </c>
      <c r="D121" s="3" t="s">
        <v>1423</v>
      </c>
      <c r="E121" s="3" t="s">
        <v>1424</v>
      </c>
      <c r="F121" s="3">
        <v>5.41</v>
      </c>
      <c r="G121" s="3" t="s">
        <v>1425</v>
      </c>
      <c r="H121" s="3">
        <v>4.5</v>
      </c>
      <c r="I121" s="3">
        <v>5.5</v>
      </c>
      <c r="J121" s="3" t="s">
        <v>1416</v>
      </c>
      <c r="K121" s="3" t="s">
        <v>1420</v>
      </c>
    </row>
    <row r="122" spans="1:11" x14ac:dyDescent="0.2">
      <c r="A122" s="2" t="s">
        <v>222</v>
      </c>
      <c r="B122" s="2" t="s">
        <v>223</v>
      </c>
      <c r="C122" s="2" t="s">
        <v>224</v>
      </c>
      <c r="D122" s="2" t="s">
        <v>1432</v>
      </c>
      <c r="E122" s="2" t="s">
        <v>1433</v>
      </c>
      <c r="F122" s="2">
        <v>2.2400000000000002</v>
      </c>
      <c r="G122" s="2" t="s">
        <v>1415</v>
      </c>
      <c r="H122" s="2">
        <v>0</v>
      </c>
      <c r="I122" s="2">
        <v>3</v>
      </c>
      <c r="J122" s="2" t="s">
        <v>1416</v>
      </c>
      <c r="K122" s="2" t="s">
        <v>1434</v>
      </c>
    </row>
    <row r="123" spans="1:11" x14ac:dyDescent="0.2">
      <c r="A123" s="3" t="s">
        <v>222</v>
      </c>
      <c r="B123" s="3" t="s">
        <v>223</v>
      </c>
      <c r="C123" s="3" t="s">
        <v>224</v>
      </c>
      <c r="D123" s="3" t="s">
        <v>1418</v>
      </c>
      <c r="E123" s="3" t="s">
        <v>1419</v>
      </c>
      <c r="F123" s="3">
        <v>3.61</v>
      </c>
      <c r="G123" s="3" t="s">
        <v>1415</v>
      </c>
      <c r="H123" s="3">
        <v>3.5</v>
      </c>
      <c r="I123" s="3">
        <v>5</v>
      </c>
      <c r="J123" s="3" t="s">
        <v>1416</v>
      </c>
      <c r="K123" s="3" t="s">
        <v>1431</v>
      </c>
    </row>
    <row r="124" spans="1:11" x14ac:dyDescent="0.2">
      <c r="A124" s="2" t="s">
        <v>222</v>
      </c>
      <c r="B124" s="2" t="s">
        <v>223</v>
      </c>
      <c r="C124" s="2" t="s">
        <v>224</v>
      </c>
      <c r="D124" s="2" t="s">
        <v>1448</v>
      </c>
      <c r="E124" s="2" t="s">
        <v>1449</v>
      </c>
      <c r="F124" s="2">
        <v>136.97999999999999</v>
      </c>
      <c r="G124" s="2" t="s">
        <v>1415</v>
      </c>
      <c r="H124" s="2">
        <v>136</v>
      </c>
      <c r="I124" s="2">
        <v>145</v>
      </c>
      <c r="J124" s="2" t="s">
        <v>1416</v>
      </c>
      <c r="K124" s="2" t="s">
        <v>1434</v>
      </c>
    </row>
    <row r="125" spans="1:11" x14ac:dyDescent="0.2">
      <c r="A125" s="3" t="s">
        <v>222</v>
      </c>
      <c r="B125" s="3" t="s">
        <v>223</v>
      </c>
      <c r="C125" s="3" t="s">
        <v>224</v>
      </c>
      <c r="D125" s="3" t="s">
        <v>1437</v>
      </c>
      <c r="E125" s="3" t="s">
        <v>1438</v>
      </c>
      <c r="F125" s="3">
        <v>10.67</v>
      </c>
      <c r="G125" s="3" t="s">
        <v>1439</v>
      </c>
      <c r="H125" s="3">
        <v>12</v>
      </c>
      <c r="I125" s="3">
        <v>17.5</v>
      </c>
      <c r="J125" s="5" t="s">
        <v>1430</v>
      </c>
      <c r="K125" s="3" t="s">
        <v>1434</v>
      </c>
    </row>
    <row r="126" spans="1:11" x14ac:dyDescent="0.2">
      <c r="A126" s="2" t="s">
        <v>222</v>
      </c>
      <c r="B126" s="2" t="s">
        <v>227</v>
      </c>
      <c r="C126" s="2" t="s">
        <v>228</v>
      </c>
      <c r="D126" s="2" t="s">
        <v>1446</v>
      </c>
      <c r="E126" s="2" t="s">
        <v>1447</v>
      </c>
      <c r="F126" s="2">
        <v>1.89</v>
      </c>
      <c r="G126" s="2" t="s">
        <v>1415</v>
      </c>
      <c r="H126" s="2">
        <v>2.1</v>
      </c>
      <c r="I126" s="2">
        <v>2.6</v>
      </c>
      <c r="J126" s="5" t="s">
        <v>1430</v>
      </c>
      <c r="K126" s="2" t="s">
        <v>1420</v>
      </c>
    </row>
    <row r="127" spans="1:11" x14ac:dyDescent="0.2">
      <c r="A127" s="3" t="s">
        <v>222</v>
      </c>
      <c r="B127" s="3" t="s">
        <v>227</v>
      </c>
      <c r="C127" s="3" t="s">
        <v>228</v>
      </c>
      <c r="D127" s="3" t="s">
        <v>1427</v>
      </c>
      <c r="E127" s="3" t="s">
        <v>1428</v>
      </c>
      <c r="F127" s="3">
        <v>16.86</v>
      </c>
      <c r="G127" s="3" t="s">
        <v>1429</v>
      </c>
      <c r="H127" s="3">
        <v>4</v>
      </c>
      <c r="I127" s="3">
        <v>11</v>
      </c>
      <c r="J127" s="5" t="s">
        <v>1426</v>
      </c>
      <c r="K127" s="3" t="s">
        <v>1434</v>
      </c>
    </row>
    <row r="128" spans="1:11" x14ac:dyDescent="0.2">
      <c r="A128" s="2" t="s">
        <v>222</v>
      </c>
      <c r="B128" s="2" t="s">
        <v>227</v>
      </c>
      <c r="C128" s="2" t="s">
        <v>228</v>
      </c>
      <c r="D128" s="2" t="s">
        <v>1455</v>
      </c>
      <c r="E128" s="2" t="s">
        <v>1456</v>
      </c>
      <c r="F128" s="2">
        <v>67.95</v>
      </c>
      <c r="G128" s="2" t="s">
        <v>1457</v>
      </c>
      <c r="H128" s="2">
        <v>40</v>
      </c>
      <c r="I128" s="2">
        <v>130</v>
      </c>
      <c r="J128" s="2" t="s">
        <v>1416</v>
      </c>
      <c r="K128" s="2" t="s">
        <v>1420</v>
      </c>
    </row>
    <row r="129" spans="1:11" x14ac:dyDescent="0.2">
      <c r="A129" s="3" t="s">
        <v>222</v>
      </c>
      <c r="B129" s="3" t="s">
        <v>227</v>
      </c>
      <c r="C129" s="3" t="s">
        <v>228</v>
      </c>
      <c r="D129" s="3" t="s">
        <v>1450</v>
      </c>
      <c r="E129" s="3" t="s">
        <v>1451</v>
      </c>
      <c r="F129" s="3">
        <v>19.399999999999999</v>
      </c>
      <c r="G129" s="3" t="s">
        <v>1452</v>
      </c>
      <c r="H129" s="3">
        <v>60</v>
      </c>
      <c r="I129" s="3">
        <v>120</v>
      </c>
      <c r="J129" s="5" t="s">
        <v>1430</v>
      </c>
      <c r="K129" s="3" t="s">
        <v>1431</v>
      </c>
    </row>
    <row r="130" spans="1:11" x14ac:dyDescent="0.2">
      <c r="A130" s="2" t="s">
        <v>222</v>
      </c>
      <c r="B130" s="2" t="s">
        <v>227</v>
      </c>
      <c r="C130" s="2" t="s">
        <v>228</v>
      </c>
      <c r="D130" s="2" t="s">
        <v>1437</v>
      </c>
      <c r="E130" s="2" t="s">
        <v>1438</v>
      </c>
      <c r="F130" s="2">
        <v>10.34</v>
      </c>
      <c r="G130" s="2" t="s">
        <v>1439</v>
      </c>
      <c r="H130" s="2">
        <v>12</v>
      </c>
      <c r="I130" s="2">
        <v>17.5</v>
      </c>
      <c r="J130" s="5" t="s">
        <v>1430</v>
      </c>
      <c r="K130" s="2" t="s">
        <v>1420</v>
      </c>
    </row>
    <row r="131" spans="1:11" x14ac:dyDescent="0.2">
      <c r="A131" s="3" t="s">
        <v>230</v>
      </c>
      <c r="B131" s="3" t="s">
        <v>231</v>
      </c>
      <c r="C131" s="3" t="s">
        <v>232</v>
      </c>
      <c r="D131" s="3" t="s">
        <v>1413</v>
      </c>
      <c r="E131" s="3" t="s">
        <v>1414</v>
      </c>
      <c r="F131" s="3">
        <v>0.99</v>
      </c>
      <c r="G131" s="3" t="s">
        <v>1415</v>
      </c>
      <c r="H131" s="3">
        <v>1</v>
      </c>
      <c r="I131" s="3">
        <v>5</v>
      </c>
      <c r="J131" s="5" t="s">
        <v>1430</v>
      </c>
      <c r="K131" s="3" t="s">
        <v>1431</v>
      </c>
    </row>
    <row r="132" spans="1:11" x14ac:dyDescent="0.2">
      <c r="A132" s="2" t="s">
        <v>230</v>
      </c>
      <c r="B132" s="2" t="s">
        <v>231</v>
      </c>
      <c r="C132" s="2" t="s">
        <v>232</v>
      </c>
      <c r="D132" s="2" t="s">
        <v>1435</v>
      </c>
      <c r="E132" s="2" t="s">
        <v>1436</v>
      </c>
      <c r="F132" s="2">
        <v>1.8</v>
      </c>
      <c r="G132" s="2" t="s">
        <v>1415</v>
      </c>
      <c r="H132" s="2">
        <v>0.8</v>
      </c>
      <c r="I132" s="2">
        <v>1.5</v>
      </c>
      <c r="J132" s="5" t="s">
        <v>1426</v>
      </c>
      <c r="K132" s="2" t="s">
        <v>1420</v>
      </c>
    </row>
    <row r="133" spans="1:11" x14ac:dyDescent="0.2">
      <c r="A133" s="3" t="s">
        <v>230</v>
      </c>
      <c r="B133" s="3" t="s">
        <v>231</v>
      </c>
      <c r="C133" s="3" t="s">
        <v>232</v>
      </c>
      <c r="D133" s="3" t="s">
        <v>1450</v>
      </c>
      <c r="E133" s="3" t="s">
        <v>1451</v>
      </c>
      <c r="F133" s="3">
        <v>15.98</v>
      </c>
      <c r="G133" s="3" t="s">
        <v>1452</v>
      </c>
      <c r="H133" s="3">
        <v>60</v>
      </c>
      <c r="I133" s="3">
        <v>120</v>
      </c>
      <c r="J133" s="5" t="s">
        <v>1430</v>
      </c>
      <c r="K133" s="3" t="s">
        <v>1420</v>
      </c>
    </row>
    <row r="134" spans="1:11" x14ac:dyDescent="0.2">
      <c r="A134" s="2" t="s">
        <v>230</v>
      </c>
      <c r="B134" s="2" t="s">
        <v>231</v>
      </c>
      <c r="C134" s="2" t="s">
        <v>232</v>
      </c>
      <c r="D134" s="2" t="s">
        <v>1437</v>
      </c>
      <c r="E134" s="2" t="s">
        <v>1438</v>
      </c>
      <c r="F134" s="2">
        <v>9.66</v>
      </c>
      <c r="G134" s="2" t="s">
        <v>1439</v>
      </c>
      <c r="H134" s="2">
        <v>12</v>
      </c>
      <c r="I134" s="2">
        <v>17.5</v>
      </c>
      <c r="J134" s="5" t="s">
        <v>1430</v>
      </c>
      <c r="K134" s="2" t="s">
        <v>1420</v>
      </c>
    </row>
    <row r="135" spans="1:11" x14ac:dyDescent="0.2">
      <c r="A135" s="3" t="s">
        <v>230</v>
      </c>
      <c r="B135" s="3" t="s">
        <v>231</v>
      </c>
      <c r="C135" s="3" t="s">
        <v>232</v>
      </c>
      <c r="D135" s="3" t="s">
        <v>1455</v>
      </c>
      <c r="E135" s="3" t="s">
        <v>1456</v>
      </c>
      <c r="F135" s="3">
        <v>280.60000000000002</v>
      </c>
      <c r="G135" s="3" t="s">
        <v>1457</v>
      </c>
      <c r="H135" s="3">
        <v>40</v>
      </c>
      <c r="I135" s="3">
        <v>130</v>
      </c>
      <c r="J135" s="5" t="s">
        <v>1426</v>
      </c>
      <c r="K135" s="3" t="s">
        <v>1417</v>
      </c>
    </row>
    <row r="136" spans="1:11" x14ac:dyDescent="0.2">
      <c r="A136" s="2" t="s">
        <v>230</v>
      </c>
      <c r="B136" s="2" t="s">
        <v>235</v>
      </c>
      <c r="C136" s="2" t="s">
        <v>236</v>
      </c>
      <c r="D136" s="2" t="s">
        <v>1446</v>
      </c>
      <c r="E136" s="2" t="s">
        <v>1447</v>
      </c>
      <c r="F136" s="2">
        <v>2.58</v>
      </c>
      <c r="G136" s="2" t="s">
        <v>1415</v>
      </c>
      <c r="H136" s="2">
        <v>2.1</v>
      </c>
      <c r="I136" s="2">
        <v>2.6</v>
      </c>
      <c r="J136" s="2" t="s">
        <v>1416</v>
      </c>
      <c r="K136" s="2" t="s">
        <v>1431</v>
      </c>
    </row>
    <row r="137" spans="1:11" x14ac:dyDescent="0.2">
      <c r="A137" s="3" t="s">
        <v>230</v>
      </c>
      <c r="B137" s="3" t="s">
        <v>235</v>
      </c>
      <c r="C137" s="3" t="s">
        <v>236</v>
      </c>
      <c r="D137" s="3" t="s">
        <v>1423</v>
      </c>
      <c r="E137" s="3" t="s">
        <v>1424</v>
      </c>
      <c r="F137" s="3">
        <v>5.6</v>
      </c>
      <c r="G137" s="3" t="s">
        <v>1425</v>
      </c>
      <c r="H137" s="3">
        <v>4.5</v>
      </c>
      <c r="I137" s="3">
        <v>5.5</v>
      </c>
      <c r="J137" s="5" t="s">
        <v>1426</v>
      </c>
      <c r="K137" s="3" t="s">
        <v>1431</v>
      </c>
    </row>
    <row r="138" spans="1:11" x14ac:dyDescent="0.2">
      <c r="A138" s="2" t="s">
        <v>230</v>
      </c>
      <c r="B138" s="2" t="s">
        <v>235</v>
      </c>
      <c r="C138" s="2" t="s">
        <v>236</v>
      </c>
      <c r="D138" s="2" t="s">
        <v>1450</v>
      </c>
      <c r="E138" s="2" t="s">
        <v>1451</v>
      </c>
      <c r="F138" s="2">
        <v>41.1</v>
      </c>
      <c r="G138" s="2" t="s">
        <v>1452</v>
      </c>
      <c r="H138" s="2">
        <v>60</v>
      </c>
      <c r="I138" s="2">
        <v>120</v>
      </c>
      <c r="J138" s="5" t="s">
        <v>1430</v>
      </c>
      <c r="K138" s="2" t="s">
        <v>1431</v>
      </c>
    </row>
    <row r="139" spans="1:11" x14ac:dyDescent="0.2">
      <c r="A139" s="3" t="s">
        <v>230</v>
      </c>
      <c r="B139" s="3" t="s">
        <v>235</v>
      </c>
      <c r="C139" s="3" t="s">
        <v>236</v>
      </c>
      <c r="D139" s="3" t="s">
        <v>1437</v>
      </c>
      <c r="E139" s="3" t="s">
        <v>1438</v>
      </c>
      <c r="F139" s="3">
        <v>12.17</v>
      </c>
      <c r="G139" s="3" t="s">
        <v>1439</v>
      </c>
      <c r="H139" s="3">
        <v>12</v>
      </c>
      <c r="I139" s="3">
        <v>17.5</v>
      </c>
      <c r="J139" s="3" t="s">
        <v>1416</v>
      </c>
      <c r="K139" s="3" t="s">
        <v>1417</v>
      </c>
    </row>
    <row r="140" spans="1:11" x14ac:dyDescent="0.2">
      <c r="A140" s="2" t="s">
        <v>230</v>
      </c>
      <c r="B140" s="2" t="s">
        <v>235</v>
      </c>
      <c r="C140" s="2" t="s">
        <v>236</v>
      </c>
      <c r="D140" s="2" t="s">
        <v>1443</v>
      </c>
      <c r="E140" s="2" t="s">
        <v>1444</v>
      </c>
      <c r="F140" s="2">
        <v>83.9</v>
      </c>
      <c r="G140" s="2" t="s">
        <v>1445</v>
      </c>
      <c r="H140" s="2">
        <v>53</v>
      </c>
      <c r="I140" s="2">
        <v>97</v>
      </c>
      <c r="J140" s="2" t="s">
        <v>1416</v>
      </c>
      <c r="K140" s="2" t="s">
        <v>1417</v>
      </c>
    </row>
    <row r="141" spans="1:11" x14ac:dyDescent="0.2">
      <c r="A141" s="3" t="s">
        <v>230</v>
      </c>
      <c r="B141" s="3" t="s">
        <v>235</v>
      </c>
      <c r="C141" s="3" t="s">
        <v>236</v>
      </c>
      <c r="D141" s="3" t="s">
        <v>1448</v>
      </c>
      <c r="E141" s="3" t="s">
        <v>1449</v>
      </c>
      <c r="F141" s="3">
        <v>138.11000000000001</v>
      </c>
      <c r="G141" s="3" t="s">
        <v>1415</v>
      </c>
      <c r="H141" s="3">
        <v>136</v>
      </c>
      <c r="I141" s="3">
        <v>145</v>
      </c>
      <c r="J141" s="3" t="s">
        <v>1416</v>
      </c>
      <c r="K141" s="3" t="s">
        <v>1434</v>
      </c>
    </row>
    <row r="142" spans="1:11" x14ac:dyDescent="0.2">
      <c r="A142" s="2" t="s">
        <v>230</v>
      </c>
      <c r="B142" s="2" t="s">
        <v>238</v>
      </c>
      <c r="C142" s="2" t="s">
        <v>239</v>
      </c>
      <c r="D142" s="2" t="s">
        <v>1446</v>
      </c>
      <c r="E142" s="2" t="s">
        <v>1447</v>
      </c>
      <c r="F142" s="2">
        <v>2.0499999999999998</v>
      </c>
      <c r="G142" s="2" t="s">
        <v>1415</v>
      </c>
      <c r="H142" s="2">
        <v>2.1</v>
      </c>
      <c r="I142" s="2">
        <v>2.6</v>
      </c>
      <c r="J142" s="5" t="s">
        <v>1430</v>
      </c>
      <c r="K142" s="2" t="s">
        <v>1417</v>
      </c>
    </row>
    <row r="143" spans="1:11" x14ac:dyDescent="0.2">
      <c r="A143" s="3" t="s">
        <v>230</v>
      </c>
      <c r="B143" s="3" t="s">
        <v>238</v>
      </c>
      <c r="C143" s="3" t="s">
        <v>239</v>
      </c>
      <c r="D143" s="3" t="s">
        <v>1421</v>
      </c>
      <c r="E143" s="3" t="s">
        <v>1422</v>
      </c>
      <c r="F143" s="3">
        <v>6.91</v>
      </c>
      <c r="G143" s="3" t="s">
        <v>1415</v>
      </c>
      <c r="H143" s="3">
        <v>0</v>
      </c>
      <c r="I143" s="3">
        <v>5</v>
      </c>
      <c r="J143" s="5" t="s">
        <v>1426</v>
      </c>
      <c r="K143" s="3" t="s">
        <v>1434</v>
      </c>
    </row>
    <row r="144" spans="1:11" x14ac:dyDescent="0.2">
      <c r="A144" s="2" t="s">
        <v>230</v>
      </c>
      <c r="B144" s="2" t="s">
        <v>238</v>
      </c>
      <c r="C144" s="2" t="s">
        <v>239</v>
      </c>
      <c r="D144" s="2" t="s">
        <v>1418</v>
      </c>
      <c r="E144" s="2" t="s">
        <v>1419</v>
      </c>
      <c r="F144" s="2">
        <v>4.0599999999999996</v>
      </c>
      <c r="G144" s="2" t="s">
        <v>1415</v>
      </c>
      <c r="H144" s="2">
        <v>3.5</v>
      </c>
      <c r="I144" s="2">
        <v>5</v>
      </c>
      <c r="J144" s="2" t="s">
        <v>1416</v>
      </c>
      <c r="K144" s="2" t="s">
        <v>1431</v>
      </c>
    </row>
    <row r="145" spans="1:11" x14ac:dyDescent="0.2">
      <c r="A145" s="3" t="s">
        <v>230</v>
      </c>
      <c r="B145" s="3" t="s">
        <v>238</v>
      </c>
      <c r="C145" s="3" t="s">
        <v>239</v>
      </c>
      <c r="D145" s="3" t="s">
        <v>1435</v>
      </c>
      <c r="E145" s="3" t="s">
        <v>1436</v>
      </c>
      <c r="F145" s="3">
        <v>0.9</v>
      </c>
      <c r="G145" s="3" t="s">
        <v>1415</v>
      </c>
      <c r="H145" s="3">
        <v>0.8</v>
      </c>
      <c r="I145" s="3">
        <v>1.5</v>
      </c>
      <c r="J145" s="3" t="s">
        <v>1416</v>
      </c>
      <c r="K145" s="3" t="s">
        <v>1434</v>
      </c>
    </row>
    <row r="146" spans="1:11" x14ac:dyDescent="0.2">
      <c r="A146" s="2" t="s">
        <v>230</v>
      </c>
      <c r="B146" s="2" t="s">
        <v>238</v>
      </c>
      <c r="C146" s="2" t="s">
        <v>239</v>
      </c>
      <c r="D146" s="2" t="s">
        <v>1450</v>
      </c>
      <c r="E146" s="2" t="s">
        <v>1451</v>
      </c>
      <c r="F146" s="2">
        <v>72.48</v>
      </c>
      <c r="G146" s="2" t="s">
        <v>1452</v>
      </c>
      <c r="H146" s="2">
        <v>60</v>
      </c>
      <c r="I146" s="2">
        <v>120</v>
      </c>
      <c r="J146" s="2" t="s">
        <v>1416</v>
      </c>
      <c r="K146" s="2" t="s">
        <v>1420</v>
      </c>
    </row>
    <row r="147" spans="1:11" x14ac:dyDescent="0.2">
      <c r="A147" s="3" t="s">
        <v>230</v>
      </c>
      <c r="B147" s="3" t="s">
        <v>241</v>
      </c>
      <c r="C147" s="3" t="s">
        <v>242</v>
      </c>
      <c r="D147" s="3" t="s">
        <v>1421</v>
      </c>
      <c r="E147" s="3" t="s">
        <v>1422</v>
      </c>
      <c r="F147" s="3">
        <v>6.55</v>
      </c>
      <c r="G147" s="3" t="s">
        <v>1415</v>
      </c>
      <c r="H147" s="3">
        <v>0</v>
      </c>
      <c r="I147" s="3">
        <v>5</v>
      </c>
      <c r="J147" s="5" t="s">
        <v>1426</v>
      </c>
      <c r="K147" s="3" t="s">
        <v>1420</v>
      </c>
    </row>
    <row r="148" spans="1:11" x14ac:dyDescent="0.2">
      <c r="A148" s="2" t="s">
        <v>230</v>
      </c>
      <c r="B148" s="2" t="s">
        <v>241</v>
      </c>
      <c r="C148" s="2" t="s">
        <v>242</v>
      </c>
      <c r="D148" s="2" t="s">
        <v>1418</v>
      </c>
      <c r="E148" s="2" t="s">
        <v>1419</v>
      </c>
      <c r="F148" s="2">
        <v>3.95</v>
      </c>
      <c r="G148" s="2" t="s">
        <v>1415</v>
      </c>
      <c r="H148" s="2">
        <v>3.5</v>
      </c>
      <c r="I148" s="2">
        <v>5</v>
      </c>
      <c r="J148" s="2" t="s">
        <v>1416</v>
      </c>
      <c r="K148" s="2" t="s">
        <v>1434</v>
      </c>
    </row>
    <row r="149" spans="1:11" x14ac:dyDescent="0.2">
      <c r="A149" s="3" t="s">
        <v>230</v>
      </c>
      <c r="B149" s="3" t="s">
        <v>241</v>
      </c>
      <c r="C149" s="3" t="s">
        <v>242</v>
      </c>
      <c r="D149" s="3" t="s">
        <v>1446</v>
      </c>
      <c r="E149" s="3" t="s">
        <v>1447</v>
      </c>
      <c r="F149" s="3">
        <v>2.48</v>
      </c>
      <c r="G149" s="3" t="s">
        <v>1415</v>
      </c>
      <c r="H149" s="3">
        <v>2.1</v>
      </c>
      <c r="I149" s="3">
        <v>2.6</v>
      </c>
      <c r="J149" s="3" t="s">
        <v>1416</v>
      </c>
      <c r="K149" s="3" t="s">
        <v>1434</v>
      </c>
    </row>
    <row r="150" spans="1:11" x14ac:dyDescent="0.2">
      <c r="A150" s="2" t="s">
        <v>230</v>
      </c>
      <c r="B150" s="2" t="s">
        <v>241</v>
      </c>
      <c r="C150" s="2" t="s">
        <v>242</v>
      </c>
      <c r="D150" s="2" t="s">
        <v>1437</v>
      </c>
      <c r="E150" s="2" t="s">
        <v>1438</v>
      </c>
      <c r="F150" s="2">
        <v>17.989999999999998</v>
      </c>
      <c r="G150" s="2" t="s">
        <v>1439</v>
      </c>
      <c r="H150" s="2">
        <v>12</v>
      </c>
      <c r="I150" s="2">
        <v>17.5</v>
      </c>
      <c r="J150" s="5" t="s">
        <v>1426</v>
      </c>
      <c r="K150" s="2" t="s">
        <v>1431</v>
      </c>
    </row>
    <row r="151" spans="1:11" x14ac:dyDescent="0.2">
      <c r="A151" s="3" t="s">
        <v>230</v>
      </c>
      <c r="B151" s="3" t="s">
        <v>241</v>
      </c>
      <c r="C151" s="3" t="s">
        <v>242</v>
      </c>
      <c r="D151" s="3" t="s">
        <v>1450</v>
      </c>
      <c r="E151" s="3" t="s">
        <v>1451</v>
      </c>
      <c r="F151" s="3">
        <v>127.38</v>
      </c>
      <c r="G151" s="3" t="s">
        <v>1452</v>
      </c>
      <c r="H151" s="3">
        <v>60</v>
      </c>
      <c r="I151" s="3">
        <v>120</v>
      </c>
      <c r="J151" s="5" t="s">
        <v>1426</v>
      </c>
      <c r="K151" s="3" t="s">
        <v>1420</v>
      </c>
    </row>
    <row r="152" spans="1:11" x14ac:dyDescent="0.2">
      <c r="A152" s="2" t="s">
        <v>230</v>
      </c>
      <c r="B152" s="2" t="s">
        <v>244</v>
      </c>
      <c r="C152" s="2" t="s">
        <v>245</v>
      </c>
      <c r="D152" s="2" t="s">
        <v>1437</v>
      </c>
      <c r="E152" s="2" t="s">
        <v>1438</v>
      </c>
      <c r="F152" s="2">
        <v>8.65</v>
      </c>
      <c r="G152" s="2" t="s">
        <v>1439</v>
      </c>
      <c r="H152" s="2">
        <v>12</v>
      </c>
      <c r="I152" s="2">
        <v>17.5</v>
      </c>
      <c r="J152" s="5" t="s">
        <v>1430</v>
      </c>
      <c r="K152" s="2" t="s">
        <v>1417</v>
      </c>
    </row>
    <row r="153" spans="1:11" x14ac:dyDescent="0.2">
      <c r="A153" s="3" t="s">
        <v>230</v>
      </c>
      <c r="B153" s="3" t="s">
        <v>244</v>
      </c>
      <c r="C153" s="3" t="s">
        <v>245</v>
      </c>
      <c r="D153" s="3" t="s">
        <v>1450</v>
      </c>
      <c r="E153" s="3" t="s">
        <v>1451</v>
      </c>
      <c r="F153" s="3">
        <v>22.33</v>
      </c>
      <c r="G153" s="3" t="s">
        <v>1452</v>
      </c>
      <c r="H153" s="3">
        <v>60</v>
      </c>
      <c r="I153" s="3">
        <v>120</v>
      </c>
      <c r="J153" s="5" t="s">
        <v>1430</v>
      </c>
      <c r="K153" s="3" t="s">
        <v>1417</v>
      </c>
    </row>
    <row r="154" spans="1:11" x14ac:dyDescent="0.2">
      <c r="A154" s="2" t="s">
        <v>230</v>
      </c>
      <c r="B154" s="2" t="s">
        <v>244</v>
      </c>
      <c r="C154" s="2" t="s">
        <v>245</v>
      </c>
      <c r="D154" s="2" t="s">
        <v>1423</v>
      </c>
      <c r="E154" s="2" t="s">
        <v>1424</v>
      </c>
      <c r="F154" s="2">
        <v>3.57</v>
      </c>
      <c r="G154" s="2" t="s">
        <v>1425</v>
      </c>
      <c r="H154" s="2">
        <v>4.5</v>
      </c>
      <c r="I154" s="2">
        <v>5.5</v>
      </c>
      <c r="J154" s="5" t="s">
        <v>1430</v>
      </c>
      <c r="K154" s="2" t="s">
        <v>1434</v>
      </c>
    </row>
    <row r="155" spans="1:11" x14ac:dyDescent="0.2">
      <c r="A155" s="3" t="s">
        <v>230</v>
      </c>
      <c r="B155" s="3" t="s">
        <v>244</v>
      </c>
      <c r="C155" s="3" t="s">
        <v>245</v>
      </c>
      <c r="D155" s="3" t="s">
        <v>1446</v>
      </c>
      <c r="E155" s="3" t="s">
        <v>1447</v>
      </c>
      <c r="F155" s="3">
        <v>2.19</v>
      </c>
      <c r="G155" s="3" t="s">
        <v>1415</v>
      </c>
      <c r="H155" s="3">
        <v>2.1</v>
      </c>
      <c r="I155" s="3">
        <v>2.6</v>
      </c>
      <c r="J155" s="3" t="s">
        <v>1416</v>
      </c>
      <c r="K155" s="3" t="s">
        <v>1417</v>
      </c>
    </row>
    <row r="156" spans="1:11" x14ac:dyDescent="0.2">
      <c r="A156" s="2" t="s">
        <v>230</v>
      </c>
      <c r="B156" s="2" t="s">
        <v>244</v>
      </c>
      <c r="C156" s="2" t="s">
        <v>245</v>
      </c>
      <c r="D156" s="2" t="s">
        <v>1435</v>
      </c>
      <c r="E156" s="2" t="s">
        <v>1436</v>
      </c>
      <c r="F156" s="2">
        <v>1.33</v>
      </c>
      <c r="G156" s="2" t="s">
        <v>1415</v>
      </c>
      <c r="H156" s="2">
        <v>0.8</v>
      </c>
      <c r="I156" s="2">
        <v>1.5</v>
      </c>
      <c r="J156" s="2" t="s">
        <v>1416</v>
      </c>
      <c r="K156" s="2" t="s">
        <v>1420</v>
      </c>
    </row>
    <row r="157" spans="1:11" x14ac:dyDescent="0.2">
      <c r="A157" s="3" t="s">
        <v>230</v>
      </c>
      <c r="B157" s="3" t="s">
        <v>244</v>
      </c>
      <c r="C157" s="3" t="s">
        <v>245</v>
      </c>
      <c r="D157" s="3" t="s">
        <v>1418</v>
      </c>
      <c r="E157" s="3" t="s">
        <v>1419</v>
      </c>
      <c r="F157" s="3">
        <v>3.41</v>
      </c>
      <c r="G157" s="3" t="s">
        <v>1415</v>
      </c>
      <c r="H157" s="3">
        <v>3.5</v>
      </c>
      <c r="I157" s="3">
        <v>5</v>
      </c>
      <c r="J157" s="5" t="s">
        <v>1430</v>
      </c>
      <c r="K157" s="3" t="s">
        <v>1434</v>
      </c>
    </row>
    <row r="158" spans="1:11" x14ac:dyDescent="0.2">
      <c r="A158" s="2" t="s">
        <v>230</v>
      </c>
      <c r="B158" s="2" t="s">
        <v>244</v>
      </c>
      <c r="C158" s="2" t="s">
        <v>245</v>
      </c>
      <c r="D158" s="2" t="s">
        <v>1455</v>
      </c>
      <c r="E158" s="2" t="s">
        <v>1456</v>
      </c>
      <c r="F158" s="2">
        <v>245.96</v>
      </c>
      <c r="G158" s="2" t="s">
        <v>1457</v>
      </c>
      <c r="H158" s="2">
        <v>40</v>
      </c>
      <c r="I158" s="2">
        <v>130</v>
      </c>
      <c r="J158" s="5" t="s">
        <v>1426</v>
      </c>
      <c r="K158" s="2" t="s">
        <v>1431</v>
      </c>
    </row>
    <row r="159" spans="1:11" x14ac:dyDescent="0.2">
      <c r="A159" s="3" t="s">
        <v>230</v>
      </c>
      <c r="B159" s="3" t="s">
        <v>247</v>
      </c>
      <c r="C159" s="3" t="s">
        <v>248</v>
      </c>
      <c r="D159" s="3" t="s">
        <v>1446</v>
      </c>
      <c r="E159" s="3" t="s">
        <v>1447</v>
      </c>
      <c r="F159" s="3">
        <v>2.39</v>
      </c>
      <c r="G159" s="3" t="s">
        <v>1415</v>
      </c>
      <c r="H159" s="3">
        <v>2.1</v>
      </c>
      <c r="I159" s="3">
        <v>2.6</v>
      </c>
      <c r="J159" s="3" t="s">
        <v>1416</v>
      </c>
      <c r="K159" s="3" t="s">
        <v>1431</v>
      </c>
    </row>
    <row r="160" spans="1:11" x14ac:dyDescent="0.2">
      <c r="A160" s="2" t="s">
        <v>230</v>
      </c>
      <c r="B160" s="2" t="s">
        <v>247</v>
      </c>
      <c r="C160" s="2" t="s">
        <v>248</v>
      </c>
      <c r="D160" s="2" t="s">
        <v>1435</v>
      </c>
      <c r="E160" s="2" t="s">
        <v>1436</v>
      </c>
      <c r="F160" s="2">
        <v>0.76</v>
      </c>
      <c r="G160" s="2" t="s">
        <v>1415</v>
      </c>
      <c r="H160" s="2">
        <v>0.8</v>
      </c>
      <c r="I160" s="2">
        <v>1.5</v>
      </c>
      <c r="J160" s="5" t="s">
        <v>1430</v>
      </c>
      <c r="K160" s="2" t="s">
        <v>1417</v>
      </c>
    </row>
    <row r="161" spans="1:11" x14ac:dyDescent="0.2">
      <c r="A161" s="3" t="s">
        <v>230</v>
      </c>
      <c r="B161" s="3" t="s">
        <v>247</v>
      </c>
      <c r="C161" s="3" t="s">
        <v>248</v>
      </c>
      <c r="D161" s="3" t="s">
        <v>1423</v>
      </c>
      <c r="E161" s="3" t="s">
        <v>1424</v>
      </c>
      <c r="F161" s="3">
        <v>3.85</v>
      </c>
      <c r="G161" s="3" t="s">
        <v>1425</v>
      </c>
      <c r="H161" s="3">
        <v>4.5</v>
      </c>
      <c r="I161" s="3">
        <v>5.5</v>
      </c>
      <c r="J161" s="5" t="s">
        <v>1430</v>
      </c>
      <c r="K161" s="3" t="s">
        <v>1431</v>
      </c>
    </row>
    <row r="162" spans="1:11" x14ac:dyDescent="0.2">
      <c r="A162" s="2" t="s">
        <v>250</v>
      </c>
      <c r="B162" s="2" t="s">
        <v>251</v>
      </c>
      <c r="C162" s="2" t="s">
        <v>252</v>
      </c>
      <c r="D162" s="2" t="s">
        <v>1437</v>
      </c>
      <c r="E162" s="2" t="s">
        <v>1438</v>
      </c>
      <c r="F162" s="2">
        <v>10.79</v>
      </c>
      <c r="G162" s="2" t="s">
        <v>1439</v>
      </c>
      <c r="H162" s="2">
        <v>12</v>
      </c>
      <c r="I162" s="2">
        <v>17.5</v>
      </c>
      <c r="J162" s="5" t="s">
        <v>1430</v>
      </c>
      <c r="K162" s="2" t="s">
        <v>1434</v>
      </c>
    </row>
    <row r="163" spans="1:11" x14ac:dyDescent="0.2">
      <c r="A163" s="3" t="s">
        <v>250</v>
      </c>
      <c r="B163" s="3" t="s">
        <v>251</v>
      </c>
      <c r="C163" s="3" t="s">
        <v>252</v>
      </c>
      <c r="D163" s="3" t="s">
        <v>1427</v>
      </c>
      <c r="E163" s="3" t="s">
        <v>1428</v>
      </c>
      <c r="F163" s="3">
        <v>5.16</v>
      </c>
      <c r="G163" s="3" t="s">
        <v>1429</v>
      </c>
      <c r="H163" s="3">
        <v>4</v>
      </c>
      <c r="I163" s="3">
        <v>11</v>
      </c>
      <c r="J163" s="3" t="s">
        <v>1416</v>
      </c>
      <c r="K163" s="3" t="s">
        <v>1417</v>
      </c>
    </row>
    <row r="164" spans="1:11" x14ac:dyDescent="0.2">
      <c r="A164" s="2" t="s">
        <v>250</v>
      </c>
      <c r="B164" s="2" t="s">
        <v>251</v>
      </c>
      <c r="C164" s="2" t="s">
        <v>252</v>
      </c>
      <c r="D164" s="2" t="s">
        <v>1453</v>
      </c>
      <c r="E164" s="2" t="s">
        <v>1454</v>
      </c>
      <c r="F164" s="2">
        <v>5.96</v>
      </c>
      <c r="G164" s="2" t="s">
        <v>1415</v>
      </c>
      <c r="H164" s="2">
        <v>3.9</v>
      </c>
      <c r="I164" s="2">
        <v>5.5</v>
      </c>
      <c r="J164" s="5" t="s">
        <v>1426</v>
      </c>
      <c r="K164" s="2" t="s">
        <v>1434</v>
      </c>
    </row>
    <row r="165" spans="1:11" x14ac:dyDescent="0.2">
      <c r="A165" s="3" t="s">
        <v>250</v>
      </c>
      <c r="B165" s="3" t="s">
        <v>251</v>
      </c>
      <c r="C165" s="3" t="s">
        <v>252</v>
      </c>
      <c r="D165" s="3" t="s">
        <v>1448</v>
      </c>
      <c r="E165" s="3" t="s">
        <v>1449</v>
      </c>
      <c r="F165" s="3">
        <v>134.94</v>
      </c>
      <c r="G165" s="3" t="s">
        <v>1415</v>
      </c>
      <c r="H165" s="3">
        <v>136</v>
      </c>
      <c r="I165" s="3">
        <v>145</v>
      </c>
      <c r="J165" s="5" t="s">
        <v>1430</v>
      </c>
      <c r="K165" s="3" t="s">
        <v>1417</v>
      </c>
    </row>
    <row r="166" spans="1:11" x14ac:dyDescent="0.2">
      <c r="A166" s="2" t="s">
        <v>250</v>
      </c>
      <c r="B166" s="2" t="s">
        <v>251</v>
      </c>
      <c r="C166" s="2" t="s">
        <v>252</v>
      </c>
      <c r="D166" s="2" t="s">
        <v>1443</v>
      </c>
      <c r="E166" s="2" t="s">
        <v>1444</v>
      </c>
      <c r="F166" s="2">
        <v>74.13</v>
      </c>
      <c r="G166" s="2" t="s">
        <v>1445</v>
      </c>
      <c r="H166" s="2">
        <v>53</v>
      </c>
      <c r="I166" s="2">
        <v>97</v>
      </c>
      <c r="J166" s="2" t="s">
        <v>1416</v>
      </c>
      <c r="K166" s="2" t="s">
        <v>1434</v>
      </c>
    </row>
    <row r="167" spans="1:11" x14ac:dyDescent="0.2">
      <c r="A167" s="3" t="s">
        <v>250</v>
      </c>
      <c r="B167" s="3" t="s">
        <v>257</v>
      </c>
      <c r="C167" s="3" t="s">
        <v>258</v>
      </c>
      <c r="D167" s="3" t="s">
        <v>1455</v>
      </c>
      <c r="E167" s="3" t="s">
        <v>1456</v>
      </c>
      <c r="F167" s="3">
        <v>168.3</v>
      </c>
      <c r="G167" s="3" t="s">
        <v>1457</v>
      </c>
      <c r="H167" s="3">
        <v>40</v>
      </c>
      <c r="I167" s="3">
        <v>130</v>
      </c>
      <c r="J167" s="5" t="s">
        <v>1426</v>
      </c>
      <c r="K167" s="3" t="s">
        <v>1417</v>
      </c>
    </row>
    <row r="168" spans="1:11" x14ac:dyDescent="0.2">
      <c r="A168" s="2" t="s">
        <v>250</v>
      </c>
      <c r="B168" s="2" t="s">
        <v>257</v>
      </c>
      <c r="C168" s="2" t="s">
        <v>258</v>
      </c>
      <c r="D168" s="2" t="s">
        <v>1446</v>
      </c>
      <c r="E168" s="2" t="s">
        <v>1447</v>
      </c>
      <c r="F168" s="2">
        <v>1.99</v>
      </c>
      <c r="G168" s="2" t="s">
        <v>1415</v>
      </c>
      <c r="H168" s="2">
        <v>2.1</v>
      </c>
      <c r="I168" s="2">
        <v>2.6</v>
      </c>
      <c r="J168" s="5" t="s">
        <v>1430</v>
      </c>
      <c r="K168" s="2" t="s">
        <v>1420</v>
      </c>
    </row>
    <row r="169" spans="1:11" x14ac:dyDescent="0.2">
      <c r="A169" s="3" t="s">
        <v>250</v>
      </c>
      <c r="B169" s="3" t="s">
        <v>257</v>
      </c>
      <c r="C169" s="3" t="s">
        <v>258</v>
      </c>
      <c r="D169" s="3" t="s">
        <v>1421</v>
      </c>
      <c r="E169" s="3" t="s">
        <v>1422</v>
      </c>
      <c r="F169" s="3">
        <v>5.85</v>
      </c>
      <c r="G169" s="3" t="s">
        <v>1415</v>
      </c>
      <c r="H169" s="3">
        <v>0</v>
      </c>
      <c r="I169" s="3">
        <v>5</v>
      </c>
      <c r="J169" s="5" t="s">
        <v>1426</v>
      </c>
      <c r="K169" s="3" t="s">
        <v>1417</v>
      </c>
    </row>
    <row r="170" spans="1:11" x14ac:dyDescent="0.2">
      <c r="A170" s="2" t="s">
        <v>250</v>
      </c>
      <c r="B170" s="2" t="s">
        <v>257</v>
      </c>
      <c r="C170" s="2" t="s">
        <v>258</v>
      </c>
      <c r="D170" s="2" t="s">
        <v>1440</v>
      </c>
      <c r="E170" s="2" t="s">
        <v>1441</v>
      </c>
      <c r="F170" s="2">
        <v>6.79</v>
      </c>
      <c r="G170" s="2" t="s">
        <v>1442</v>
      </c>
      <c r="H170" s="2">
        <v>4</v>
      </c>
      <c r="I170" s="2">
        <v>5.6</v>
      </c>
      <c r="J170" s="5" t="s">
        <v>1426</v>
      </c>
      <c r="K170" s="2" t="s">
        <v>1434</v>
      </c>
    </row>
    <row r="171" spans="1:11" x14ac:dyDescent="0.2">
      <c r="A171" s="3" t="s">
        <v>250</v>
      </c>
      <c r="B171" s="3" t="s">
        <v>257</v>
      </c>
      <c r="C171" s="3" t="s">
        <v>258</v>
      </c>
      <c r="D171" s="3" t="s">
        <v>1450</v>
      </c>
      <c r="E171" s="3" t="s">
        <v>1451</v>
      </c>
      <c r="F171" s="3">
        <v>128.97</v>
      </c>
      <c r="G171" s="3" t="s">
        <v>1452</v>
      </c>
      <c r="H171" s="3">
        <v>60</v>
      </c>
      <c r="I171" s="3">
        <v>120</v>
      </c>
      <c r="J171" s="5" t="s">
        <v>1426</v>
      </c>
      <c r="K171" s="3" t="s">
        <v>1417</v>
      </c>
    </row>
    <row r="172" spans="1:11" x14ac:dyDescent="0.2">
      <c r="A172" s="2" t="s">
        <v>250</v>
      </c>
      <c r="B172" s="2" t="s">
        <v>257</v>
      </c>
      <c r="C172" s="2" t="s">
        <v>258</v>
      </c>
      <c r="D172" s="2" t="s">
        <v>1413</v>
      </c>
      <c r="E172" s="2" t="s">
        <v>1414</v>
      </c>
      <c r="F172" s="2">
        <v>0.8</v>
      </c>
      <c r="G172" s="2" t="s">
        <v>1415</v>
      </c>
      <c r="H172" s="2">
        <v>1</v>
      </c>
      <c r="I172" s="2">
        <v>5</v>
      </c>
      <c r="J172" s="5" t="s">
        <v>1430</v>
      </c>
      <c r="K172" s="2" t="s">
        <v>1417</v>
      </c>
    </row>
    <row r="173" spans="1:11" x14ac:dyDescent="0.2">
      <c r="A173" s="3" t="s">
        <v>250</v>
      </c>
      <c r="B173" s="3" t="s">
        <v>260</v>
      </c>
      <c r="C173" s="3" t="s">
        <v>261</v>
      </c>
      <c r="D173" s="3" t="s">
        <v>1450</v>
      </c>
      <c r="E173" s="3" t="s">
        <v>1451</v>
      </c>
      <c r="F173" s="3">
        <v>68.209999999999994</v>
      </c>
      <c r="G173" s="3" t="s">
        <v>1452</v>
      </c>
      <c r="H173" s="3">
        <v>60</v>
      </c>
      <c r="I173" s="3">
        <v>120</v>
      </c>
      <c r="J173" s="3" t="s">
        <v>1416</v>
      </c>
      <c r="K173" s="3" t="s">
        <v>1434</v>
      </c>
    </row>
    <row r="174" spans="1:11" x14ac:dyDescent="0.2">
      <c r="A174" s="2" t="s">
        <v>250</v>
      </c>
      <c r="B174" s="2" t="s">
        <v>260</v>
      </c>
      <c r="C174" s="2" t="s">
        <v>261</v>
      </c>
      <c r="D174" s="2" t="s">
        <v>1421</v>
      </c>
      <c r="E174" s="2" t="s">
        <v>1422</v>
      </c>
      <c r="F174" s="2">
        <v>6.45</v>
      </c>
      <c r="G174" s="2" t="s">
        <v>1415</v>
      </c>
      <c r="H174" s="2">
        <v>0</v>
      </c>
      <c r="I174" s="2">
        <v>5</v>
      </c>
      <c r="J174" s="5" t="s">
        <v>1426</v>
      </c>
      <c r="K174" s="2" t="s">
        <v>1420</v>
      </c>
    </row>
    <row r="175" spans="1:11" x14ac:dyDescent="0.2">
      <c r="A175" s="3" t="s">
        <v>250</v>
      </c>
      <c r="B175" s="3" t="s">
        <v>260</v>
      </c>
      <c r="C175" s="3" t="s">
        <v>261</v>
      </c>
      <c r="D175" s="3" t="s">
        <v>1427</v>
      </c>
      <c r="E175" s="3" t="s">
        <v>1428</v>
      </c>
      <c r="F175" s="3">
        <v>12.52</v>
      </c>
      <c r="G175" s="3" t="s">
        <v>1429</v>
      </c>
      <c r="H175" s="3">
        <v>4</v>
      </c>
      <c r="I175" s="3">
        <v>11</v>
      </c>
      <c r="J175" s="5" t="s">
        <v>1426</v>
      </c>
      <c r="K175" s="3" t="s">
        <v>1417</v>
      </c>
    </row>
    <row r="176" spans="1:11" x14ac:dyDescent="0.2">
      <c r="A176" s="2" t="s">
        <v>250</v>
      </c>
      <c r="B176" s="2" t="s">
        <v>260</v>
      </c>
      <c r="C176" s="2" t="s">
        <v>261</v>
      </c>
      <c r="D176" s="2" t="s">
        <v>1432</v>
      </c>
      <c r="E176" s="2" t="s">
        <v>1433</v>
      </c>
      <c r="F176" s="2">
        <v>2.52</v>
      </c>
      <c r="G176" s="2" t="s">
        <v>1415</v>
      </c>
      <c r="H176" s="2">
        <v>0</v>
      </c>
      <c r="I176" s="2">
        <v>3</v>
      </c>
      <c r="J176" s="2" t="s">
        <v>1416</v>
      </c>
      <c r="K176" s="2" t="s">
        <v>1420</v>
      </c>
    </row>
    <row r="177" spans="1:11" x14ac:dyDescent="0.2">
      <c r="A177" s="3" t="s">
        <v>250</v>
      </c>
      <c r="B177" s="3" t="s">
        <v>260</v>
      </c>
      <c r="C177" s="3" t="s">
        <v>261</v>
      </c>
      <c r="D177" s="3" t="s">
        <v>1423</v>
      </c>
      <c r="E177" s="3" t="s">
        <v>1424</v>
      </c>
      <c r="F177" s="3">
        <v>4.17</v>
      </c>
      <c r="G177" s="3" t="s">
        <v>1425</v>
      </c>
      <c r="H177" s="3">
        <v>4.5</v>
      </c>
      <c r="I177" s="3">
        <v>5.5</v>
      </c>
      <c r="J177" s="5" t="s">
        <v>1430</v>
      </c>
      <c r="K177" s="3" t="s">
        <v>1431</v>
      </c>
    </row>
    <row r="178" spans="1:11" x14ac:dyDescent="0.2">
      <c r="A178" s="2" t="s">
        <v>250</v>
      </c>
      <c r="B178" s="2" t="s">
        <v>260</v>
      </c>
      <c r="C178" s="2" t="s">
        <v>261</v>
      </c>
      <c r="D178" s="2" t="s">
        <v>1448</v>
      </c>
      <c r="E178" s="2" t="s">
        <v>1449</v>
      </c>
      <c r="F178" s="2">
        <v>139.22999999999999</v>
      </c>
      <c r="G178" s="2" t="s">
        <v>1415</v>
      </c>
      <c r="H178" s="2">
        <v>136</v>
      </c>
      <c r="I178" s="2">
        <v>145</v>
      </c>
      <c r="J178" s="2" t="s">
        <v>1416</v>
      </c>
      <c r="K178" s="2" t="s">
        <v>1431</v>
      </c>
    </row>
    <row r="179" spans="1:11" x14ac:dyDescent="0.2">
      <c r="A179" s="3" t="s">
        <v>250</v>
      </c>
      <c r="B179" s="3" t="s">
        <v>260</v>
      </c>
      <c r="C179" s="3" t="s">
        <v>261</v>
      </c>
      <c r="D179" s="3" t="s">
        <v>1437</v>
      </c>
      <c r="E179" s="3" t="s">
        <v>1438</v>
      </c>
      <c r="F179" s="3">
        <v>17.7</v>
      </c>
      <c r="G179" s="3" t="s">
        <v>1439</v>
      </c>
      <c r="H179" s="3">
        <v>12</v>
      </c>
      <c r="I179" s="3">
        <v>17.5</v>
      </c>
      <c r="J179" s="5" t="s">
        <v>1426</v>
      </c>
      <c r="K179" s="3" t="s">
        <v>1417</v>
      </c>
    </row>
    <row r="180" spans="1:11" x14ac:dyDescent="0.2">
      <c r="A180" s="2" t="s">
        <v>250</v>
      </c>
      <c r="B180" s="2" t="s">
        <v>263</v>
      </c>
      <c r="C180" s="2" t="s">
        <v>264</v>
      </c>
      <c r="D180" s="2" t="s">
        <v>1418</v>
      </c>
      <c r="E180" s="2" t="s">
        <v>1419</v>
      </c>
      <c r="F180" s="2">
        <v>4.1100000000000003</v>
      </c>
      <c r="G180" s="2" t="s">
        <v>1415</v>
      </c>
      <c r="H180" s="2">
        <v>3.5</v>
      </c>
      <c r="I180" s="2">
        <v>5</v>
      </c>
      <c r="J180" s="2" t="s">
        <v>1416</v>
      </c>
      <c r="K180" s="2" t="s">
        <v>1434</v>
      </c>
    </row>
    <row r="181" spans="1:11" x14ac:dyDescent="0.2">
      <c r="A181" s="3" t="s">
        <v>250</v>
      </c>
      <c r="B181" s="3" t="s">
        <v>263</v>
      </c>
      <c r="C181" s="3" t="s">
        <v>264</v>
      </c>
      <c r="D181" s="3" t="s">
        <v>1437</v>
      </c>
      <c r="E181" s="3" t="s">
        <v>1438</v>
      </c>
      <c r="F181" s="3">
        <v>9.1199999999999992</v>
      </c>
      <c r="G181" s="3" t="s">
        <v>1439</v>
      </c>
      <c r="H181" s="3">
        <v>12</v>
      </c>
      <c r="I181" s="3">
        <v>17.5</v>
      </c>
      <c r="J181" s="5" t="s">
        <v>1430</v>
      </c>
      <c r="K181" s="3" t="s">
        <v>1431</v>
      </c>
    </row>
    <row r="182" spans="1:11" x14ac:dyDescent="0.2">
      <c r="A182" s="2" t="s">
        <v>250</v>
      </c>
      <c r="B182" s="2" t="s">
        <v>263</v>
      </c>
      <c r="C182" s="2" t="s">
        <v>264</v>
      </c>
      <c r="D182" s="2" t="s">
        <v>1440</v>
      </c>
      <c r="E182" s="2" t="s">
        <v>1441</v>
      </c>
      <c r="F182" s="2">
        <v>6.78</v>
      </c>
      <c r="G182" s="2" t="s">
        <v>1442</v>
      </c>
      <c r="H182" s="2">
        <v>4</v>
      </c>
      <c r="I182" s="2">
        <v>5.6</v>
      </c>
      <c r="J182" s="5" t="s">
        <v>1426</v>
      </c>
      <c r="K182" s="2" t="s">
        <v>1420</v>
      </c>
    </row>
    <row r="183" spans="1:11" x14ac:dyDescent="0.2">
      <c r="A183" s="3" t="s">
        <v>250</v>
      </c>
      <c r="B183" s="3" t="s">
        <v>263</v>
      </c>
      <c r="C183" s="3" t="s">
        <v>264</v>
      </c>
      <c r="D183" s="3" t="s">
        <v>1435</v>
      </c>
      <c r="E183" s="3" t="s">
        <v>1436</v>
      </c>
      <c r="F183" s="3">
        <v>1.37</v>
      </c>
      <c r="G183" s="3" t="s">
        <v>1415</v>
      </c>
      <c r="H183" s="3">
        <v>0.8</v>
      </c>
      <c r="I183" s="3">
        <v>1.5</v>
      </c>
      <c r="J183" s="3" t="s">
        <v>1416</v>
      </c>
      <c r="K183" s="3" t="s">
        <v>1434</v>
      </c>
    </row>
    <row r="184" spans="1:11" x14ac:dyDescent="0.2">
      <c r="A184" s="2" t="s">
        <v>250</v>
      </c>
      <c r="B184" s="2" t="s">
        <v>263</v>
      </c>
      <c r="C184" s="2" t="s">
        <v>264</v>
      </c>
      <c r="D184" s="2" t="s">
        <v>1423</v>
      </c>
      <c r="E184" s="2" t="s">
        <v>1424</v>
      </c>
      <c r="F184" s="2">
        <v>5.09</v>
      </c>
      <c r="G184" s="2" t="s">
        <v>1425</v>
      </c>
      <c r="H184" s="2">
        <v>4.5</v>
      </c>
      <c r="I184" s="2">
        <v>5.5</v>
      </c>
      <c r="J184" s="2" t="s">
        <v>1416</v>
      </c>
      <c r="K184" s="2" t="s">
        <v>1431</v>
      </c>
    </row>
    <row r="185" spans="1:11" x14ac:dyDescent="0.2">
      <c r="A185" s="3" t="s">
        <v>250</v>
      </c>
      <c r="B185" s="3" t="s">
        <v>263</v>
      </c>
      <c r="C185" s="3" t="s">
        <v>264</v>
      </c>
      <c r="D185" s="3" t="s">
        <v>1453</v>
      </c>
      <c r="E185" s="3" t="s">
        <v>1454</v>
      </c>
      <c r="F185" s="3">
        <v>8.5399999999999991</v>
      </c>
      <c r="G185" s="3" t="s">
        <v>1415</v>
      </c>
      <c r="H185" s="3">
        <v>3.9</v>
      </c>
      <c r="I185" s="3">
        <v>5.5</v>
      </c>
      <c r="J185" s="5" t="s">
        <v>1426</v>
      </c>
      <c r="K185" s="3" t="s">
        <v>1417</v>
      </c>
    </row>
    <row r="186" spans="1:11" x14ac:dyDescent="0.2">
      <c r="A186" s="2" t="s">
        <v>250</v>
      </c>
      <c r="B186" s="2" t="s">
        <v>266</v>
      </c>
      <c r="C186" s="2" t="s">
        <v>267</v>
      </c>
      <c r="D186" s="2" t="s">
        <v>1453</v>
      </c>
      <c r="E186" s="2" t="s">
        <v>1454</v>
      </c>
      <c r="F186" s="2">
        <v>6.25</v>
      </c>
      <c r="G186" s="2" t="s">
        <v>1415</v>
      </c>
      <c r="H186" s="2">
        <v>3.9</v>
      </c>
      <c r="I186" s="2">
        <v>5.5</v>
      </c>
      <c r="J186" s="5" t="s">
        <v>1426</v>
      </c>
      <c r="K186" s="2" t="s">
        <v>1420</v>
      </c>
    </row>
    <row r="187" spans="1:11" x14ac:dyDescent="0.2">
      <c r="A187" s="3" t="s">
        <v>250</v>
      </c>
      <c r="B187" s="3" t="s">
        <v>266</v>
      </c>
      <c r="C187" s="3" t="s">
        <v>267</v>
      </c>
      <c r="D187" s="3" t="s">
        <v>1432</v>
      </c>
      <c r="E187" s="3" t="s">
        <v>1433</v>
      </c>
      <c r="F187" s="3">
        <v>1.99</v>
      </c>
      <c r="G187" s="3" t="s">
        <v>1415</v>
      </c>
      <c r="H187" s="3">
        <v>0</v>
      </c>
      <c r="I187" s="3">
        <v>3</v>
      </c>
      <c r="J187" s="3" t="s">
        <v>1416</v>
      </c>
      <c r="K187" s="3" t="s">
        <v>1434</v>
      </c>
    </row>
    <row r="188" spans="1:11" x14ac:dyDescent="0.2">
      <c r="A188" s="2" t="s">
        <v>250</v>
      </c>
      <c r="B188" s="2" t="s">
        <v>266</v>
      </c>
      <c r="C188" s="2" t="s">
        <v>267</v>
      </c>
      <c r="D188" s="2" t="s">
        <v>1455</v>
      </c>
      <c r="E188" s="2" t="s">
        <v>1456</v>
      </c>
      <c r="F188" s="2">
        <v>177.89</v>
      </c>
      <c r="G188" s="2" t="s">
        <v>1457</v>
      </c>
      <c r="H188" s="2">
        <v>40</v>
      </c>
      <c r="I188" s="2">
        <v>130</v>
      </c>
      <c r="J188" s="5" t="s">
        <v>1426</v>
      </c>
      <c r="K188" s="2" t="s">
        <v>1434</v>
      </c>
    </row>
    <row r="189" spans="1:11" x14ac:dyDescent="0.2">
      <c r="A189" s="3" t="s">
        <v>250</v>
      </c>
      <c r="B189" s="3" t="s">
        <v>266</v>
      </c>
      <c r="C189" s="3" t="s">
        <v>267</v>
      </c>
      <c r="D189" s="3" t="s">
        <v>1450</v>
      </c>
      <c r="E189" s="3" t="s">
        <v>1451</v>
      </c>
      <c r="F189" s="3">
        <v>88.47</v>
      </c>
      <c r="G189" s="3" t="s">
        <v>1452</v>
      </c>
      <c r="H189" s="3">
        <v>60</v>
      </c>
      <c r="I189" s="3">
        <v>120</v>
      </c>
      <c r="J189" s="3" t="s">
        <v>1416</v>
      </c>
      <c r="K189" s="3" t="s">
        <v>1417</v>
      </c>
    </row>
    <row r="190" spans="1:11" x14ac:dyDescent="0.2">
      <c r="A190" s="2" t="s">
        <v>250</v>
      </c>
      <c r="B190" s="2" t="s">
        <v>266</v>
      </c>
      <c r="C190" s="2" t="s">
        <v>267</v>
      </c>
      <c r="D190" s="2" t="s">
        <v>1427</v>
      </c>
      <c r="E190" s="2" t="s">
        <v>1428</v>
      </c>
      <c r="F190" s="2">
        <v>8.41</v>
      </c>
      <c r="G190" s="2" t="s">
        <v>1429</v>
      </c>
      <c r="H190" s="2">
        <v>4</v>
      </c>
      <c r="I190" s="2">
        <v>11</v>
      </c>
      <c r="J190" s="2" t="s">
        <v>1416</v>
      </c>
      <c r="K190" s="2" t="s">
        <v>1417</v>
      </c>
    </row>
    <row r="191" spans="1:11" x14ac:dyDescent="0.2">
      <c r="A191" s="3" t="s">
        <v>250</v>
      </c>
      <c r="B191" s="3" t="s">
        <v>266</v>
      </c>
      <c r="C191" s="3" t="s">
        <v>267</v>
      </c>
      <c r="D191" s="3" t="s">
        <v>1446</v>
      </c>
      <c r="E191" s="3" t="s">
        <v>1447</v>
      </c>
      <c r="F191" s="3">
        <v>2.83</v>
      </c>
      <c r="G191" s="3" t="s">
        <v>1415</v>
      </c>
      <c r="H191" s="3">
        <v>2.1</v>
      </c>
      <c r="I191" s="3">
        <v>2.6</v>
      </c>
      <c r="J191" s="5" t="s">
        <v>1426</v>
      </c>
      <c r="K191" s="3" t="s">
        <v>1417</v>
      </c>
    </row>
    <row r="192" spans="1:11" x14ac:dyDescent="0.2">
      <c r="A192" s="2" t="s">
        <v>250</v>
      </c>
      <c r="B192" s="2" t="s">
        <v>266</v>
      </c>
      <c r="C192" s="2" t="s">
        <v>267</v>
      </c>
      <c r="D192" s="2" t="s">
        <v>1418</v>
      </c>
      <c r="E192" s="2" t="s">
        <v>1419</v>
      </c>
      <c r="F192" s="2">
        <v>3.29</v>
      </c>
      <c r="G192" s="2" t="s">
        <v>1415</v>
      </c>
      <c r="H192" s="2">
        <v>3.5</v>
      </c>
      <c r="I192" s="2">
        <v>5</v>
      </c>
      <c r="J192" s="5" t="s">
        <v>1430</v>
      </c>
      <c r="K192" s="2" t="s">
        <v>1420</v>
      </c>
    </row>
    <row r="193" spans="1:11" x14ac:dyDescent="0.2">
      <c r="A193" s="3" t="s">
        <v>269</v>
      </c>
      <c r="B193" s="3" t="s">
        <v>270</v>
      </c>
      <c r="C193" s="3" t="s">
        <v>271</v>
      </c>
      <c r="D193" s="3" t="s">
        <v>1435</v>
      </c>
      <c r="E193" s="3" t="s">
        <v>1436</v>
      </c>
      <c r="F193" s="3">
        <v>1.37</v>
      </c>
      <c r="G193" s="3" t="s">
        <v>1415</v>
      </c>
      <c r="H193" s="3">
        <v>0.8</v>
      </c>
      <c r="I193" s="3">
        <v>1.5</v>
      </c>
      <c r="J193" s="3" t="s">
        <v>1416</v>
      </c>
      <c r="K193" s="3" t="s">
        <v>1417</v>
      </c>
    </row>
    <row r="194" spans="1:11" x14ac:dyDescent="0.2">
      <c r="A194" s="2" t="s">
        <v>269</v>
      </c>
      <c r="B194" s="2" t="s">
        <v>270</v>
      </c>
      <c r="C194" s="2" t="s">
        <v>271</v>
      </c>
      <c r="D194" s="2" t="s">
        <v>1440</v>
      </c>
      <c r="E194" s="2" t="s">
        <v>1441</v>
      </c>
      <c r="F194" s="2">
        <v>8.15</v>
      </c>
      <c r="G194" s="2" t="s">
        <v>1442</v>
      </c>
      <c r="H194" s="2">
        <v>4</v>
      </c>
      <c r="I194" s="2">
        <v>5.6</v>
      </c>
      <c r="J194" s="5" t="s">
        <v>1426</v>
      </c>
      <c r="K194" s="2" t="s">
        <v>1434</v>
      </c>
    </row>
    <row r="195" spans="1:11" x14ac:dyDescent="0.2">
      <c r="A195" s="3" t="s">
        <v>269</v>
      </c>
      <c r="B195" s="3" t="s">
        <v>270</v>
      </c>
      <c r="C195" s="3" t="s">
        <v>271</v>
      </c>
      <c r="D195" s="3" t="s">
        <v>1432</v>
      </c>
      <c r="E195" s="3" t="s">
        <v>1433</v>
      </c>
      <c r="F195" s="3">
        <v>1.51</v>
      </c>
      <c r="G195" s="3" t="s">
        <v>1415</v>
      </c>
      <c r="H195" s="3">
        <v>0</v>
      </c>
      <c r="I195" s="3">
        <v>3</v>
      </c>
      <c r="J195" s="3" t="s">
        <v>1416</v>
      </c>
      <c r="K195" s="3" t="s">
        <v>1431</v>
      </c>
    </row>
    <row r="196" spans="1:11" x14ac:dyDescent="0.2">
      <c r="A196" s="2" t="s">
        <v>269</v>
      </c>
      <c r="B196" s="2" t="s">
        <v>274</v>
      </c>
      <c r="C196" s="2" t="s">
        <v>275</v>
      </c>
      <c r="D196" s="2" t="s">
        <v>1448</v>
      </c>
      <c r="E196" s="2" t="s">
        <v>1449</v>
      </c>
      <c r="F196" s="2">
        <v>135.66</v>
      </c>
      <c r="G196" s="2" t="s">
        <v>1415</v>
      </c>
      <c r="H196" s="2">
        <v>136</v>
      </c>
      <c r="I196" s="2">
        <v>145</v>
      </c>
      <c r="J196" s="5" t="s">
        <v>1430</v>
      </c>
      <c r="K196" s="2" t="s">
        <v>1434</v>
      </c>
    </row>
    <row r="197" spans="1:11" x14ac:dyDescent="0.2">
      <c r="A197" s="3" t="s">
        <v>269</v>
      </c>
      <c r="B197" s="3" t="s">
        <v>274</v>
      </c>
      <c r="C197" s="3" t="s">
        <v>275</v>
      </c>
      <c r="D197" s="3" t="s">
        <v>1440</v>
      </c>
      <c r="E197" s="3" t="s">
        <v>1441</v>
      </c>
      <c r="F197" s="3">
        <v>8.48</v>
      </c>
      <c r="G197" s="3" t="s">
        <v>1442</v>
      </c>
      <c r="H197" s="3">
        <v>4</v>
      </c>
      <c r="I197" s="3">
        <v>5.6</v>
      </c>
      <c r="J197" s="5" t="s">
        <v>1426</v>
      </c>
      <c r="K197" s="3" t="s">
        <v>1417</v>
      </c>
    </row>
    <row r="198" spans="1:11" x14ac:dyDescent="0.2">
      <c r="A198" s="2" t="s">
        <v>269</v>
      </c>
      <c r="B198" s="2" t="s">
        <v>274</v>
      </c>
      <c r="C198" s="2" t="s">
        <v>275</v>
      </c>
      <c r="D198" s="2" t="s">
        <v>1455</v>
      </c>
      <c r="E198" s="2" t="s">
        <v>1456</v>
      </c>
      <c r="F198" s="2">
        <v>83.91</v>
      </c>
      <c r="G198" s="2" t="s">
        <v>1457</v>
      </c>
      <c r="H198" s="2">
        <v>40</v>
      </c>
      <c r="I198" s="2">
        <v>130</v>
      </c>
      <c r="J198" s="2" t="s">
        <v>1416</v>
      </c>
      <c r="K198" s="2" t="s">
        <v>1434</v>
      </c>
    </row>
    <row r="199" spans="1:11" x14ac:dyDescent="0.2">
      <c r="A199" s="3" t="s">
        <v>269</v>
      </c>
      <c r="B199" s="3" t="s">
        <v>274</v>
      </c>
      <c r="C199" s="3" t="s">
        <v>275</v>
      </c>
      <c r="D199" s="3" t="s">
        <v>1413</v>
      </c>
      <c r="E199" s="3" t="s">
        <v>1414</v>
      </c>
      <c r="F199" s="3">
        <v>1.72</v>
      </c>
      <c r="G199" s="3" t="s">
        <v>1415</v>
      </c>
      <c r="H199" s="3">
        <v>1</v>
      </c>
      <c r="I199" s="3">
        <v>5</v>
      </c>
      <c r="J199" s="3" t="s">
        <v>1416</v>
      </c>
      <c r="K199" s="3" t="s">
        <v>1431</v>
      </c>
    </row>
    <row r="200" spans="1:11" x14ac:dyDescent="0.2">
      <c r="A200" s="2" t="s">
        <v>269</v>
      </c>
      <c r="B200" s="2" t="s">
        <v>274</v>
      </c>
      <c r="C200" s="2" t="s">
        <v>275</v>
      </c>
      <c r="D200" s="2" t="s">
        <v>1446</v>
      </c>
      <c r="E200" s="2" t="s">
        <v>1447</v>
      </c>
      <c r="F200" s="2">
        <v>2.33</v>
      </c>
      <c r="G200" s="2" t="s">
        <v>1415</v>
      </c>
      <c r="H200" s="2">
        <v>2.1</v>
      </c>
      <c r="I200" s="2">
        <v>2.6</v>
      </c>
      <c r="J200" s="2" t="s">
        <v>1416</v>
      </c>
      <c r="K200" s="2" t="s">
        <v>1431</v>
      </c>
    </row>
    <row r="201" spans="1:11" x14ac:dyDescent="0.2">
      <c r="A201" s="3" t="s">
        <v>269</v>
      </c>
      <c r="B201" s="3" t="s">
        <v>274</v>
      </c>
      <c r="C201" s="3" t="s">
        <v>275</v>
      </c>
      <c r="D201" s="3" t="s">
        <v>1437</v>
      </c>
      <c r="E201" s="3" t="s">
        <v>1438</v>
      </c>
      <c r="F201" s="3">
        <v>8.82</v>
      </c>
      <c r="G201" s="3" t="s">
        <v>1439</v>
      </c>
      <c r="H201" s="3">
        <v>12</v>
      </c>
      <c r="I201" s="3">
        <v>17.5</v>
      </c>
      <c r="J201" s="5" t="s">
        <v>1430</v>
      </c>
      <c r="K201" s="3" t="s">
        <v>1434</v>
      </c>
    </row>
    <row r="202" spans="1:11" x14ac:dyDescent="0.2">
      <c r="A202" s="2" t="s">
        <v>269</v>
      </c>
      <c r="B202" s="2" t="s">
        <v>274</v>
      </c>
      <c r="C202" s="2" t="s">
        <v>275</v>
      </c>
      <c r="D202" s="2" t="s">
        <v>1443</v>
      </c>
      <c r="E202" s="2" t="s">
        <v>1444</v>
      </c>
      <c r="F202" s="2">
        <v>90.71</v>
      </c>
      <c r="G202" s="2" t="s">
        <v>1445</v>
      </c>
      <c r="H202" s="2">
        <v>53</v>
      </c>
      <c r="I202" s="2">
        <v>97</v>
      </c>
      <c r="J202" s="2" t="s">
        <v>1416</v>
      </c>
      <c r="K202" s="2" t="s">
        <v>1431</v>
      </c>
    </row>
    <row r="203" spans="1:11" x14ac:dyDescent="0.2">
      <c r="A203" s="3" t="s">
        <v>269</v>
      </c>
      <c r="B203" s="3" t="s">
        <v>274</v>
      </c>
      <c r="C203" s="3" t="s">
        <v>275</v>
      </c>
      <c r="D203" s="3" t="s">
        <v>1453</v>
      </c>
      <c r="E203" s="3" t="s">
        <v>1454</v>
      </c>
      <c r="F203" s="3">
        <v>6.21</v>
      </c>
      <c r="G203" s="3" t="s">
        <v>1415</v>
      </c>
      <c r="H203" s="3">
        <v>3.9</v>
      </c>
      <c r="I203" s="3">
        <v>5.5</v>
      </c>
      <c r="J203" s="5" t="s">
        <v>1426</v>
      </c>
      <c r="K203" s="3" t="s">
        <v>1434</v>
      </c>
    </row>
    <row r="204" spans="1:11" x14ac:dyDescent="0.2">
      <c r="A204" s="2" t="s">
        <v>269</v>
      </c>
      <c r="B204" s="2" t="s">
        <v>277</v>
      </c>
      <c r="C204" s="2" t="s">
        <v>278</v>
      </c>
      <c r="D204" s="2" t="s">
        <v>1450</v>
      </c>
      <c r="E204" s="2" t="s">
        <v>1451</v>
      </c>
      <c r="F204" s="2">
        <v>66.06</v>
      </c>
      <c r="G204" s="2" t="s">
        <v>1452</v>
      </c>
      <c r="H204" s="2">
        <v>60</v>
      </c>
      <c r="I204" s="2">
        <v>120</v>
      </c>
      <c r="J204" s="2" t="s">
        <v>1416</v>
      </c>
      <c r="K204" s="2" t="s">
        <v>1434</v>
      </c>
    </row>
    <row r="205" spans="1:11" x14ac:dyDescent="0.2">
      <c r="A205" s="3" t="s">
        <v>269</v>
      </c>
      <c r="B205" s="3" t="s">
        <v>277</v>
      </c>
      <c r="C205" s="3" t="s">
        <v>278</v>
      </c>
      <c r="D205" s="3" t="s">
        <v>1427</v>
      </c>
      <c r="E205" s="3" t="s">
        <v>1428</v>
      </c>
      <c r="F205" s="3">
        <v>3.25</v>
      </c>
      <c r="G205" s="3" t="s">
        <v>1429</v>
      </c>
      <c r="H205" s="3">
        <v>4</v>
      </c>
      <c r="I205" s="3">
        <v>11</v>
      </c>
      <c r="J205" s="5" t="s">
        <v>1430</v>
      </c>
      <c r="K205" s="3" t="s">
        <v>1417</v>
      </c>
    </row>
    <row r="206" spans="1:11" x14ac:dyDescent="0.2">
      <c r="A206" s="2" t="s">
        <v>269</v>
      </c>
      <c r="B206" s="2" t="s">
        <v>277</v>
      </c>
      <c r="C206" s="2" t="s">
        <v>278</v>
      </c>
      <c r="D206" s="2" t="s">
        <v>1437</v>
      </c>
      <c r="E206" s="2" t="s">
        <v>1438</v>
      </c>
      <c r="F206" s="2">
        <v>15.97</v>
      </c>
      <c r="G206" s="2" t="s">
        <v>1439</v>
      </c>
      <c r="H206" s="2">
        <v>12</v>
      </c>
      <c r="I206" s="2">
        <v>17.5</v>
      </c>
      <c r="J206" s="2" t="s">
        <v>1416</v>
      </c>
      <c r="K206" s="2" t="s">
        <v>1431</v>
      </c>
    </row>
    <row r="207" spans="1:11" x14ac:dyDescent="0.2">
      <c r="A207" s="3" t="s">
        <v>269</v>
      </c>
      <c r="B207" s="3" t="s">
        <v>277</v>
      </c>
      <c r="C207" s="3" t="s">
        <v>278</v>
      </c>
      <c r="D207" s="3" t="s">
        <v>1455</v>
      </c>
      <c r="E207" s="3" t="s">
        <v>1456</v>
      </c>
      <c r="F207" s="3">
        <v>149.88999999999999</v>
      </c>
      <c r="G207" s="3" t="s">
        <v>1457</v>
      </c>
      <c r="H207" s="3">
        <v>40</v>
      </c>
      <c r="I207" s="3">
        <v>130</v>
      </c>
      <c r="J207" s="5" t="s">
        <v>1426</v>
      </c>
      <c r="K207" s="3" t="s">
        <v>1431</v>
      </c>
    </row>
    <row r="208" spans="1:11" x14ac:dyDescent="0.2">
      <c r="A208" s="2" t="s">
        <v>269</v>
      </c>
      <c r="B208" s="2" t="s">
        <v>277</v>
      </c>
      <c r="C208" s="2" t="s">
        <v>278</v>
      </c>
      <c r="D208" s="2" t="s">
        <v>1435</v>
      </c>
      <c r="E208" s="2" t="s">
        <v>1436</v>
      </c>
      <c r="F208" s="2">
        <v>0.76</v>
      </c>
      <c r="G208" s="2" t="s">
        <v>1415</v>
      </c>
      <c r="H208" s="2">
        <v>0.8</v>
      </c>
      <c r="I208" s="2">
        <v>1.5</v>
      </c>
      <c r="J208" s="5" t="s">
        <v>1430</v>
      </c>
      <c r="K208" s="2" t="s">
        <v>1434</v>
      </c>
    </row>
    <row r="209" spans="1:11" x14ac:dyDescent="0.2">
      <c r="A209" s="3" t="s">
        <v>269</v>
      </c>
      <c r="B209" s="3" t="s">
        <v>277</v>
      </c>
      <c r="C209" s="3" t="s">
        <v>278</v>
      </c>
      <c r="D209" s="3" t="s">
        <v>1453</v>
      </c>
      <c r="E209" s="3" t="s">
        <v>1454</v>
      </c>
      <c r="F209" s="3">
        <v>6.11</v>
      </c>
      <c r="G209" s="3" t="s">
        <v>1415</v>
      </c>
      <c r="H209" s="3">
        <v>3.9</v>
      </c>
      <c r="I209" s="3">
        <v>5.5</v>
      </c>
      <c r="J209" s="5" t="s">
        <v>1426</v>
      </c>
      <c r="K209" s="3" t="s">
        <v>1434</v>
      </c>
    </row>
    <row r="210" spans="1:11" x14ac:dyDescent="0.2">
      <c r="A210" s="2" t="s">
        <v>269</v>
      </c>
      <c r="B210" s="2" t="s">
        <v>277</v>
      </c>
      <c r="C210" s="2" t="s">
        <v>278</v>
      </c>
      <c r="D210" s="2" t="s">
        <v>1418</v>
      </c>
      <c r="E210" s="2" t="s">
        <v>1419</v>
      </c>
      <c r="F210" s="2">
        <v>3.98</v>
      </c>
      <c r="G210" s="2" t="s">
        <v>1415</v>
      </c>
      <c r="H210" s="2">
        <v>3.5</v>
      </c>
      <c r="I210" s="2">
        <v>5</v>
      </c>
      <c r="J210" s="2" t="s">
        <v>1416</v>
      </c>
      <c r="K210" s="2" t="s">
        <v>1431</v>
      </c>
    </row>
    <row r="211" spans="1:11" x14ac:dyDescent="0.2">
      <c r="A211" s="3" t="s">
        <v>269</v>
      </c>
      <c r="B211" s="3" t="s">
        <v>277</v>
      </c>
      <c r="C211" s="3" t="s">
        <v>278</v>
      </c>
      <c r="D211" s="3" t="s">
        <v>1413</v>
      </c>
      <c r="E211" s="3" t="s">
        <v>1414</v>
      </c>
      <c r="F211" s="3">
        <v>1.72</v>
      </c>
      <c r="G211" s="3" t="s">
        <v>1415</v>
      </c>
      <c r="H211" s="3">
        <v>1</v>
      </c>
      <c r="I211" s="3">
        <v>5</v>
      </c>
      <c r="J211" s="3" t="s">
        <v>1416</v>
      </c>
      <c r="K211" s="3" t="s">
        <v>1434</v>
      </c>
    </row>
    <row r="212" spans="1:11" x14ac:dyDescent="0.2">
      <c r="A212" s="2" t="s">
        <v>280</v>
      </c>
      <c r="B212" s="2" t="s">
        <v>281</v>
      </c>
      <c r="C212" s="2" t="s">
        <v>248</v>
      </c>
      <c r="D212" s="2" t="s">
        <v>1455</v>
      </c>
      <c r="E212" s="2" t="s">
        <v>1456</v>
      </c>
      <c r="F212" s="2">
        <v>83.72</v>
      </c>
      <c r="G212" s="2" t="s">
        <v>1457</v>
      </c>
      <c r="H212" s="2">
        <v>40</v>
      </c>
      <c r="I212" s="2">
        <v>130</v>
      </c>
      <c r="J212" s="2" t="s">
        <v>1416</v>
      </c>
      <c r="K212" s="2" t="s">
        <v>1431</v>
      </c>
    </row>
    <row r="213" spans="1:11" x14ac:dyDescent="0.2">
      <c r="A213" s="3" t="s">
        <v>280</v>
      </c>
      <c r="B213" s="3" t="s">
        <v>281</v>
      </c>
      <c r="C213" s="3" t="s">
        <v>248</v>
      </c>
      <c r="D213" s="3" t="s">
        <v>1453</v>
      </c>
      <c r="E213" s="3" t="s">
        <v>1454</v>
      </c>
      <c r="F213" s="3">
        <v>4.22</v>
      </c>
      <c r="G213" s="3" t="s">
        <v>1415</v>
      </c>
      <c r="H213" s="3">
        <v>3.9</v>
      </c>
      <c r="I213" s="3">
        <v>5.5</v>
      </c>
      <c r="J213" s="3" t="s">
        <v>1416</v>
      </c>
      <c r="K213" s="3" t="s">
        <v>1434</v>
      </c>
    </row>
    <row r="214" spans="1:11" x14ac:dyDescent="0.2">
      <c r="A214" s="2" t="s">
        <v>280</v>
      </c>
      <c r="B214" s="2" t="s">
        <v>281</v>
      </c>
      <c r="C214" s="2" t="s">
        <v>248</v>
      </c>
      <c r="D214" s="2" t="s">
        <v>1450</v>
      </c>
      <c r="E214" s="2" t="s">
        <v>1451</v>
      </c>
      <c r="F214" s="2">
        <v>108.8</v>
      </c>
      <c r="G214" s="2" t="s">
        <v>1452</v>
      </c>
      <c r="H214" s="2">
        <v>60</v>
      </c>
      <c r="I214" s="2">
        <v>120</v>
      </c>
      <c r="J214" s="2" t="s">
        <v>1416</v>
      </c>
      <c r="K214" s="2" t="s">
        <v>1420</v>
      </c>
    </row>
    <row r="215" spans="1:11" x14ac:dyDescent="0.2">
      <c r="A215" s="3" t="s">
        <v>280</v>
      </c>
      <c r="B215" s="3" t="s">
        <v>281</v>
      </c>
      <c r="C215" s="3" t="s">
        <v>248</v>
      </c>
      <c r="D215" s="3" t="s">
        <v>1437</v>
      </c>
      <c r="E215" s="3" t="s">
        <v>1438</v>
      </c>
      <c r="F215" s="3">
        <v>13.31</v>
      </c>
      <c r="G215" s="3" t="s">
        <v>1439</v>
      </c>
      <c r="H215" s="3">
        <v>12</v>
      </c>
      <c r="I215" s="3">
        <v>17.5</v>
      </c>
      <c r="J215" s="3" t="s">
        <v>1416</v>
      </c>
      <c r="K215" s="3" t="s">
        <v>1431</v>
      </c>
    </row>
    <row r="216" spans="1:11" x14ac:dyDescent="0.2">
      <c r="A216" s="2" t="s">
        <v>280</v>
      </c>
      <c r="B216" s="2" t="s">
        <v>286</v>
      </c>
      <c r="C216" s="2" t="s">
        <v>287</v>
      </c>
      <c r="D216" s="2" t="s">
        <v>1421</v>
      </c>
      <c r="E216" s="2" t="s">
        <v>1422</v>
      </c>
      <c r="F216" s="2">
        <v>3.92</v>
      </c>
      <c r="G216" s="2" t="s">
        <v>1415</v>
      </c>
      <c r="H216" s="2">
        <v>0</v>
      </c>
      <c r="I216" s="2">
        <v>5</v>
      </c>
      <c r="J216" s="2" t="s">
        <v>1416</v>
      </c>
      <c r="K216" s="2" t="s">
        <v>1420</v>
      </c>
    </row>
    <row r="217" spans="1:11" x14ac:dyDescent="0.2">
      <c r="A217" s="3" t="s">
        <v>280</v>
      </c>
      <c r="B217" s="3" t="s">
        <v>286</v>
      </c>
      <c r="C217" s="3" t="s">
        <v>287</v>
      </c>
      <c r="D217" s="3" t="s">
        <v>1427</v>
      </c>
      <c r="E217" s="3" t="s">
        <v>1428</v>
      </c>
      <c r="F217" s="3">
        <v>5.19</v>
      </c>
      <c r="G217" s="3" t="s">
        <v>1429</v>
      </c>
      <c r="H217" s="3">
        <v>4</v>
      </c>
      <c r="I217" s="3">
        <v>11</v>
      </c>
      <c r="J217" s="3" t="s">
        <v>1416</v>
      </c>
      <c r="K217" s="3" t="s">
        <v>1417</v>
      </c>
    </row>
    <row r="218" spans="1:11" x14ac:dyDescent="0.2">
      <c r="A218" s="2" t="s">
        <v>280</v>
      </c>
      <c r="B218" s="2" t="s">
        <v>286</v>
      </c>
      <c r="C218" s="2" t="s">
        <v>287</v>
      </c>
      <c r="D218" s="2" t="s">
        <v>1418</v>
      </c>
      <c r="E218" s="2" t="s">
        <v>1419</v>
      </c>
      <c r="F218" s="2">
        <v>4.7</v>
      </c>
      <c r="G218" s="2" t="s">
        <v>1415</v>
      </c>
      <c r="H218" s="2">
        <v>3.5</v>
      </c>
      <c r="I218" s="2">
        <v>5</v>
      </c>
      <c r="J218" s="2" t="s">
        <v>1416</v>
      </c>
      <c r="K218" s="2" t="s">
        <v>1434</v>
      </c>
    </row>
    <row r="219" spans="1:11" x14ac:dyDescent="0.2">
      <c r="A219" s="3" t="s">
        <v>280</v>
      </c>
      <c r="B219" s="3" t="s">
        <v>286</v>
      </c>
      <c r="C219" s="3" t="s">
        <v>287</v>
      </c>
      <c r="D219" s="3" t="s">
        <v>1450</v>
      </c>
      <c r="E219" s="3" t="s">
        <v>1451</v>
      </c>
      <c r="F219" s="3">
        <v>59.76</v>
      </c>
      <c r="G219" s="3" t="s">
        <v>1452</v>
      </c>
      <c r="H219" s="3">
        <v>60</v>
      </c>
      <c r="I219" s="3">
        <v>120</v>
      </c>
      <c r="J219" s="5" t="s">
        <v>1430</v>
      </c>
      <c r="K219" s="3" t="s">
        <v>1417</v>
      </c>
    </row>
    <row r="220" spans="1:11" x14ac:dyDescent="0.2">
      <c r="A220" s="2" t="s">
        <v>280</v>
      </c>
      <c r="B220" s="2" t="s">
        <v>286</v>
      </c>
      <c r="C220" s="2" t="s">
        <v>287</v>
      </c>
      <c r="D220" s="2" t="s">
        <v>1453</v>
      </c>
      <c r="E220" s="2" t="s">
        <v>1454</v>
      </c>
      <c r="F220" s="2">
        <v>5.0999999999999996</v>
      </c>
      <c r="G220" s="2" t="s">
        <v>1415</v>
      </c>
      <c r="H220" s="2">
        <v>3.9</v>
      </c>
      <c r="I220" s="2">
        <v>5.5</v>
      </c>
      <c r="J220" s="2" t="s">
        <v>1416</v>
      </c>
      <c r="K220" s="2" t="s">
        <v>1420</v>
      </c>
    </row>
    <row r="221" spans="1:11" x14ac:dyDescent="0.2">
      <c r="A221" s="3" t="s">
        <v>280</v>
      </c>
      <c r="B221" s="3" t="s">
        <v>286</v>
      </c>
      <c r="C221" s="3" t="s">
        <v>287</v>
      </c>
      <c r="D221" s="3" t="s">
        <v>1455</v>
      </c>
      <c r="E221" s="3" t="s">
        <v>1456</v>
      </c>
      <c r="F221" s="3">
        <v>237.98</v>
      </c>
      <c r="G221" s="3" t="s">
        <v>1457</v>
      </c>
      <c r="H221" s="3">
        <v>40</v>
      </c>
      <c r="I221" s="3">
        <v>130</v>
      </c>
      <c r="J221" s="5" t="s">
        <v>1426</v>
      </c>
      <c r="K221" s="3" t="s">
        <v>1420</v>
      </c>
    </row>
    <row r="222" spans="1:11" x14ac:dyDescent="0.2">
      <c r="A222" s="2" t="s">
        <v>280</v>
      </c>
      <c r="B222" s="2" t="s">
        <v>286</v>
      </c>
      <c r="C222" s="2" t="s">
        <v>287</v>
      </c>
      <c r="D222" s="2" t="s">
        <v>1423</v>
      </c>
      <c r="E222" s="2" t="s">
        <v>1424</v>
      </c>
      <c r="F222" s="2">
        <v>3.13</v>
      </c>
      <c r="G222" s="2" t="s">
        <v>1425</v>
      </c>
      <c r="H222" s="2">
        <v>4.5</v>
      </c>
      <c r="I222" s="2">
        <v>5.5</v>
      </c>
      <c r="J222" s="5" t="s">
        <v>1430</v>
      </c>
      <c r="K222" s="2" t="s">
        <v>1431</v>
      </c>
    </row>
    <row r="223" spans="1:11" x14ac:dyDescent="0.2">
      <c r="A223" s="3" t="s">
        <v>280</v>
      </c>
      <c r="B223" s="3" t="s">
        <v>289</v>
      </c>
      <c r="C223" s="3" t="s">
        <v>290</v>
      </c>
      <c r="D223" s="3" t="s">
        <v>1413</v>
      </c>
      <c r="E223" s="3" t="s">
        <v>1414</v>
      </c>
      <c r="F223" s="3">
        <v>1.89</v>
      </c>
      <c r="G223" s="3" t="s">
        <v>1415</v>
      </c>
      <c r="H223" s="3">
        <v>1</v>
      </c>
      <c r="I223" s="3">
        <v>5</v>
      </c>
      <c r="J223" s="3" t="s">
        <v>1416</v>
      </c>
      <c r="K223" s="3" t="s">
        <v>1431</v>
      </c>
    </row>
    <row r="224" spans="1:11" x14ac:dyDescent="0.2">
      <c r="A224" s="2" t="s">
        <v>280</v>
      </c>
      <c r="B224" s="2" t="s">
        <v>289</v>
      </c>
      <c r="C224" s="2" t="s">
        <v>290</v>
      </c>
      <c r="D224" s="2" t="s">
        <v>1450</v>
      </c>
      <c r="E224" s="2" t="s">
        <v>1451</v>
      </c>
      <c r="F224" s="2">
        <v>43.97</v>
      </c>
      <c r="G224" s="2" t="s">
        <v>1452</v>
      </c>
      <c r="H224" s="2">
        <v>60</v>
      </c>
      <c r="I224" s="2">
        <v>120</v>
      </c>
      <c r="J224" s="5" t="s">
        <v>1430</v>
      </c>
      <c r="K224" s="2" t="s">
        <v>1434</v>
      </c>
    </row>
    <row r="225" spans="1:11" x14ac:dyDescent="0.2">
      <c r="A225" s="3" t="s">
        <v>280</v>
      </c>
      <c r="B225" s="3" t="s">
        <v>289</v>
      </c>
      <c r="C225" s="3" t="s">
        <v>290</v>
      </c>
      <c r="D225" s="3" t="s">
        <v>1423</v>
      </c>
      <c r="E225" s="3" t="s">
        <v>1424</v>
      </c>
      <c r="F225" s="3">
        <v>4.8</v>
      </c>
      <c r="G225" s="3" t="s">
        <v>1425</v>
      </c>
      <c r="H225" s="3">
        <v>4.5</v>
      </c>
      <c r="I225" s="3">
        <v>5.5</v>
      </c>
      <c r="J225" s="3" t="s">
        <v>1416</v>
      </c>
      <c r="K225" s="3" t="s">
        <v>1417</v>
      </c>
    </row>
    <row r="226" spans="1:11" x14ac:dyDescent="0.2">
      <c r="A226" s="2" t="s">
        <v>280</v>
      </c>
      <c r="B226" s="2" t="s">
        <v>289</v>
      </c>
      <c r="C226" s="2" t="s">
        <v>290</v>
      </c>
      <c r="D226" s="2" t="s">
        <v>1448</v>
      </c>
      <c r="E226" s="2" t="s">
        <v>1449</v>
      </c>
      <c r="F226" s="2">
        <v>143.16999999999999</v>
      </c>
      <c r="G226" s="2" t="s">
        <v>1415</v>
      </c>
      <c r="H226" s="2">
        <v>136</v>
      </c>
      <c r="I226" s="2">
        <v>145</v>
      </c>
      <c r="J226" s="2" t="s">
        <v>1416</v>
      </c>
      <c r="K226" s="2" t="s">
        <v>1431</v>
      </c>
    </row>
    <row r="227" spans="1:11" x14ac:dyDescent="0.2">
      <c r="A227" s="3" t="s">
        <v>280</v>
      </c>
      <c r="B227" s="3" t="s">
        <v>289</v>
      </c>
      <c r="C227" s="3" t="s">
        <v>290</v>
      </c>
      <c r="D227" s="3" t="s">
        <v>1453</v>
      </c>
      <c r="E227" s="3" t="s">
        <v>1454</v>
      </c>
      <c r="F227" s="3">
        <v>5.66</v>
      </c>
      <c r="G227" s="3" t="s">
        <v>1415</v>
      </c>
      <c r="H227" s="3">
        <v>3.9</v>
      </c>
      <c r="I227" s="3">
        <v>5.5</v>
      </c>
      <c r="J227" s="5" t="s">
        <v>1426</v>
      </c>
      <c r="K227" s="3" t="s">
        <v>1420</v>
      </c>
    </row>
    <row r="228" spans="1:11" x14ac:dyDescent="0.2">
      <c r="A228" s="2" t="s">
        <v>280</v>
      </c>
      <c r="B228" s="2" t="s">
        <v>289</v>
      </c>
      <c r="C228" s="2" t="s">
        <v>290</v>
      </c>
      <c r="D228" s="2" t="s">
        <v>1427</v>
      </c>
      <c r="E228" s="2" t="s">
        <v>1428</v>
      </c>
      <c r="F228" s="2">
        <v>17.66</v>
      </c>
      <c r="G228" s="2" t="s">
        <v>1429</v>
      </c>
      <c r="H228" s="2">
        <v>4</v>
      </c>
      <c r="I228" s="2">
        <v>11</v>
      </c>
      <c r="J228" s="5" t="s">
        <v>1426</v>
      </c>
      <c r="K228" s="2" t="s">
        <v>1417</v>
      </c>
    </row>
    <row r="229" spans="1:11" x14ac:dyDescent="0.2">
      <c r="A229" s="3" t="s">
        <v>280</v>
      </c>
      <c r="B229" s="3" t="s">
        <v>292</v>
      </c>
      <c r="C229" s="3" t="s">
        <v>293</v>
      </c>
      <c r="D229" s="3" t="s">
        <v>1432</v>
      </c>
      <c r="E229" s="3" t="s">
        <v>1433</v>
      </c>
      <c r="F229" s="3">
        <v>4.67</v>
      </c>
      <c r="G229" s="3" t="s">
        <v>1415</v>
      </c>
      <c r="H229" s="3">
        <v>0</v>
      </c>
      <c r="I229" s="3">
        <v>3</v>
      </c>
      <c r="J229" s="5" t="s">
        <v>1426</v>
      </c>
      <c r="K229" s="3" t="s">
        <v>1417</v>
      </c>
    </row>
    <row r="230" spans="1:11" x14ac:dyDescent="0.2">
      <c r="A230" s="2" t="s">
        <v>280</v>
      </c>
      <c r="B230" s="2" t="s">
        <v>292</v>
      </c>
      <c r="C230" s="2" t="s">
        <v>293</v>
      </c>
      <c r="D230" s="2" t="s">
        <v>1443</v>
      </c>
      <c r="E230" s="2" t="s">
        <v>1444</v>
      </c>
      <c r="F230" s="2">
        <v>70.290000000000006</v>
      </c>
      <c r="G230" s="2" t="s">
        <v>1445</v>
      </c>
      <c r="H230" s="2">
        <v>53</v>
      </c>
      <c r="I230" s="2">
        <v>97</v>
      </c>
      <c r="J230" s="2" t="s">
        <v>1416</v>
      </c>
      <c r="K230" s="2" t="s">
        <v>1431</v>
      </c>
    </row>
    <row r="231" spans="1:11" x14ac:dyDescent="0.2">
      <c r="A231" s="3" t="s">
        <v>280</v>
      </c>
      <c r="B231" s="3" t="s">
        <v>292</v>
      </c>
      <c r="C231" s="3" t="s">
        <v>293</v>
      </c>
      <c r="D231" s="3" t="s">
        <v>1423</v>
      </c>
      <c r="E231" s="3" t="s">
        <v>1424</v>
      </c>
      <c r="F231" s="3">
        <v>4.51</v>
      </c>
      <c r="G231" s="3" t="s">
        <v>1425</v>
      </c>
      <c r="H231" s="3">
        <v>4.5</v>
      </c>
      <c r="I231" s="3">
        <v>5.5</v>
      </c>
      <c r="J231" s="3" t="s">
        <v>1416</v>
      </c>
      <c r="K231" s="3" t="s">
        <v>1434</v>
      </c>
    </row>
    <row r="232" spans="1:11" x14ac:dyDescent="0.2">
      <c r="A232" s="2" t="s">
        <v>280</v>
      </c>
      <c r="B232" s="2" t="s">
        <v>295</v>
      </c>
      <c r="C232" s="2" t="s">
        <v>296</v>
      </c>
      <c r="D232" s="2" t="s">
        <v>1443</v>
      </c>
      <c r="E232" s="2" t="s">
        <v>1444</v>
      </c>
      <c r="F232" s="2">
        <v>67.349999999999994</v>
      </c>
      <c r="G232" s="2" t="s">
        <v>1445</v>
      </c>
      <c r="H232" s="2">
        <v>53</v>
      </c>
      <c r="I232" s="2">
        <v>97</v>
      </c>
      <c r="J232" s="2" t="s">
        <v>1416</v>
      </c>
      <c r="K232" s="2" t="s">
        <v>1417</v>
      </c>
    </row>
    <row r="233" spans="1:11" x14ac:dyDescent="0.2">
      <c r="A233" s="3" t="s">
        <v>280</v>
      </c>
      <c r="B233" s="3" t="s">
        <v>295</v>
      </c>
      <c r="C233" s="3" t="s">
        <v>296</v>
      </c>
      <c r="D233" s="3" t="s">
        <v>1423</v>
      </c>
      <c r="E233" s="3" t="s">
        <v>1424</v>
      </c>
      <c r="F233" s="3">
        <v>5.27</v>
      </c>
      <c r="G233" s="3" t="s">
        <v>1425</v>
      </c>
      <c r="H233" s="3">
        <v>4.5</v>
      </c>
      <c r="I233" s="3">
        <v>5.5</v>
      </c>
      <c r="J233" s="3" t="s">
        <v>1416</v>
      </c>
      <c r="K233" s="3" t="s">
        <v>1434</v>
      </c>
    </row>
    <row r="234" spans="1:11" x14ac:dyDescent="0.2">
      <c r="A234" s="2" t="s">
        <v>280</v>
      </c>
      <c r="B234" s="2" t="s">
        <v>295</v>
      </c>
      <c r="C234" s="2" t="s">
        <v>296</v>
      </c>
      <c r="D234" s="2" t="s">
        <v>1450</v>
      </c>
      <c r="E234" s="2" t="s">
        <v>1451</v>
      </c>
      <c r="F234" s="2">
        <v>21.89</v>
      </c>
      <c r="G234" s="2" t="s">
        <v>1452</v>
      </c>
      <c r="H234" s="2">
        <v>60</v>
      </c>
      <c r="I234" s="2">
        <v>120</v>
      </c>
      <c r="J234" s="5" t="s">
        <v>1430</v>
      </c>
      <c r="K234" s="2" t="s">
        <v>1420</v>
      </c>
    </row>
    <row r="235" spans="1:11" x14ac:dyDescent="0.2">
      <c r="A235" s="3" t="s">
        <v>280</v>
      </c>
      <c r="B235" s="3" t="s">
        <v>295</v>
      </c>
      <c r="C235" s="3" t="s">
        <v>296</v>
      </c>
      <c r="D235" s="3" t="s">
        <v>1453</v>
      </c>
      <c r="E235" s="3" t="s">
        <v>1454</v>
      </c>
      <c r="F235" s="3">
        <v>6.49</v>
      </c>
      <c r="G235" s="3" t="s">
        <v>1415</v>
      </c>
      <c r="H235" s="3">
        <v>3.9</v>
      </c>
      <c r="I235" s="3">
        <v>5.5</v>
      </c>
      <c r="J235" s="5" t="s">
        <v>1426</v>
      </c>
      <c r="K235" s="3" t="s">
        <v>1431</v>
      </c>
    </row>
    <row r="236" spans="1:11" x14ac:dyDescent="0.2">
      <c r="A236" s="2" t="s">
        <v>280</v>
      </c>
      <c r="B236" s="2" t="s">
        <v>298</v>
      </c>
      <c r="C236" s="2" t="s">
        <v>299</v>
      </c>
      <c r="D236" s="2" t="s">
        <v>1418</v>
      </c>
      <c r="E236" s="2" t="s">
        <v>1419</v>
      </c>
      <c r="F236" s="2">
        <v>3.75</v>
      </c>
      <c r="G236" s="2" t="s">
        <v>1415</v>
      </c>
      <c r="H236" s="2">
        <v>3.5</v>
      </c>
      <c r="I236" s="2">
        <v>5</v>
      </c>
      <c r="J236" s="2" t="s">
        <v>1416</v>
      </c>
      <c r="K236" s="2" t="s">
        <v>1417</v>
      </c>
    </row>
    <row r="237" spans="1:11" x14ac:dyDescent="0.2">
      <c r="A237" s="3" t="s">
        <v>280</v>
      </c>
      <c r="B237" s="3" t="s">
        <v>298</v>
      </c>
      <c r="C237" s="3" t="s">
        <v>299</v>
      </c>
      <c r="D237" s="3" t="s">
        <v>1421</v>
      </c>
      <c r="E237" s="3" t="s">
        <v>1422</v>
      </c>
      <c r="F237" s="3">
        <v>6.46</v>
      </c>
      <c r="G237" s="3" t="s">
        <v>1415</v>
      </c>
      <c r="H237" s="3">
        <v>0</v>
      </c>
      <c r="I237" s="3">
        <v>5</v>
      </c>
      <c r="J237" s="5" t="s">
        <v>1426</v>
      </c>
      <c r="K237" s="3" t="s">
        <v>1420</v>
      </c>
    </row>
    <row r="238" spans="1:11" x14ac:dyDescent="0.2">
      <c r="A238" s="2" t="s">
        <v>280</v>
      </c>
      <c r="B238" s="2" t="s">
        <v>298</v>
      </c>
      <c r="C238" s="2" t="s">
        <v>299</v>
      </c>
      <c r="D238" s="2" t="s">
        <v>1437</v>
      </c>
      <c r="E238" s="2" t="s">
        <v>1438</v>
      </c>
      <c r="F238" s="2">
        <v>7.75</v>
      </c>
      <c r="G238" s="2" t="s">
        <v>1439</v>
      </c>
      <c r="H238" s="2">
        <v>12</v>
      </c>
      <c r="I238" s="2">
        <v>17.5</v>
      </c>
      <c r="J238" s="5" t="s">
        <v>1430</v>
      </c>
      <c r="K238" s="2" t="s">
        <v>1420</v>
      </c>
    </row>
    <row r="239" spans="1:11" x14ac:dyDescent="0.2">
      <c r="A239" s="3" t="s">
        <v>280</v>
      </c>
      <c r="B239" s="3" t="s">
        <v>298</v>
      </c>
      <c r="C239" s="3" t="s">
        <v>299</v>
      </c>
      <c r="D239" s="3" t="s">
        <v>1443</v>
      </c>
      <c r="E239" s="3" t="s">
        <v>1444</v>
      </c>
      <c r="F239" s="3">
        <v>80.739999999999995</v>
      </c>
      <c r="G239" s="3" t="s">
        <v>1445</v>
      </c>
      <c r="H239" s="3">
        <v>53</v>
      </c>
      <c r="I239" s="3">
        <v>97</v>
      </c>
      <c r="J239" s="3" t="s">
        <v>1416</v>
      </c>
      <c r="K239" s="3" t="s">
        <v>1434</v>
      </c>
    </row>
    <row r="240" spans="1:11" x14ac:dyDescent="0.2">
      <c r="A240" s="2" t="s">
        <v>301</v>
      </c>
      <c r="B240" s="2" t="s">
        <v>302</v>
      </c>
      <c r="C240" s="2" t="s">
        <v>303</v>
      </c>
      <c r="D240" s="2" t="s">
        <v>1450</v>
      </c>
      <c r="E240" s="2" t="s">
        <v>1451</v>
      </c>
      <c r="F240" s="2">
        <v>54.41</v>
      </c>
      <c r="G240" s="2" t="s">
        <v>1452</v>
      </c>
      <c r="H240" s="2">
        <v>60</v>
      </c>
      <c r="I240" s="2">
        <v>120</v>
      </c>
      <c r="J240" s="5" t="s">
        <v>1430</v>
      </c>
      <c r="K240" s="2" t="s">
        <v>1431</v>
      </c>
    </row>
    <row r="241" spans="1:11" x14ac:dyDescent="0.2">
      <c r="A241" s="3" t="s">
        <v>301</v>
      </c>
      <c r="B241" s="3" t="s">
        <v>302</v>
      </c>
      <c r="C241" s="3" t="s">
        <v>303</v>
      </c>
      <c r="D241" s="3" t="s">
        <v>1418</v>
      </c>
      <c r="E241" s="3" t="s">
        <v>1419</v>
      </c>
      <c r="F241" s="3">
        <v>4.4400000000000004</v>
      </c>
      <c r="G241" s="3" t="s">
        <v>1415</v>
      </c>
      <c r="H241" s="3">
        <v>3.5</v>
      </c>
      <c r="I241" s="3">
        <v>5</v>
      </c>
      <c r="J241" s="3" t="s">
        <v>1416</v>
      </c>
      <c r="K241" s="3" t="s">
        <v>1431</v>
      </c>
    </row>
    <row r="242" spans="1:11" x14ac:dyDescent="0.2">
      <c r="A242" s="2" t="s">
        <v>301</v>
      </c>
      <c r="B242" s="2" t="s">
        <v>302</v>
      </c>
      <c r="C242" s="2" t="s">
        <v>303</v>
      </c>
      <c r="D242" s="2" t="s">
        <v>1437</v>
      </c>
      <c r="E242" s="2" t="s">
        <v>1438</v>
      </c>
      <c r="F242" s="2">
        <v>16.420000000000002</v>
      </c>
      <c r="G242" s="2" t="s">
        <v>1439</v>
      </c>
      <c r="H242" s="2">
        <v>12</v>
      </c>
      <c r="I242" s="2">
        <v>17.5</v>
      </c>
      <c r="J242" s="2" t="s">
        <v>1416</v>
      </c>
      <c r="K242" s="2" t="s">
        <v>1431</v>
      </c>
    </row>
    <row r="243" spans="1:11" x14ac:dyDescent="0.2">
      <c r="A243" s="3" t="s">
        <v>301</v>
      </c>
      <c r="B243" s="3" t="s">
        <v>302</v>
      </c>
      <c r="C243" s="3" t="s">
        <v>303</v>
      </c>
      <c r="D243" s="3" t="s">
        <v>1413</v>
      </c>
      <c r="E243" s="3" t="s">
        <v>1414</v>
      </c>
      <c r="F243" s="3">
        <v>1.61</v>
      </c>
      <c r="G243" s="3" t="s">
        <v>1415</v>
      </c>
      <c r="H243" s="3">
        <v>1</v>
      </c>
      <c r="I243" s="3">
        <v>5</v>
      </c>
      <c r="J243" s="3" t="s">
        <v>1416</v>
      </c>
      <c r="K243" s="3" t="s">
        <v>1417</v>
      </c>
    </row>
    <row r="244" spans="1:11" x14ac:dyDescent="0.2">
      <c r="A244" s="2" t="s">
        <v>301</v>
      </c>
      <c r="B244" s="2" t="s">
        <v>302</v>
      </c>
      <c r="C244" s="2" t="s">
        <v>303</v>
      </c>
      <c r="D244" s="2" t="s">
        <v>1443</v>
      </c>
      <c r="E244" s="2" t="s">
        <v>1444</v>
      </c>
      <c r="F244" s="2">
        <v>75.86</v>
      </c>
      <c r="G244" s="2" t="s">
        <v>1445</v>
      </c>
      <c r="H244" s="2">
        <v>53</v>
      </c>
      <c r="I244" s="2">
        <v>97</v>
      </c>
      <c r="J244" s="2" t="s">
        <v>1416</v>
      </c>
      <c r="K244" s="2" t="s">
        <v>1431</v>
      </c>
    </row>
    <row r="245" spans="1:11" x14ac:dyDescent="0.2">
      <c r="A245" s="3" t="s">
        <v>301</v>
      </c>
      <c r="B245" s="3" t="s">
        <v>302</v>
      </c>
      <c r="C245" s="3" t="s">
        <v>303</v>
      </c>
      <c r="D245" s="3" t="s">
        <v>1421</v>
      </c>
      <c r="E245" s="3" t="s">
        <v>1422</v>
      </c>
      <c r="F245" s="3">
        <v>5.27</v>
      </c>
      <c r="G245" s="3" t="s">
        <v>1415</v>
      </c>
      <c r="H245" s="3">
        <v>0</v>
      </c>
      <c r="I245" s="3">
        <v>5</v>
      </c>
      <c r="J245" s="5" t="s">
        <v>1426</v>
      </c>
      <c r="K245" s="3" t="s">
        <v>1434</v>
      </c>
    </row>
    <row r="246" spans="1:11" x14ac:dyDescent="0.2">
      <c r="A246" s="2" t="s">
        <v>301</v>
      </c>
      <c r="B246" s="2" t="s">
        <v>302</v>
      </c>
      <c r="C246" s="2" t="s">
        <v>303</v>
      </c>
      <c r="D246" s="2" t="s">
        <v>1432</v>
      </c>
      <c r="E246" s="2" t="s">
        <v>1433</v>
      </c>
      <c r="F246" s="2">
        <v>1.45</v>
      </c>
      <c r="G246" s="2" t="s">
        <v>1415</v>
      </c>
      <c r="H246" s="2">
        <v>0</v>
      </c>
      <c r="I246" s="2">
        <v>3</v>
      </c>
      <c r="J246" s="2" t="s">
        <v>1416</v>
      </c>
      <c r="K246" s="2" t="s">
        <v>1417</v>
      </c>
    </row>
    <row r="247" spans="1:11" x14ac:dyDescent="0.2">
      <c r="A247" s="3" t="s">
        <v>301</v>
      </c>
      <c r="B247" s="3" t="s">
        <v>308</v>
      </c>
      <c r="C247" s="3" t="s">
        <v>309</v>
      </c>
      <c r="D247" s="3" t="s">
        <v>1421</v>
      </c>
      <c r="E247" s="3" t="s">
        <v>1422</v>
      </c>
      <c r="F247" s="3">
        <v>7.47</v>
      </c>
      <c r="G247" s="3" t="s">
        <v>1415</v>
      </c>
      <c r="H247" s="3">
        <v>0</v>
      </c>
      <c r="I247" s="3">
        <v>5</v>
      </c>
      <c r="J247" s="5" t="s">
        <v>1426</v>
      </c>
      <c r="K247" s="3" t="s">
        <v>1431</v>
      </c>
    </row>
    <row r="248" spans="1:11" x14ac:dyDescent="0.2">
      <c r="A248" s="2" t="s">
        <v>301</v>
      </c>
      <c r="B248" s="2" t="s">
        <v>308</v>
      </c>
      <c r="C248" s="2" t="s">
        <v>309</v>
      </c>
      <c r="D248" s="2" t="s">
        <v>1443</v>
      </c>
      <c r="E248" s="2" t="s">
        <v>1444</v>
      </c>
      <c r="F248" s="2">
        <v>60.02</v>
      </c>
      <c r="G248" s="2" t="s">
        <v>1445</v>
      </c>
      <c r="H248" s="2">
        <v>53</v>
      </c>
      <c r="I248" s="2">
        <v>97</v>
      </c>
      <c r="J248" s="2" t="s">
        <v>1416</v>
      </c>
      <c r="K248" s="2" t="s">
        <v>1431</v>
      </c>
    </row>
    <row r="249" spans="1:11" x14ac:dyDescent="0.2">
      <c r="A249" s="3" t="s">
        <v>301</v>
      </c>
      <c r="B249" s="3" t="s">
        <v>308</v>
      </c>
      <c r="C249" s="3" t="s">
        <v>309</v>
      </c>
      <c r="D249" s="3" t="s">
        <v>1437</v>
      </c>
      <c r="E249" s="3" t="s">
        <v>1438</v>
      </c>
      <c r="F249" s="3">
        <v>13.7</v>
      </c>
      <c r="G249" s="3" t="s">
        <v>1439</v>
      </c>
      <c r="H249" s="3">
        <v>12</v>
      </c>
      <c r="I249" s="3">
        <v>17.5</v>
      </c>
      <c r="J249" s="3" t="s">
        <v>1416</v>
      </c>
      <c r="K249" s="3" t="s">
        <v>1431</v>
      </c>
    </row>
    <row r="250" spans="1:11" x14ac:dyDescent="0.2">
      <c r="A250" s="2" t="s">
        <v>311</v>
      </c>
      <c r="B250" s="2" t="s">
        <v>312</v>
      </c>
      <c r="C250" s="2" t="s">
        <v>313</v>
      </c>
      <c r="D250" s="2" t="s">
        <v>1427</v>
      </c>
      <c r="E250" s="2" t="s">
        <v>1428</v>
      </c>
      <c r="F250" s="2">
        <v>9.74</v>
      </c>
      <c r="G250" s="2" t="s">
        <v>1429</v>
      </c>
      <c r="H250" s="2">
        <v>4</v>
      </c>
      <c r="I250" s="2">
        <v>11</v>
      </c>
      <c r="J250" s="2" t="s">
        <v>1416</v>
      </c>
      <c r="K250" s="2" t="s">
        <v>1431</v>
      </c>
    </row>
    <row r="251" spans="1:11" x14ac:dyDescent="0.2">
      <c r="A251" s="3" t="s">
        <v>311</v>
      </c>
      <c r="B251" s="3" t="s">
        <v>312</v>
      </c>
      <c r="C251" s="3" t="s">
        <v>313</v>
      </c>
      <c r="D251" s="3" t="s">
        <v>1453</v>
      </c>
      <c r="E251" s="3" t="s">
        <v>1454</v>
      </c>
      <c r="F251" s="3">
        <v>7.61</v>
      </c>
      <c r="G251" s="3" t="s">
        <v>1415</v>
      </c>
      <c r="H251" s="3">
        <v>3.9</v>
      </c>
      <c r="I251" s="3">
        <v>5.5</v>
      </c>
      <c r="J251" s="5" t="s">
        <v>1426</v>
      </c>
      <c r="K251" s="3" t="s">
        <v>1431</v>
      </c>
    </row>
    <row r="252" spans="1:11" x14ac:dyDescent="0.2">
      <c r="A252" s="2" t="s">
        <v>311</v>
      </c>
      <c r="B252" s="2" t="s">
        <v>312</v>
      </c>
      <c r="C252" s="2" t="s">
        <v>313</v>
      </c>
      <c r="D252" s="2" t="s">
        <v>1418</v>
      </c>
      <c r="E252" s="2" t="s">
        <v>1419</v>
      </c>
      <c r="F252" s="2">
        <v>4.18</v>
      </c>
      <c r="G252" s="2" t="s">
        <v>1415</v>
      </c>
      <c r="H252" s="2">
        <v>3.5</v>
      </c>
      <c r="I252" s="2">
        <v>5</v>
      </c>
      <c r="J252" s="2" t="s">
        <v>1416</v>
      </c>
      <c r="K252" s="2" t="s">
        <v>1431</v>
      </c>
    </row>
    <row r="253" spans="1:11" x14ac:dyDescent="0.2">
      <c r="A253" s="3" t="s">
        <v>311</v>
      </c>
      <c r="B253" s="3" t="s">
        <v>312</v>
      </c>
      <c r="C253" s="3" t="s">
        <v>313</v>
      </c>
      <c r="D253" s="3" t="s">
        <v>1435</v>
      </c>
      <c r="E253" s="3" t="s">
        <v>1436</v>
      </c>
      <c r="F253" s="3">
        <v>0.89</v>
      </c>
      <c r="G253" s="3" t="s">
        <v>1415</v>
      </c>
      <c r="H253" s="3">
        <v>0.8</v>
      </c>
      <c r="I253" s="3">
        <v>1.5</v>
      </c>
      <c r="J253" s="3" t="s">
        <v>1416</v>
      </c>
      <c r="K253" s="3" t="s">
        <v>1417</v>
      </c>
    </row>
    <row r="254" spans="1:11" x14ac:dyDescent="0.2">
      <c r="A254" s="2" t="s">
        <v>311</v>
      </c>
      <c r="B254" s="2" t="s">
        <v>319</v>
      </c>
      <c r="C254" s="2" t="s">
        <v>313</v>
      </c>
      <c r="D254" s="2" t="s">
        <v>1421</v>
      </c>
      <c r="E254" s="2" t="s">
        <v>1422</v>
      </c>
      <c r="F254" s="2">
        <v>4.17</v>
      </c>
      <c r="G254" s="2" t="s">
        <v>1415</v>
      </c>
      <c r="H254" s="2">
        <v>0</v>
      </c>
      <c r="I254" s="2">
        <v>5</v>
      </c>
      <c r="J254" s="2" t="s">
        <v>1416</v>
      </c>
      <c r="K254" s="2" t="s">
        <v>1417</v>
      </c>
    </row>
    <row r="255" spans="1:11" x14ac:dyDescent="0.2">
      <c r="A255" s="3" t="s">
        <v>311</v>
      </c>
      <c r="B255" s="3" t="s">
        <v>319</v>
      </c>
      <c r="C255" s="3" t="s">
        <v>313</v>
      </c>
      <c r="D255" s="3" t="s">
        <v>1413</v>
      </c>
      <c r="E255" s="3" t="s">
        <v>1414</v>
      </c>
      <c r="F255" s="3">
        <v>1.33</v>
      </c>
      <c r="G255" s="3" t="s">
        <v>1415</v>
      </c>
      <c r="H255" s="3">
        <v>1</v>
      </c>
      <c r="I255" s="3">
        <v>5</v>
      </c>
      <c r="J255" s="3" t="s">
        <v>1416</v>
      </c>
      <c r="K255" s="3" t="s">
        <v>1417</v>
      </c>
    </row>
    <row r="256" spans="1:11" x14ac:dyDescent="0.2">
      <c r="A256" s="2" t="s">
        <v>311</v>
      </c>
      <c r="B256" s="2" t="s">
        <v>319</v>
      </c>
      <c r="C256" s="2" t="s">
        <v>313</v>
      </c>
      <c r="D256" s="2" t="s">
        <v>1450</v>
      </c>
      <c r="E256" s="2" t="s">
        <v>1451</v>
      </c>
      <c r="F256" s="2">
        <v>102.44</v>
      </c>
      <c r="G256" s="2" t="s">
        <v>1452</v>
      </c>
      <c r="H256" s="2">
        <v>60</v>
      </c>
      <c r="I256" s="2">
        <v>120</v>
      </c>
      <c r="J256" s="2" t="s">
        <v>1416</v>
      </c>
      <c r="K256" s="2" t="s">
        <v>1417</v>
      </c>
    </row>
    <row r="257" spans="1:11" x14ac:dyDescent="0.2">
      <c r="A257" s="3" t="s">
        <v>311</v>
      </c>
      <c r="B257" s="3" t="s">
        <v>319</v>
      </c>
      <c r="C257" s="3" t="s">
        <v>313</v>
      </c>
      <c r="D257" s="3" t="s">
        <v>1448</v>
      </c>
      <c r="E257" s="3" t="s">
        <v>1449</v>
      </c>
      <c r="F257" s="3">
        <v>133.30000000000001</v>
      </c>
      <c r="G257" s="3" t="s">
        <v>1415</v>
      </c>
      <c r="H257" s="3">
        <v>136</v>
      </c>
      <c r="I257" s="3">
        <v>145</v>
      </c>
      <c r="J257" s="5" t="s">
        <v>1430</v>
      </c>
      <c r="K257" s="3" t="s">
        <v>1417</v>
      </c>
    </row>
    <row r="258" spans="1:11" x14ac:dyDescent="0.2">
      <c r="A258" s="2" t="s">
        <v>311</v>
      </c>
      <c r="B258" s="2" t="s">
        <v>319</v>
      </c>
      <c r="C258" s="2" t="s">
        <v>313</v>
      </c>
      <c r="D258" s="2" t="s">
        <v>1453</v>
      </c>
      <c r="E258" s="2" t="s">
        <v>1454</v>
      </c>
      <c r="F258" s="2">
        <v>6.14</v>
      </c>
      <c r="G258" s="2" t="s">
        <v>1415</v>
      </c>
      <c r="H258" s="2">
        <v>3.9</v>
      </c>
      <c r="I258" s="2">
        <v>5.5</v>
      </c>
      <c r="J258" s="5" t="s">
        <v>1426</v>
      </c>
      <c r="K258" s="2" t="s">
        <v>1434</v>
      </c>
    </row>
    <row r="259" spans="1:11" x14ac:dyDescent="0.2">
      <c r="A259" s="3" t="s">
        <v>311</v>
      </c>
      <c r="B259" s="3" t="s">
        <v>319</v>
      </c>
      <c r="C259" s="3" t="s">
        <v>313</v>
      </c>
      <c r="D259" s="3" t="s">
        <v>1432</v>
      </c>
      <c r="E259" s="3" t="s">
        <v>1433</v>
      </c>
      <c r="F259" s="3">
        <v>4.08</v>
      </c>
      <c r="G259" s="3" t="s">
        <v>1415</v>
      </c>
      <c r="H259" s="3">
        <v>0</v>
      </c>
      <c r="I259" s="3">
        <v>3</v>
      </c>
      <c r="J259" s="5" t="s">
        <v>1426</v>
      </c>
      <c r="K259" s="3" t="s">
        <v>1420</v>
      </c>
    </row>
    <row r="260" spans="1:11" x14ac:dyDescent="0.2">
      <c r="A260" s="2" t="s">
        <v>311</v>
      </c>
      <c r="B260" s="2" t="s">
        <v>319</v>
      </c>
      <c r="C260" s="2" t="s">
        <v>313</v>
      </c>
      <c r="D260" s="2" t="s">
        <v>1418</v>
      </c>
      <c r="E260" s="2" t="s">
        <v>1419</v>
      </c>
      <c r="F260" s="2">
        <v>4.57</v>
      </c>
      <c r="G260" s="2" t="s">
        <v>1415</v>
      </c>
      <c r="H260" s="2">
        <v>3.5</v>
      </c>
      <c r="I260" s="2">
        <v>5</v>
      </c>
      <c r="J260" s="2" t="s">
        <v>1416</v>
      </c>
      <c r="K260" s="2" t="s">
        <v>1431</v>
      </c>
    </row>
    <row r="261" spans="1:11" x14ac:dyDescent="0.2">
      <c r="A261" s="3" t="s">
        <v>311</v>
      </c>
      <c r="B261" s="3" t="s">
        <v>319</v>
      </c>
      <c r="C261" s="3" t="s">
        <v>313</v>
      </c>
      <c r="D261" s="3" t="s">
        <v>1427</v>
      </c>
      <c r="E261" s="3" t="s">
        <v>1428</v>
      </c>
      <c r="F261" s="3">
        <v>11.07</v>
      </c>
      <c r="G261" s="3" t="s">
        <v>1429</v>
      </c>
      <c r="H261" s="3">
        <v>4</v>
      </c>
      <c r="I261" s="3">
        <v>11</v>
      </c>
      <c r="J261" s="5" t="s">
        <v>1426</v>
      </c>
      <c r="K261" s="3" t="s">
        <v>1431</v>
      </c>
    </row>
    <row r="262" spans="1:11" x14ac:dyDescent="0.2">
      <c r="A262" s="2" t="s">
        <v>311</v>
      </c>
      <c r="B262" s="2" t="s">
        <v>321</v>
      </c>
      <c r="C262" s="2" t="s">
        <v>313</v>
      </c>
      <c r="D262" s="2" t="s">
        <v>1418</v>
      </c>
      <c r="E262" s="2" t="s">
        <v>1419</v>
      </c>
      <c r="F262" s="2">
        <v>4.0599999999999996</v>
      </c>
      <c r="G262" s="2" t="s">
        <v>1415</v>
      </c>
      <c r="H262" s="2">
        <v>3.5</v>
      </c>
      <c r="I262" s="2">
        <v>5</v>
      </c>
      <c r="J262" s="2" t="s">
        <v>1416</v>
      </c>
      <c r="K262" s="2" t="s">
        <v>1417</v>
      </c>
    </row>
    <row r="263" spans="1:11" x14ac:dyDescent="0.2">
      <c r="A263" s="3" t="s">
        <v>311</v>
      </c>
      <c r="B263" s="3" t="s">
        <v>321</v>
      </c>
      <c r="C263" s="3" t="s">
        <v>313</v>
      </c>
      <c r="D263" s="3" t="s">
        <v>1448</v>
      </c>
      <c r="E263" s="3" t="s">
        <v>1449</v>
      </c>
      <c r="F263" s="3">
        <v>134.08000000000001</v>
      </c>
      <c r="G263" s="3" t="s">
        <v>1415</v>
      </c>
      <c r="H263" s="3">
        <v>136</v>
      </c>
      <c r="I263" s="3">
        <v>145</v>
      </c>
      <c r="J263" s="5" t="s">
        <v>1430</v>
      </c>
      <c r="K263" s="3" t="s">
        <v>1431</v>
      </c>
    </row>
    <row r="264" spans="1:11" x14ac:dyDescent="0.2">
      <c r="A264" s="2" t="s">
        <v>311</v>
      </c>
      <c r="B264" s="2" t="s">
        <v>321</v>
      </c>
      <c r="C264" s="2" t="s">
        <v>313</v>
      </c>
      <c r="D264" s="2" t="s">
        <v>1413</v>
      </c>
      <c r="E264" s="2" t="s">
        <v>1414</v>
      </c>
      <c r="F264" s="2">
        <v>1.77</v>
      </c>
      <c r="G264" s="2" t="s">
        <v>1415</v>
      </c>
      <c r="H264" s="2">
        <v>1</v>
      </c>
      <c r="I264" s="2">
        <v>5</v>
      </c>
      <c r="J264" s="2" t="s">
        <v>1416</v>
      </c>
      <c r="K264" s="2" t="s">
        <v>1431</v>
      </c>
    </row>
    <row r="265" spans="1:11" x14ac:dyDescent="0.2">
      <c r="A265" s="3" t="s">
        <v>311</v>
      </c>
      <c r="B265" s="3" t="s">
        <v>321</v>
      </c>
      <c r="C265" s="3" t="s">
        <v>313</v>
      </c>
      <c r="D265" s="3" t="s">
        <v>1446</v>
      </c>
      <c r="E265" s="3" t="s">
        <v>1447</v>
      </c>
      <c r="F265" s="3">
        <v>1.99</v>
      </c>
      <c r="G265" s="3" t="s">
        <v>1415</v>
      </c>
      <c r="H265" s="3">
        <v>2.1</v>
      </c>
      <c r="I265" s="3">
        <v>2.6</v>
      </c>
      <c r="J265" s="5" t="s">
        <v>1430</v>
      </c>
      <c r="K265" s="3" t="s">
        <v>1431</v>
      </c>
    </row>
    <row r="266" spans="1:11" x14ac:dyDescent="0.2">
      <c r="A266" s="2" t="s">
        <v>311</v>
      </c>
      <c r="B266" s="2" t="s">
        <v>321</v>
      </c>
      <c r="C266" s="2" t="s">
        <v>313</v>
      </c>
      <c r="D266" s="2" t="s">
        <v>1450</v>
      </c>
      <c r="E266" s="2" t="s">
        <v>1451</v>
      </c>
      <c r="F266" s="2">
        <v>15.48</v>
      </c>
      <c r="G266" s="2" t="s">
        <v>1452</v>
      </c>
      <c r="H266" s="2">
        <v>60</v>
      </c>
      <c r="I266" s="2">
        <v>120</v>
      </c>
      <c r="J266" s="5" t="s">
        <v>1430</v>
      </c>
      <c r="K266" s="2" t="s">
        <v>1420</v>
      </c>
    </row>
    <row r="267" spans="1:11" x14ac:dyDescent="0.2">
      <c r="A267" s="3" t="s">
        <v>324</v>
      </c>
      <c r="B267" s="3" t="s">
        <v>325</v>
      </c>
      <c r="C267" s="3" t="s">
        <v>326</v>
      </c>
      <c r="D267" s="3" t="s">
        <v>1418</v>
      </c>
      <c r="E267" s="3" t="s">
        <v>1419</v>
      </c>
      <c r="F267" s="3">
        <v>4.33</v>
      </c>
      <c r="G267" s="3" t="s">
        <v>1415</v>
      </c>
      <c r="H267" s="3">
        <v>3.5</v>
      </c>
      <c r="I267" s="3">
        <v>5</v>
      </c>
      <c r="J267" s="3" t="s">
        <v>1416</v>
      </c>
      <c r="K267" s="3" t="s">
        <v>1434</v>
      </c>
    </row>
    <row r="268" spans="1:11" x14ac:dyDescent="0.2">
      <c r="A268" s="2" t="s">
        <v>324</v>
      </c>
      <c r="B268" s="2" t="s">
        <v>325</v>
      </c>
      <c r="C268" s="2" t="s">
        <v>326</v>
      </c>
      <c r="D268" s="2" t="s">
        <v>1455</v>
      </c>
      <c r="E268" s="2" t="s">
        <v>1456</v>
      </c>
      <c r="F268" s="2">
        <v>160.81</v>
      </c>
      <c r="G268" s="2" t="s">
        <v>1457</v>
      </c>
      <c r="H268" s="2">
        <v>40</v>
      </c>
      <c r="I268" s="2">
        <v>130</v>
      </c>
      <c r="J268" s="5" t="s">
        <v>1426</v>
      </c>
      <c r="K268" s="2" t="s">
        <v>1434</v>
      </c>
    </row>
    <row r="269" spans="1:11" x14ac:dyDescent="0.2">
      <c r="A269" s="3" t="s">
        <v>324</v>
      </c>
      <c r="B269" s="3" t="s">
        <v>325</v>
      </c>
      <c r="C269" s="3" t="s">
        <v>326</v>
      </c>
      <c r="D269" s="3" t="s">
        <v>1446</v>
      </c>
      <c r="E269" s="3" t="s">
        <v>1447</v>
      </c>
      <c r="F269" s="3">
        <v>2.99</v>
      </c>
      <c r="G269" s="3" t="s">
        <v>1415</v>
      </c>
      <c r="H269" s="3">
        <v>2.1</v>
      </c>
      <c r="I269" s="3">
        <v>2.6</v>
      </c>
      <c r="J269" s="5" t="s">
        <v>1426</v>
      </c>
      <c r="K269" s="3" t="s">
        <v>1434</v>
      </c>
    </row>
    <row r="270" spans="1:11" x14ac:dyDescent="0.2">
      <c r="A270" s="2" t="s">
        <v>324</v>
      </c>
      <c r="B270" s="2" t="s">
        <v>325</v>
      </c>
      <c r="C270" s="2" t="s">
        <v>326</v>
      </c>
      <c r="D270" s="2" t="s">
        <v>1435</v>
      </c>
      <c r="E270" s="2" t="s">
        <v>1436</v>
      </c>
      <c r="F270" s="2">
        <v>1</v>
      </c>
      <c r="G270" s="2" t="s">
        <v>1415</v>
      </c>
      <c r="H270" s="2">
        <v>0.8</v>
      </c>
      <c r="I270" s="2">
        <v>1.5</v>
      </c>
      <c r="J270" s="2" t="s">
        <v>1416</v>
      </c>
      <c r="K270" s="2" t="s">
        <v>1431</v>
      </c>
    </row>
    <row r="271" spans="1:11" x14ac:dyDescent="0.2">
      <c r="A271" s="3" t="s">
        <v>324</v>
      </c>
      <c r="B271" s="3" t="s">
        <v>325</v>
      </c>
      <c r="C271" s="3" t="s">
        <v>326</v>
      </c>
      <c r="D271" s="3" t="s">
        <v>1432</v>
      </c>
      <c r="E271" s="3" t="s">
        <v>1433</v>
      </c>
      <c r="F271" s="3">
        <v>1.94</v>
      </c>
      <c r="G271" s="3" t="s">
        <v>1415</v>
      </c>
      <c r="H271" s="3">
        <v>0</v>
      </c>
      <c r="I271" s="3">
        <v>3</v>
      </c>
      <c r="J271" s="3" t="s">
        <v>1416</v>
      </c>
      <c r="K271" s="3" t="s">
        <v>1417</v>
      </c>
    </row>
    <row r="272" spans="1:11" x14ac:dyDescent="0.2">
      <c r="A272" s="2" t="s">
        <v>324</v>
      </c>
      <c r="B272" s="2" t="s">
        <v>325</v>
      </c>
      <c r="C272" s="2" t="s">
        <v>326</v>
      </c>
      <c r="D272" s="2" t="s">
        <v>1450</v>
      </c>
      <c r="E272" s="2" t="s">
        <v>1451</v>
      </c>
      <c r="F272" s="2">
        <v>125.07</v>
      </c>
      <c r="G272" s="2" t="s">
        <v>1452</v>
      </c>
      <c r="H272" s="2">
        <v>60</v>
      </c>
      <c r="I272" s="2">
        <v>120</v>
      </c>
      <c r="J272" s="5" t="s">
        <v>1426</v>
      </c>
      <c r="K272" s="2" t="s">
        <v>1420</v>
      </c>
    </row>
    <row r="273" spans="1:11" x14ac:dyDescent="0.2">
      <c r="A273" s="3" t="s">
        <v>324</v>
      </c>
      <c r="B273" s="3" t="s">
        <v>331</v>
      </c>
      <c r="C273" s="3" t="s">
        <v>332</v>
      </c>
      <c r="D273" s="3" t="s">
        <v>1435</v>
      </c>
      <c r="E273" s="3" t="s">
        <v>1436</v>
      </c>
      <c r="F273" s="3">
        <v>1.7</v>
      </c>
      <c r="G273" s="3" t="s">
        <v>1415</v>
      </c>
      <c r="H273" s="3">
        <v>0.8</v>
      </c>
      <c r="I273" s="3">
        <v>1.5</v>
      </c>
      <c r="J273" s="5" t="s">
        <v>1426</v>
      </c>
      <c r="K273" s="3" t="s">
        <v>1431</v>
      </c>
    </row>
    <row r="274" spans="1:11" x14ac:dyDescent="0.2">
      <c r="A274" s="2" t="s">
        <v>324</v>
      </c>
      <c r="B274" s="2" t="s">
        <v>331</v>
      </c>
      <c r="C274" s="2" t="s">
        <v>332</v>
      </c>
      <c r="D274" s="2" t="s">
        <v>1448</v>
      </c>
      <c r="E274" s="2" t="s">
        <v>1449</v>
      </c>
      <c r="F274" s="2">
        <v>136.63999999999999</v>
      </c>
      <c r="G274" s="2" t="s">
        <v>1415</v>
      </c>
      <c r="H274" s="2">
        <v>136</v>
      </c>
      <c r="I274" s="2">
        <v>145</v>
      </c>
      <c r="J274" s="2" t="s">
        <v>1416</v>
      </c>
      <c r="K274" s="2" t="s">
        <v>1434</v>
      </c>
    </row>
    <row r="275" spans="1:11" x14ac:dyDescent="0.2">
      <c r="A275" s="3" t="s">
        <v>324</v>
      </c>
      <c r="B275" s="3" t="s">
        <v>331</v>
      </c>
      <c r="C275" s="3" t="s">
        <v>332</v>
      </c>
      <c r="D275" s="3" t="s">
        <v>1437</v>
      </c>
      <c r="E275" s="3" t="s">
        <v>1438</v>
      </c>
      <c r="F275" s="3">
        <v>17.98</v>
      </c>
      <c r="G275" s="3" t="s">
        <v>1439</v>
      </c>
      <c r="H275" s="3">
        <v>12</v>
      </c>
      <c r="I275" s="3">
        <v>17.5</v>
      </c>
      <c r="J275" s="5" t="s">
        <v>1426</v>
      </c>
      <c r="K275" s="3" t="s">
        <v>1420</v>
      </c>
    </row>
    <row r="276" spans="1:11" x14ac:dyDescent="0.2">
      <c r="A276" s="2" t="s">
        <v>324</v>
      </c>
      <c r="B276" s="2" t="s">
        <v>331</v>
      </c>
      <c r="C276" s="2" t="s">
        <v>332</v>
      </c>
      <c r="D276" s="2" t="s">
        <v>1455</v>
      </c>
      <c r="E276" s="2" t="s">
        <v>1456</v>
      </c>
      <c r="F276" s="2">
        <v>231.9</v>
      </c>
      <c r="G276" s="2" t="s">
        <v>1457</v>
      </c>
      <c r="H276" s="2">
        <v>40</v>
      </c>
      <c r="I276" s="2">
        <v>130</v>
      </c>
      <c r="J276" s="5" t="s">
        <v>1426</v>
      </c>
      <c r="K276" s="2" t="s">
        <v>1434</v>
      </c>
    </row>
    <row r="277" spans="1:11" x14ac:dyDescent="0.2">
      <c r="A277" s="3" t="s">
        <v>324</v>
      </c>
      <c r="B277" s="3" t="s">
        <v>331</v>
      </c>
      <c r="C277" s="3" t="s">
        <v>332</v>
      </c>
      <c r="D277" s="3" t="s">
        <v>1432</v>
      </c>
      <c r="E277" s="3" t="s">
        <v>1433</v>
      </c>
      <c r="F277" s="3">
        <v>3.85</v>
      </c>
      <c r="G277" s="3" t="s">
        <v>1415</v>
      </c>
      <c r="H277" s="3">
        <v>0</v>
      </c>
      <c r="I277" s="3">
        <v>3</v>
      </c>
      <c r="J277" s="5" t="s">
        <v>1426</v>
      </c>
      <c r="K277" s="3" t="s">
        <v>1431</v>
      </c>
    </row>
    <row r="278" spans="1:11" x14ac:dyDescent="0.2">
      <c r="A278" s="2" t="s">
        <v>324</v>
      </c>
      <c r="B278" s="2" t="s">
        <v>331</v>
      </c>
      <c r="C278" s="2" t="s">
        <v>332</v>
      </c>
      <c r="D278" s="2" t="s">
        <v>1443</v>
      </c>
      <c r="E278" s="2" t="s">
        <v>1444</v>
      </c>
      <c r="F278" s="2">
        <v>65.45</v>
      </c>
      <c r="G278" s="2" t="s">
        <v>1445</v>
      </c>
      <c r="H278" s="2">
        <v>53</v>
      </c>
      <c r="I278" s="2">
        <v>97</v>
      </c>
      <c r="J278" s="2" t="s">
        <v>1416</v>
      </c>
      <c r="K278" s="2" t="s">
        <v>1417</v>
      </c>
    </row>
    <row r="279" spans="1:11" x14ac:dyDescent="0.2">
      <c r="A279" s="3" t="s">
        <v>324</v>
      </c>
      <c r="B279" s="3" t="s">
        <v>331</v>
      </c>
      <c r="C279" s="3" t="s">
        <v>332</v>
      </c>
      <c r="D279" s="3" t="s">
        <v>1418</v>
      </c>
      <c r="E279" s="3" t="s">
        <v>1419</v>
      </c>
      <c r="F279" s="3">
        <v>5.37</v>
      </c>
      <c r="G279" s="3" t="s">
        <v>1415</v>
      </c>
      <c r="H279" s="3">
        <v>3.5</v>
      </c>
      <c r="I279" s="3">
        <v>5</v>
      </c>
      <c r="J279" s="5" t="s">
        <v>1426</v>
      </c>
      <c r="K279" s="3" t="s">
        <v>1431</v>
      </c>
    </row>
    <row r="280" spans="1:11" x14ac:dyDescent="0.2">
      <c r="A280" s="2" t="s">
        <v>324</v>
      </c>
      <c r="B280" s="2" t="s">
        <v>333</v>
      </c>
      <c r="C280" s="2" t="s">
        <v>334</v>
      </c>
      <c r="D280" s="2" t="s">
        <v>1421</v>
      </c>
      <c r="E280" s="2" t="s">
        <v>1422</v>
      </c>
      <c r="F280" s="2">
        <v>3.55</v>
      </c>
      <c r="G280" s="2" t="s">
        <v>1415</v>
      </c>
      <c r="H280" s="2">
        <v>0</v>
      </c>
      <c r="I280" s="2">
        <v>5</v>
      </c>
      <c r="J280" s="2" t="s">
        <v>1416</v>
      </c>
      <c r="K280" s="2" t="s">
        <v>1434</v>
      </c>
    </row>
    <row r="281" spans="1:11" x14ac:dyDescent="0.2">
      <c r="A281" s="3" t="s">
        <v>324</v>
      </c>
      <c r="B281" s="3" t="s">
        <v>333</v>
      </c>
      <c r="C281" s="3" t="s">
        <v>334</v>
      </c>
      <c r="D281" s="3" t="s">
        <v>1423</v>
      </c>
      <c r="E281" s="3" t="s">
        <v>1424</v>
      </c>
      <c r="F281" s="3">
        <v>4.93</v>
      </c>
      <c r="G281" s="3" t="s">
        <v>1425</v>
      </c>
      <c r="H281" s="3">
        <v>4.5</v>
      </c>
      <c r="I281" s="3">
        <v>5.5</v>
      </c>
      <c r="J281" s="3" t="s">
        <v>1416</v>
      </c>
      <c r="K281" s="3" t="s">
        <v>1417</v>
      </c>
    </row>
    <row r="282" spans="1:11" x14ac:dyDescent="0.2">
      <c r="A282" s="2" t="s">
        <v>324</v>
      </c>
      <c r="B282" s="2" t="s">
        <v>333</v>
      </c>
      <c r="C282" s="2" t="s">
        <v>334</v>
      </c>
      <c r="D282" s="2" t="s">
        <v>1446</v>
      </c>
      <c r="E282" s="2" t="s">
        <v>1447</v>
      </c>
      <c r="F282" s="2">
        <v>2.2799999999999998</v>
      </c>
      <c r="G282" s="2" t="s">
        <v>1415</v>
      </c>
      <c r="H282" s="2">
        <v>2.1</v>
      </c>
      <c r="I282" s="2">
        <v>2.6</v>
      </c>
      <c r="J282" s="2" t="s">
        <v>1416</v>
      </c>
      <c r="K282" s="2" t="s">
        <v>1434</v>
      </c>
    </row>
    <row r="283" spans="1:11" x14ac:dyDescent="0.2">
      <c r="A283" s="3" t="s">
        <v>324</v>
      </c>
      <c r="B283" s="3" t="s">
        <v>333</v>
      </c>
      <c r="C283" s="3" t="s">
        <v>334</v>
      </c>
      <c r="D283" s="3" t="s">
        <v>1437</v>
      </c>
      <c r="E283" s="3" t="s">
        <v>1438</v>
      </c>
      <c r="F283" s="3">
        <v>12.74</v>
      </c>
      <c r="G283" s="3" t="s">
        <v>1439</v>
      </c>
      <c r="H283" s="3">
        <v>12</v>
      </c>
      <c r="I283" s="3">
        <v>17.5</v>
      </c>
      <c r="J283" s="3" t="s">
        <v>1416</v>
      </c>
      <c r="K283" s="3" t="s">
        <v>1431</v>
      </c>
    </row>
    <row r="284" spans="1:11" x14ac:dyDescent="0.2">
      <c r="A284" s="2" t="s">
        <v>324</v>
      </c>
      <c r="B284" s="2" t="s">
        <v>333</v>
      </c>
      <c r="C284" s="2" t="s">
        <v>334</v>
      </c>
      <c r="D284" s="2" t="s">
        <v>1440</v>
      </c>
      <c r="E284" s="2" t="s">
        <v>1441</v>
      </c>
      <c r="F284" s="2">
        <v>10.69</v>
      </c>
      <c r="G284" s="2" t="s">
        <v>1442</v>
      </c>
      <c r="H284" s="2">
        <v>4</v>
      </c>
      <c r="I284" s="2">
        <v>5.6</v>
      </c>
      <c r="J284" s="5" t="s">
        <v>1426</v>
      </c>
      <c r="K284" s="2" t="s">
        <v>1431</v>
      </c>
    </row>
    <row r="285" spans="1:11" x14ac:dyDescent="0.2">
      <c r="A285" s="3" t="s">
        <v>324</v>
      </c>
      <c r="B285" s="3" t="s">
        <v>336</v>
      </c>
      <c r="C285" s="3" t="s">
        <v>337</v>
      </c>
      <c r="D285" s="3" t="s">
        <v>1413</v>
      </c>
      <c r="E285" s="3" t="s">
        <v>1414</v>
      </c>
      <c r="F285" s="3">
        <v>1.58</v>
      </c>
      <c r="G285" s="3" t="s">
        <v>1415</v>
      </c>
      <c r="H285" s="3">
        <v>1</v>
      </c>
      <c r="I285" s="3">
        <v>5</v>
      </c>
      <c r="J285" s="3" t="s">
        <v>1416</v>
      </c>
      <c r="K285" s="3" t="s">
        <v>1417</v>
      </c>
    </row>
    <row r="286" spans="1:11" x14ac:dyDescent="0.2">
      <c r="A286" s="2" t="s">
        <v>324</v>
      </c>
      <c r="B286" s="2" t="s">
        <v>336</v>
      </c>
      <c r="C286" s="2" t="s">
        <v>337</v>
      </c>
      <c r="D286" s="2" t="s">
        <v>1435</v>
      </c>
      <c r="E286" s="2" t="s">
        <v>1436</v>
      </c>
      <c r="F286" s="2">
        <v>1.48</v>
      </c>
      <c r="G286" s="2" t="s">
        <v>1415</v>
      </c>
      <c r="H286" s="2">
        <v>0.8</v>
      </c>
      <c r="I286" s="2">
        <v>1.5</v>
      </c>
      <c r="J286" s="2" t="s">
        <v>1416</v>
      </c>
      <c r="K286" s="2" t="s">
        <v>1434</v>
      </c>
    </row>
    <row r="287" spans="1:11" x14ac:dyDescent="0.2">
      <c r="A287" s="3" t="s">
        <v>324</v>
      </c>
      <c r="B287" s="3" t="s">
        <v>336</v>
      </c>
      <c r="C287" s="3" t="s">
        <v>337</v>
      </c>
      <c r="D287" s="3" t="s">
        <v>1455</v>
      </c>
      <c r="E287" s="3" t="s">
        <v>1456</v>
      </c>
      <c r="F287" s="3">
        <v>64.97</v>
      </c>
      <c r="G287" s="3" t="s">
        <v>1457</v>
      </c>
      <c r="H287" s="3">
        <v>40</v>
      </c>
      <c r="I287" s="3">
        <v>130</v>
      </c>
      <c r="J287" s="3" t="s">
        <v>1416</v>
      </c>
      <c r="K287" s="3" t="s">
        <v>1420</v>
      </c>
    </row>
    <row r="288" spans="1:11" x14ac:dyDescent="0.2">
      <c r="A288" s="2" t="s">
        <v>324</v>
      </c>
      <c r="B288" s="2" t="s">
        <v>336</v>
      </c>
      <c r="C288" s="2" t="s">
        <v>337</v>
      </c>
      <c r="D288" s="2" t="s">
        <v>1427</v>
      </c>
      <c r="E288" s="2" t="s">
        <v>1428</v>
      </c>
      <c r="F288" s="2">
        <v>15.12</v>
      </c>
      <c r="G288" s="2" t="s">
        <v>1429</v>
      </c>
      <c r="H288" s="2">
        <v>4</v>
      </c>
      <c r="I288" s="2">
        <v>11</v>
      </c>
      <c r="J288" s="5" t="s">
        <v>1426</v>
      </c>
      <c r="K288" s="2" t="s">
        <v>1420</v>
      </c>
    </row>
    <row r="289" spans="1:11" x14ac:dyDescent="0.2">
      <c r="A289" s="3" t="s">
        <v>324</v>
      </c>
      <c r="B289" s="3" t="s">
        <v>336</v>
      </c>
      <c r="C289" s="3" t="s">
        <v>337</v>
      </c>
      <c r="D289" s="3" t="s">
        <v>1446</v>
      </c>
      <c r="E289" s="3" t="s">
        <v>1447</v>
      </c>
      <c r="F289" s="3">
        <v>2.7</v>
      </c>
      <c r="G289" s="3" t="s">
        <v>1415</v>
      </c>
      <c r="H289" s="3">
        <v>2.1</v>
      </c>
      <c r="I289" s="3">
        <v>2.6</v>
      </c>
      <c r="J289" s="5" t="s">
        <v>1426</v>
      </c>
      <c r="K289" s="3" t="s">
        <v>1417</v>
      </c>
    </row>
    <row r="290" spans="1:11" x14ac:dyDescent="0.2">
      <c r="A290" s="2" t="s">
        <v>324</v>
      </c>
      <c r="B290" s="2" t="s">
        <v>336</v>
      </c>
      <c r="C290" s="2" t="s">
        <v>337</v>
      </c>
      <c r="D290" s="2" t="s">
        <v>1418</v>
      </c>
      <c r="E290" s="2" t="s">
        <v>1419</v>
      </c>
      <c r="F290" s="2">
        <v>4.8099999999999996</v>
      </c>
      <c r="G290" s="2" t="s">
        <v>1415</v>
      </c>
      <c r="H290" s="2">
        <v>3.5</v>
      </c>
      <c r="I290" s="2">
        <v>5</v>
      </c>
      <c r="J290" s="2" t="s">
        <v>1416</v>
      </c>
      <c r="K290" s="2" t="s">
        <v>1434</v>
      </c>
    </row>
    <row r="291" spans="1:11" x14ac:dyDescent="0.2">
      <c r="A291" s="3" t="s">
        <v>324</v>
      </c>
      <c r="B291" s="3" t="s">
        <v>339</v>
      </c>
      <c r="C291" s="3" t="s">
        <v>340</v>
      </c>
      <c r="D291" s="3" t="s">
        <v>1446</v>
      </c>
      <c r="E291" s="3" t="s">
        <v>1447</v>
      </c>
      <c r="F291" s="3">
        <v>1.88</v>
      </c>
      <c r="G291" s="3" t="s">
        <v>1415</v>
      </c>
      <c r="H291" s="3">
        <v>2.1</v>
      </c>
      <c r="I291" s="3">
        <v>2.6</v>
      </c>
      <c r="J291" s="5" t="s">
        <v>1430</v>
      </c>
      <c r="K291" s="3" t="s">
        <v>1417</v>
      </c>
    </row>
    <row r="292" spans="1:11" x14ac:dyDescent="0.2">
      <c r="A292" s="2" t="s">
        <v>324</v>
      </c>
      <c r="B292" s="2" t="s">
        <v>339</v>
      </c>
      <c r="C292" s="2" t="s">
        <v>340</v>
      </c>
      <c r="D292" s="2" t="s">
        <v>1448</v>
      </c>
      <c r="E292" s="2" t="s">
        <v>1449</v>
      </c>
      <c r="F292" s="2">
        <v>140.87</v>
      </c>
      <c r="G292" s="2" t="s">
        <v>1415</v>
      </c>
      <c r="H292" s="2">
        <v>136</v>
      </c>
      <c r="I292" s="2">
        <v>145</v>
      </c>
      <c r="J292" s="2" t="s">
        <v>1416</v>
      </c>
      <c r="K292" s="2" t="s">
        <v>1420</v>
      </c>
    </row>
    <row r="293" spans="1:11" x14ac:dyDescent="0.2">
      <c r="A293" s="3" t="s">
        <v>324</v>
      </c>
      <c r="B293" s="3" t="s">
        <v>339</v>
      </c>
      <c r="C293" s="3" t="s">
        <v>340</v>
      </c>
      <c r="D293" s="3" t="s">
        <v>1443</v>
      </c>
      <c r="E293" s="3" t="s">
        <v>1444</v>
      </c>
      <c r="F293" s="3">
        <v>84.32</v>
      </c>
      <c r="G293" s="3" t="s">
        <v>1445</v>
      </c>
      <c r="H293" s="3">
        <v>53</v>
      </c>
      <c r="I293" s="3">
        <v>97</v>
      </c>
      <c r="J293" s="3" t="s">
        <v>1416</v>
      </c>
      <c r="K293" s="3" t="s">
        <v>1431</v>
      </c>
    </row>
    <row r="294" spans="1:11" x14ac:dyDescent="0.2">
      <c r="A294" s="2" t="s">
        <v>324</v>
      </c>
      <c r="B294" s="2" t="s">
        <v>339</v>
      </c>
      <c r="C294" s="2" t="s">
        <v>340</v>
      </c>
      <c r="D294" s="2" t="s">
        <v>1453</v>
      </c>
      <c r="E294" s="2" t="s">
        <v>1454</v>
      </c>
      <c r="F294" s="2">
        <v>4.88</v>
      </c>
      <c r="G294" s="2" t="s">
        <v>1415</v>
      </c>
      <c r="H294" s="2">
        <v>3.9</v>
      </c>
      <c r="I294" s="2">
        <v>5.5</v>
      </c>
      <c r="J294" s="2" t="s">
        <v>1416</v>
      </c>
      <c r="K294" s="2" t="s">
        <v>1431</v>
      </c>
    </row>
    <row r="295" spans="1:11" x14ac:dyDescent="0.2">
      <c r="A295" s="3" t="s">
        <v>324</v>
      </c>
      <c r="B295" s="3" t="s">
        <v>342</v>
      </c>
      <c r="C295" s="3" t="s">
        <v>343</v>
      </c>
      <c r="D295" s="3" t="s">
        <v>1440</v>
      </c>
      <c r="E295" s="3" t="s">
        <v>1441</v>
      </c>
      <c r="F295" s="3">
        <v>6.21</v>
      </c>
      <c r="G295" s="3" t="s">
        <v>1442</v>
      </c>
      <c r="H295" s="3">
        <v>4</v>
      </c>
      <c r="I295" s="3">
        <v>5.6</v>
      </c>
      <c r="J295" s="5" t="s">
        <v>1426</v>
      </c>
      <c r="K295" s="3" t="s">
        <v>1434</v>
      </c>
    </row>
    <row r="296" spans="1:11" x14ac:dyDescent="0.2">
      <c r="A296" s="2" t="s">
        <v>324</v>
      </c>
      <c r="B296" s="2" t="s">
        <v>342</v>
      </c>
      <c r="C296" s="2" t="s">
        <v>343</v>
      </c>
      <c r="D296" s="2" t="s">
        <v>1421</v>
      </c>
      <c r="E296" s="2" t="s">
        <v>1422</v>
      </c>
      <c r="F296" s="2">
        <v>6.5</v>
      </c>
      <c r="G296" s="2" t="s">
        <v>1415</v>
      </c>
      <c r="H296" s="2">
        <v>0</v>
      </c>
      <c r="I296" s="2">
        <v>5</v>
      </c>
      <c r="J296" s="5" t="s">
        <v>1426</v>
      </c>
      <c r="K296" s="2" t="s">
        <v>1431</v>
      </c>
    </row>
    <row r="297" spans="1:11" x14ac:dyDescent="0.2">
      <c r="A297" s="3" t="s">
        <v>324</v>
      </c>
      <c r="B297" s="3" t="s">
        <v>342</v>
      </c>
      <c r="C297" s="3" t="s">
        <v>343</v>
      </c>
      <c r="D297" s="3" t="s">
        <v>1448</v>
      </c>
      <c r="E297" s="3" t="s">
        <v>1449</v>
      </c>
      <c r="F297" s="3">
        <v>136.88999999999999</v>
      </c>
      <c r="G297" s="3" t="s">
        <v>1415</v>
      </c>
      <c r="H297" s="3">
        <v>136</v>
      </c>
      <c r="I297" s="3">
        <v>145</v>
      </c>
      <c r="J297" s="3" t="s">
        <v>1416</v>
      </c>
      <c r="K297" s="3" t="s">
        <v>1417</v>
      </c>
    </row>
    <row r="298" spans="1:11" x14ac:dyDescent="0.2">
      <c r="A298" s="2" t="s">
        <v>324</v>
      </c>
      <c r="B298" s="2" t="s">
        <v>342</v>
      </c>
      <c r="C298" s="2" t="s">
        <v>343</v>
      </c>
      <c r="D298" s="2" t="s">
        <v>1455</v>
      </c>
      <c r="E298" s="2" t="s">
        <v>1456</v>
      </c>
      <c r="F298" s="2">
        <v>171.03</v>
      </c>
      <c r="G298" s="2" t="s">
        <v>1457</v>
      </c>
      <c r="H298" s="2">
        <v>40</v>
      </c>
      <c r="I298" s="2">
        <v>130</v>
      </c>
      <c r="J298" s="5" t="s">
        <v>1426</v>
      </c>
      <c r="K298" s="2" t="s">
        <v>1434</v>
      </c>
    </row>
    <row r="299" spans="1:11" x14ac:dyDescent="0.2">
      <c r="A299" s="3" t="s">
        <v>324</v>
      </c>
      <c r="B299" s="3" t="s">
        <v>342</v>
      </c>
      <c r="C299" s="3" t="s">
        <v>343</v>
      </c>
      <c r="D299" s="3" t="s">
        <v>1427</v>
      </c>
      <c r="E299" s="3" t="s">
        <v>1428</v>
      </c>
      <c r="F299" s="3">
        <v>15.96</v>
      </c>
      <c r="G299" s="3" t="s">
        <v>1429</v>
      </c>
      <c r="H299" s="3">
        <v>4</v>
      </c>
      <c r="I299" s="3">
        <v>11</v>
      </c>
      <c r="J299" s="5" t="s">
        <v>1426</v>
      </c>
      <c r="K299" s="3" t="s">
        <v>1431</v>
      </c>
    </row>
    <row r="300" spans="1:11" x14ac:dyDescent="0.2">
      <c r="A300" s="2" t="s">
        <v>324</v>
      </c>
      <c r="B300" s="2" t="s">
        <v>342</v>
      </c>
      <c r="C300" s="2" t="s">
        <v>343</v>
      </c>
      <c r="D300" s="2" t="s">
        <v>1453</v>
      </c>
      <c r="E300" s="2" t="s">
        <v>1454</v>
      </c>
      <c r="F300" s="2">
        <v>4.4000000000000004</v>
      </c>
      <c r="G300" s="2" t="s">
        <v>1415</v>
      </c>
      <c r="H300" s="2">
        <v>3.9</v>
      </c>
      <c r="I300" s="2">
        <v>5.5</v>
      </c>
      <c r="J300" s="2" t="s">
        <v>1416</v>
      </c>
      <c r="K300" s="2" t="s">
        <v>1434</v>
      </c>
    </row>
    <row r="301" spans="1:11" x14ac:dyDescent="0.2">
      <c r="A301" s="3" t="s">
        <v>324</v>
      </c>
      <c r="B301" s="3" t="s">
        <v>342</v>
      </c>
      <c r="C301" s="3" t="s">
        <v>343</v>
      </c>
      <c r="D301" s="3" t="s">
        <v>1450</v>
      </c>
      <c r="E301" s="3" t="s">
        <v>1451</v>
      </c>
      <c r="F301" s="3">
        <v>58.44</v>
      </c>
      <c r="G301" s="3" t="s">
        <v>1452</v>
      </c>
      <c r="H301" s="3">
        <v>60</v>
      </c>
      <c r="I301" s="3">
        <v>120</v>
      </c>
      <c r="J301" s="5" t="s">
        <v>1430</v>
      </c>
      <c r="K301" s="3" t="s">
        <v>1420</v>
      </c>
    </row>
    <row r="302" spans="1:11" x14ac:dyDescent="0.2">
      <c r="A302" s="2" t="s">
        <v>324</v>
      </c>
      <c r="B302" s="2" t="s">
        <v>342</v>
      </c>
      <c r="C302" s="2" t="s">
        <v>343</v>
      </c>
      <c r="D302" s="2" t="s">
        <v>1446</v>
      </c>
      <c r="E302" s="2" t="s">
        <v>1447</v>
      </c>
      <c r="F302" s="2">
        <v>1.88</v>
      </c>
      <c r="G302" s="2" t="s">
        <v>1415</v>
      </c>
      <c r="H302" s="2">
        <v>2.1</v>
      </c>
      <c r="I302" s="2">
        <v>2.6</v>
      </c>
      <c r="J302" s="5" t="s">
        <v>1430</v>
      </c>
      <c r="K302" s="2" t="s">
        <v>1434</v>
      </c>
    </row>
    <row r="303" spans="1:11" x14ac:dyDescent="0.2">
      <c r="A303" s="3" t="s">
        <v>344</v>
      </c>
      <c r="B303" s="3" t="s">
        <v>345</v>
      </c>
      <c r="C303" s="3" t="s">
        <v>346</v>
      </c>
      <c r="D303" s="3" t="s">
        <v>1421</v>
      </c>
      <c r="E303" s="3" t="s">
        <v>1422</v>
      </c>
      <c r="F303" s="3">
        <v>4.5599999999999996</v>
      </c>
      <c r="G303" s="3" t="s">
        <v>1415</v>
      </c>
      <c r="H303" s="3">
        <v>0</v>
      </c>
      <c r="I303" s="3">
        <v>5</v>
      </c>
      <c r="J303" s="3" t="s">
        <v>1416</v>
      </c>
      <c r="K303" s="3" t="s">
        <v>1434</v>
      </c>
    </row>
    <row r="304" spans="1:11" x14ac:dyDescent="0.2">
      <c r="A304" s="2" t="s">
        <v>344</v>
      </c>
      <c r="B304" s="2" t="s">
        <v>345</v>
      </c>
      <c r="C304" s="2" t="s">
        <v>346</v>
      </c>
      <c r="D304" s="2" t="s">
        <v>1448</v>
      </c>
      <c r="E304" s="2" t="s">
        <v>1449</v>
      </c>
      <c r="F304" s="2">
        <v>142.97999999999999</v>
      </c>
      <c r="G304" s="2" t="s">
        <v>1415</v>
      </c>
      <c r="H304" s="2">
        <v>136</v>
      </c>
      <c r="I304" s="2">
        <v>145</v>
      </c>
      <c r="J304" s="2" t="s">
        <v>1416</v>
      </c>
      <c r="K304" s="2" t="s">
        <v>1434</v>
      </c>
    </row>
    <row r="305" spans="1:11" x14ac:dyDescent="0.2">
      <c r="A305" s="3" t="s">
        <v>344</v>
      </c>
      <c r="B305" s="3" t="s">
        <v>345</v>
      </c>
      <c r="C305" s="3" t="s">
        <v>346</v>
      </c>
      <c r="D305" s="3" t="s">
        <v>1446</v>
      </c>
      <c r="E305" s="3" t="s">
        <v>1447</v>
      </c>
      <c r="F305" s="3">
        <v>1.92</v>
      </c>
      <c r="G305" s="3" t="s">
        <v>1415</v>
      </c>
      <c r="H305" s="3">
        <v>2.1</v>
      </c>
      <c r="I305" s="3">
        <v>2.6</v>
      </c>
      <c r="J305" s="5" t="s">
        <v>1430</v>
      </c>
      <c r="K305" s="3" t="s">
        <v>1434</v>
      </c>
    </row>
    <row r="306" spans="1:11" x14ac:dyDescent="0.2">
      <c r="A306" s="2" t="s">
        <v>344</v>
      </c>
      <c r="B306" s="2" t="s">
        <v>345</v>
      </c>
      <c r="C306" s="2" t="s">
        <v>346</v>
      </c>
      <c r="D306" s="2" t="s">
        <v>1437</v>
      </c>
      <c r="E306" s="2" t="s">
        <v>1438</v>
      </c>
      <c r="F306" s="2">
        <v>10.88</v>
      </c>
      <c r="G306" s="2" t="s">
        <v>1439</v>
      </c>
      <c r="H306" s="2">
        <v>12</v>
      </c>
      <c r="I306" s="2">
        <v>17.5</v>
      </c>
      <c r="J306" s="5" t="s">
        <v>1430</v>
      </c>
      <c r="K306" s="2" t="s">
        <v>1420</v>
      </c>
    </row>
    <row r="307" spans="1:11" x14ac:dyDescent="0.2">
      <c r="A307" s="3" t="s">
        <v>344</v>
      </c>
      <c r="B307" s="3" t="s">
        <v>345</v>
      </c>
      <c r="C307" s="3" t="s">
        <v>346</v>
      </c>
      <c r="D307" s="3" t="s">
        <v>1453</v>
      </c>
      <c r="E307" s="3" t="s">
        <v>1454</v>
      </c>
      <c r="F307" s="3">
        <v>8.66</v>
      </c>
      <c r="G307" s="3" t="s">
        <v>1415</v>
      </c>
      <c r="H307" s="3">
        <v>3.9</v>
      </c>
      <c r="I307" s="3">
        <v>5.5</v>
      </c>
      <c r="J307" s="5" t="s">
        <v>1426</v>
      </c>
      <c r="K307" s="3" t="s">
        <v>1417</v>
      </c>
    </row>
    <row r="308" spans="1:11" x14ac:dyDescent="0.2">
      <c r="A308" s="2" t="s">
        <v>344</v>
      </c>
      <c r="B308" s="2" t="s">
        <v>345</v>
      </c>
      <c r="C308" s="2" t="s">
        <v>346</v>
      </c>
      <c r="D308" s="2" t="s">
        <v>1443</v>
      </c>
      <c r="E308" s="2" t="s">
        <v>1444</v>
      </c>
      <c r="F308" s="2">
        <v>85.28</v>
      </c>
      <c r="G308" s="2" t="s">
        <v>1445</v>
      </c>
      <c r="H308" s="2">
        <v>53</v>
      </c>
      <c r="I308" s="2">
        <v>97</v>
      </c>
      <c r="J308" s="2" t="s">
        <v>1416</v>
      </c>
      <c r="K308" s="2" t="s">
        <v>1417</v>
      </c>
    </row>
    <row r="309" spans="1:11" x14ac:dyDescent="0.2">
      <c r="A309" s="3" t="s">
        <v>344</v>
      </c>
      <c r="B309" s="3" t="s">
        <v>345</v>
      </c>
      <c r="C309" s="3" t="s">
        <v>346</v>
      </c>
      <c r="D309" s="3" t="s">
        <v>1423</v>
      </c>
      <c r="E309" s="3" t="s">
        <v>1424</v>
      </c>
      <c r="F309" s="3">
        <v>4.01</v>
      </c>
      <c r="G309" s="3" t="s">
        <v>1425</v>
      </c>
      <c r="H309" s="3">
        <v>4.5</v>
      </c>
      <c r="I309" s="3">
        <v>5.5</v>
      </c>
      <c r="J309" s="5" t="s">
        <v>1430</v>
      </c>
      <c r="K309" s="3" t="s">
        <v>1420</v>
      </c>
    </row>
    <row r="310" spans="1:11" x14ac:dyDescent="0.2">
      <c r="A310" s="2" t="s">
        <v>349</v>
      </c>
      <c r="B310" s="2" t="s">
        <v>350</v>
      </c>
      <c r="C310" s="2" t="s">
        <v>351</v>
      </c>
      <c r="D310" s="2" t="s">
        <v>1446</v>
      </c>
      <c r="E310" s="2" t="s">
        <v>1447</v>
      </c>
      <c r="F310" s="2">
        <v>2.25</v>
      </c>
      <c r="G310" s="2" t="s">
        <v>1415</v>
      </c>
      <c r="H310" s="2">
        <v>2.1</v>
      </c>
      <c r="I310" s="2">
        <v>2.6</v>
      </c>
      <c r="J310" s="2" t="s">
        <v>1416</v>
      </c>
      <c r="K310" s="2" t="s">
        <v>1434</v>
      </c>
    </row>
    <row r="311" spans="1:11" x14ac:dyDescent="0.2">
      <c r="A311" s="3" t="s">
        <v>349</v>
      </c>
      <c r="B311" s="3" t="s">
        <v>350</v>
      </c>
      <c r="C311" s="3" t="s">
        <v>351</v>
      </c>
      <c r="D311" s="3" t="s">
        <v>1421</v>
      </c>
      <c r="E311" s="3" t="s">
        <v>1422</v>
      </c>
      <c r="F311" s="3">
        <v>7.4</v>
      </c>
      <c r="G311" s="3" t="s">
        <v>1415</v>
      </c>
      <c r="H311" s="3">
        <v>0</v>
      </c>
      <c r="I311" s="3">
        <v>5</v>
      </c>
      <c r="J311" s="5" t="s">
        <v>1426</v>
      </c>
      <c r="K311" s="3" t="s">
        <v>1420</v>
      </c>
    </row>
    <row r="312" spans="1:11" x14ac:dyDescent="0.2">
      <c r="A312" s="2" t="s">
        <v>349</v>
      </c>
      <c r="B312" s="2" t="s">
        <v>350</v>
      </c>
      <c r="C312" s="2" t="s">
        <v>351</v>
      </c>
      <c r="D312" s="2" t="s">
        <v>1432</v>
      </c>
      <c r="E312" s="2" t="s">
        <v>1433</v>
      </c>
      <c r="F312" s="2">
        <v>4.26</v>
      </c>
      <c r="G312" s="2" t="s">
        <v>1415</v>
      </c>
      <c r="H312" s="2">
        <v>0</v>
      </c>
      <c r="I312" s="2">
        <v>3</v>
      </c>
      <c r="J312" s="5" t="s">
        <v>1426</v>
      </c>
      <c r="K312" s="2" t="s">
        <v>1434</v>
      </c>
    </row>
    <row r="313" spans="1:11" x14ac:dyDescent="0.2">
      <c r="A313" s="3" t="s">
        <v>349</v>
      </c>
      <c r="B313" s="3" t="s">
        <v>350</v>
      </c>
      <c r="C313" s="3" t="s">
        <v>351</v>
      </c>
      <c r="D313" s="3" t="s">
        <v>1437</v>
      </c>
      <c r="E313" s="3" t="s">
        <v>1438</v>
      </c>
      <c r="F313" s="3">
        <v>11.94</v>
      </c>
      <c r="G313" s="3" t="s">
        <v>1439</v>
      </c>
      <c r="H313" s="3">
        <v>12</v>
      </c>
      <c r="I313" s="3">
        <v>17.5</v>
      </c>
      <c r="J313" s="5" t="s">
        <v>1430</v>
      </c>
      <c r="K313" s="3" t="s">
        <v>1417</v>
      </c>
    </row>
    <row r="314" spans="1:11" x14ac:dyDescent="0.2">
      <c r="A314" s="2" t="s">
        <v>349</v>
      </c>
      <c r="B314" s="2" t="s">
        <v>350</v>
      </c>
      <c r="C314" s="2" t="s">
        <v>351</v>
      </c>
      <c r="D314" s="2" t="s">
        <v>1418</v>
      </c>
      <c r="E314" s="2" t="s">
        <v>1419</v>
      </c>
      <c r="F314" s="2">
        <v>4.87</v>
      </c>
      <c r="G314" s="2" t="s">
        <v>1415</v>
      </c>
      <c r="H314" s="2">
        <v>3.5</v>
      </c>
      <c r="I314" s="2">
        <v>5</v>
      </c>
      <c r="J314" s="2" t="s">
        <v>1416</v>
      </c>
      <c r="K314" s="2" t="s">
        <v>1431</v>
      </c>
    </row>
    <row r="315" spans="1:11" x14ac:dyDescent="0.2">
      <c r="A315" s="3" t="s">
        <v>349</v>
      </c>
      <c r="B315" s="3" t="s">
        <v>354</v>
      </c>
      <c r="C315" s="3" t="s">
        <v>355</v>
      </c>
      <c r="D315" s="3" t="s">
        <v>1423</v>
      </c>
      <c r="E315" s="3" t="s">
        <v>1424</v>
      </c>
      <c r="F315" s="3">
        <v>3.84</v>
      </c>
      <c r="G315" s="3" t="s">
        <v>1425</v>
      </c>
      <c r="H315" s="3">
        <v>4.5</v>
      </c>
      <c r="I315" s="3">
        <v>5.5</v>
      </c>
      <c r="J315" s="5" t="s">
        <v>1430</v>
      </c>
      <c r="K315" s="3" t="s">
        <v>1431</v>
      </c>
    </row>
    <row r="316" spans="1:11" x14ac:dyDescent="0.2">
      <c r="A316" s="2" t="s">
        <v>349</v>
      </c>
      <c r="B316" s="2" t="s">
        <v>354</v>
      </c>
      <c r="C316" s="2" t="s">
        <v>355</v>
      </c>
      <c r="D316" s="2" t="s">
        <v>1453</v>
      </c>
      <c r="E316" s="2" t="s">
        <v>1454</v>
      </c>
      <c r="F316" s="2">
        <v>5.84</v>
      </c>
      <c r="G316" s="2" t="s">
        <v>1415</v>
      </c>
      <c r="H316" s="2">
        <v>3.9</v>
      </c>
      <c r="I316" s="2">
        <v>5.5</v>
      </c>
      <c r="J316" s="5" t="s">
        <v>1426</v>
      </c>
      <c r="K316" s="2" t="s">
        <v>1417</v>
      </c>
    </row>
    <row r="317" spans="1:11" x14ac:dyDescent="0.2">
      <c r="A317" s="3" t="s">
        <v>349</v>
      </c>
      <c r="B317" s="3" t="s">
        <v>354</v>
      </c>
      <c r="C317" s="3" t="s">
        <v>355</v>
      </c>
      <c r="D317" s="3" t="s">
        <v>1427</v>
      </c>
      <c r="E317" s="3" t="s">
        <v>1428</v>
      </c>
      <c r="F317" s="3">
        <v>10.48</v>
      </c>
      <c r="G317" s="3" t="s">
        <v>1429</v>
      </c>
      <c r="H317" s="3">
        <v>4</v>
      </c>
      <c r="I317" s="3">
        <v>11</v>
      </c>
      <c r="J317" s="3" t="s">
        <v>1416</v>
      </c>
      <c r="K317" s="3" t="s">
        <v>1431</v>
      </c>
    </row>
    <row r="318" spans="1:11" x14ac:dyDescent="0.2">
      <c r="A318" s="2" t="s">
        <v>349</v>
      </c>
      <c r="B318" s="2" t="s">
        <v>357</v>
      </c>
      <c r="C318" s="2" t="s">
        <v>326</v>
      </c>
      <c r="D318" s="2" t="s">
        <v>1437</v>
      </c>
      <c r="E318" s="2" t="s">
        <v>1438</v>
      </c>
      <c r="F318" s="2">
        <v>6.22</v>
      </c>
      <c r="G318" s="2" t="s">
        <v>1439</v>
      </c>
      <c r="H318" s="2">
        <v>12</v>
      </c>
      <c r="I318" s="2">
        <v>17.5</v>
      </c>
      <c r="J318" s="5" t="s">
        <v>1430</v>
      </c>
      <c r="K318" s="2" t="s">
        <v>1420</v>
      </c>
    </row>
    <row r="319" spans="1:11" x14ac:dyDescent="0.2">
      <c r="A319" s="3" t="s">
        <v>349</v>
      </c>
      <c r="B319" s="3" t="s">
        <v>357</v>
      </c>
      <c r="C319" s="3" t="s">
        <v>326</v>
      </c>
      <c r="D319" s="3" t="s">
        <v>1446</v>
      </c>
      <c r="E319" s="3" t="s">
        <v>1447</v>
      </c>
      <c r="F319" s="3">
        <v>2.85</v>
      </c>
      <c r="G319" s="3" t="s">
        <v>1415</v>
      </c>
      <c r="H319" s="3">
        <v>2.1</v>
      </c>
      <c r="I319" s="3">
        <v>2.6</v>
      </c>
      <c r="J319" s="5" t="s">
        <v>1426</v>
      </c>
      <c r="K319" s="3" t="s">
        <v>1420</v>
      </c>
    </row>
    <row r="320" spans="1:11" x14ac:dyDescent="0.2">
      <c r="A320" s="2" t="s">
        <v>349</v>
      </c>
      <c r="B320" s="2" t="s">
        <v>357</v>
      </c>
      <c r="C320" s="2" t="s">
        <v>326</v>
      </c>
      <c r="D320" s="2" t="s">
        <v>1432</v>
      </c>
      <c r="E320" s="2" t="s">
        <v>1433</v>
      </c>
      <c r="F320" s="2">
        <v>3.78</v>
      </c>
      <c r="G320" s="2" t="s">
        <v>1415</v>
      </c>
      <c r="H320" s="2">
        <v>0</v>
      </c>
      <c r="I320" s="2">
        <v>3</v>
      </c>
      <c r="J320" s="5" t="s">
        <v>1426</v>
      </c>
      <c r="K320" s="2" t="s">
        <v>1431</v>
      </c>
    </row>
    <row r="321" spans="1:11" x14ac:dyDescent="0.2">
      <c r="A321" s="3" t="s">
        <v>358</v>
      </c>
      <c r="B321" s="3" t="s">
        <v>359</v>
      </c>
      <c r="C321" s="3" t="s">
        <v>360</v>
      </c>
      <c r="D321" s="3" t="s">
        <v>1448</v>
      </c>
      <c r="E321" s="3" t="s">
        <v>1449</v>
      </c>
      <c r="F321" s="3">
        <v>147.09</v>
      </c>
      <c r="G321" s="3" t="s">
        <v>1415</v>
      </c>
      <c r="H321" s="3">
        <v>136</v>
      </c>
      <c r="I321" s="3">
        <v>145</v>
      </c>
      <c r="J321" s="5" t="s">
        <v>1426</v>
      </c>
      <c r="K321" s="3" t="s">
        <v>1417</v>
      </c>
    </row>
    <row r="322" spans="1:11" x14ac:dyDescent="0.2">
      <c r="A322" s="2" t="s">
        <v>358</v>
      </c>
      <c r="B322" s="2" t="s">
        <v>359</v>
      </c>
      <c r="C322" s="2" t="s">
        <v>360</v>
      </c>
      <c r="D322" s="2" t="s">
        <v>1418</v>
      </c>
      <c r="E322" s="2" t="s">
        <v>1419</v>
      </c>
      <c r="F322" s="2">
        <v>5.47</v>
      </c>
      <c r="G322" s="2" t="s">
        <v>1415</v>
      </c>
      <c r="H322" s="2">
        <v>3.5</v>
      </c>
      <c r="I322" s="2">
        <v>5</v>
      </c>
      <c r="J322" s="5" t="s">
        <v>1426</v>
      </c>
      <c r="K322" s="2" t="s">
        <v>1434</v>
      </c>
    </row>
    <row r="323" spans="1:11" x14ac:dyDescent="0.2">
      <c r="A323" s="3" t="s">
        <v>358</v>
      </c>
      <c r="B323" s="3" t="s">
        <v>359</v>
      </c>
      <c r="C323" s="3" t="s">
        <v>360</v>
      </c>
      <c r="D323" s="3" t="s">
        <v>1435</v>
      </c>
      <c r="E323" s="3" t="s">
        <v>1436</v>
      </c>
      <c r="F323" s="3">
        <v>1.45</v>
      </c>
      <c r="G323" s="3" t="s">
        <v>1415</v>
      </c>
      <c r="H323" s="3">
        <v>0.8</v>
      </c>
      <c r="I323" s="3">
        <v>1.5</v>
      </c>
      <c r="J323" s="3" t="s">
        <v>1416</v>
      </c>
      <c r="K323" s="3" t="s">
        <v>1420</v>
      </c>
    </row>
    <row r="324" spans="1:11" x14ac:dyDescent="0.2">
      <c r="A324" s="2" t="s">
        <v>358</v>
      </c>
      <c r="B324" s="2" t="s">
        <v>359</v>
      </c>
      <c r="C324" s="2" t="s">
        <v>360</v>
      </c>
      <c r="D324" s="2" t="s">
        <v>1423</v>
      </c>
      <c r="E324" s="2" t="s">
        <v>1424</v>
      </c>
      <c r="F324" s="2">
        <v>4.82</v>
      </c>
      <c r="G324" s="2" t="s">
        <v>1425</v>
      </c>
      <c r="H324" s="2">
        <v>4.5</v>
      </c>
      <c r="I324" s="2">
        <v>5.5</v>
      </c>
      <c r="J324" s="2" t="s">
        <v>1416</v>
      </c>
      <c r="K324" s="2" t="s">
        <v>1431</v>
      </c>
    </row>
    <row r="325" spans="1:11" x14ac:dyDescent="0.2">
      <c r="A325" s="3" t="s">
        <v>358</v>
      </c>
      <c r="B325" s="3" t="s">
        <v>359</v>
      </c>
      <c r="C325" s="3" t="s">
        <v>360</v>
      </c>
      <c r="D325" s="3" t="s">
        <v>1453</v>
      </c>
      <c r="E325" s="3" t="s">
        <v>1454</v>
      </c>
      <c r="F325" s="3">
        <v>8.35</v>
      </c>
      <c r="G325" s="3" t="s">
        <v>1415</v>
      </c>
      <c r="H325" s="3">
        <v>3.9</v>
      </c>
      <c r="I325" s="3">
        <v>5.5</v>
      </c>
      <c r="J325" s="5" t="s">
        <v>1426</v>
      </c>
      <c r="K325" s="3" t="s">
        <v>1434</v>
      </c>
    </row>
    <row r="326" spans="1:11" x14ac:dyDescent="0.2">
      <c r="A326" s="2" t="s">
        <v>358</v>
      </c>
      <c r="B326" s="2" t="s">
        <v>359</v>
      </c>
      <c r="C326" s="2" t="s">
        <v>360</v>
      </c>
      <c r="D326" s="2" t="s">
        <v>1432</v>
      </c>
      <c r="E326" s="2" t="s">
        <v>1433</v>
      </c>
      <c r="F326" s="2">
        <v>1.69</v>
      </c>
      <c r="G326" s="2" t="s">
        <v>1415</v>
      </c>
      <c r="H326" s="2">
        <v>0</v>
      </c>
      <c r="I326" s="2">
        <v>3</v>
      </c>
      <c r="J326" s="2" t="s">
        <v>1416</v>
      </c>
      <c r="K326" s="2" t="s">
        <v>1434</v>
      </c>
    </row>
    <row r="327" spans="1:11" x14ac:dyDescent="0.2">
      <c r="A327" s="3" t="s">
        <v>358</v>
      </c>
      <c r="B327" s="3" t="s">
        <v>359</v>
      </c>
      <c r="C327" s="3" t="s">
        <v>360</v>
      </c>
      <c r="D327" s="3" t="s">
        <v>1446</v>
      </c>
      <c r="E327" s="3" t="s">
        <v>1447</v>
      </c>
      <c r="F327" s="3">
        <v>2.16</v>
      </c>
      <c r="G327" s="3" t="s">
        <v>1415</v>
      </c>
      <c r="H327" s="3">
        <v>2.1</v>
      </c>
      <c r="I327" s="3">
        <v>2.6</v>
      </c>
      <c r="J327" s="3" t="s">
        <v>1416</v>
      </c>
      <c r="K327" s="3" t="s">
        <v>1417</v>
      </c>
    </row>
    <row r="328" spans="1:11" x14ac:dyDescent="0.2">
      <c r="A328" s="2" t="s">
        <v>358</v>
      </c>
      <c r="B328" s="2" t="s">
        <v>363</v>
      </c>
      <c r="C328" s="2" t="s">
        <v>108</v>
      </c>
      <c r="D328" s="2" t="s">
        <v>1455</v>
      </c>
      <c r="E328" s="2" t="s">
        <v>1456</v>
      </c>
      <c r="F328" s="2">
        <v>242.05</v>
      </c>
      <c r="G328" s="2" t="s">
        <v>1457</v>
      </c>
      <c r="H328" s="2">
        <v>40</v>
      </c>
      <c r="I328" s="2">
        <v>130</v>
      </c>
      <c r="J328" s="5" t="s">
        <v>1426</v>
      </c>
      <c r="K328" s="2" t="s">
        <v>1431</v>
      </c>
    </row>
    <row r="329" spans="1:11" x14ac:dyDescent="0.2">
      <c r="A329" s="3" t="s">
        <v>358</v>
      </c>
      <c r="B329" s="3" t="s">
        <v>363</v>
      </c>
      <c r="C329" s="3" t="s">
        <v>108</v>
      </c>
      <c r="D329" s="3" t="s">
        <v>1448</v>
      </c>
      <c r="E329" s="3" t="s">
        <v>1449</v>
      </c>
      <c r="F329" s="3">
        <v>136.65</v>
      </c>
      <c r="G329" s="3" t="s">
        <v>1415</v>
      </c>
      <c r="H329" s="3">
        <v>136</v>
      </c>
      <c r="I329" s="3">
        <v>145</v>
      </c>
      <c r="J329" s="3" t="s">
        <v>1416</v>
      </c>
      <c r="K329" s="3" t="s">
        <v>1431</v>
      </c>
    </row>
    <row r="330" spans="1:11" x14ac:dyDescent="0.2">
      <c r="A330" s="2" t="s">
        <v>358</v>
      </c>
      <c r="B330" s="2" t="s">
        <v>363</v>
      </c>
      <c r="C330" s="2" t="s">
        <v>108</v>
      </c>
      <c r="D330" s="2" t="s">
        <v>1453</v>
      </c>
      <c r="E330" s="2" t="s">
        <v>1454</v>
      </c>
      <c r="F330" s="2">
        <v>7.77</v>
      </c>
      <c r="G330" s="2" t="s">
        <v>1415</v>
      </c>
      <c r="H330" s="2">
        <v>3.9</v>
      </c>
      <c r="I330" s="2">
        <v>5.5</v>
      </c>
      <c r="J330" s="5" t="s">
        <v>1426</v>
      </c>
      <c r="K330" s="2" t="s">
        <v>1434</v>
      </c>
    </row>
    <row r="331" spans="1:11" x14ac:dyDescent="0.2">
      <c r="A331" s="3" t="s">
        <v>358</v>
      </c>
      <c r="B331" s="3" t="s">
        <v>363</v>
      </c>
      <c r="C331" s="3" t="s">
        <v>108</v>
      </c>
      <c r="D331" s="3" t="s">
        <v>1446</v>
      </c>
      <c r="E331" s="3" t="s">
        <v>1447</v>
      </c>
      <c r="F331" s="3">
        <v>1.93</v>
      </c>
      <c r="G331" s="3" t="s">
        <v>1415</v>
      </c>
      <c r="H331" s="3">
        <v>2.1</v>
      </c>
      <c r="I331" s="3">
        <v>2.6</v>
      </c>
      <c r="J331" s="5" t="s">
        <v>1430</v>
      </c>
      <c r="K331" s="3" t="s">
        <v>1434</v>
      </c>
    </row>
    <row r="332" spans="1:11" x14ac:dyDescent="0.2">
      <c r="A332" s="2" t="s">
        <v>358</v>
      </c>
      <c r="B332" s="2" t="s">
        <v>364</v>
      </c>
      <c r="C332" s="2" t="s">
        <v>108</v>
      </c>
      <c r="D332" s="2" t="s">
        <v>1455</v>
      </c>
      <c r="E332" s="2" t="s">
        <v>1456</v>
      </c>
      <c r="F332" s="2">
        <v>100.52</v>
      </c>
      <c r="G332" s="2" t="s">
        <v>1457</v>
      </c>
      <c r="H332" s="2">
        <v>40</v>
      </c>
      <c r="I332" s="2">
        <v>130</v>
      </c>
      <c r="J332" s="2" t="s">
        <v>1416</v>
      </c>
      <c r="K332" s="2" t="s">
        <v>1420</v>
      </c>
    </row>
    <row r="333" spans="1:11" x14ac:dyDescent="0.2">
      <c r="A333" s="3" t="s">
        <v>358</v>
      </c>
      <c r="B333" s="3" t="s">
        <v>364</v>
      </c>
      <c r="C333" s="3" t="s">
        <v>108</v>
      </c>
      <c r="D333" s="3" t="s">
        <v>1432</v>
      </c>
      <c r="E333" s="3" t="s">
        <v>1433</v>
      </c>
      <c r="F333" s="3">
        <v>3.73</v>
      </c>
      <c r="G333" s="3" t="s">
        <v>1415</v>
      </c>
      <c r="H333" s="3">
        <v>0</v>
      </c>
      <c r="I333" s="3">
        <v>3</v>
      </c>
      <c r="J333" s="5" t="s">
        <v>1426</v>
      </c>
      <c r="K333" s="3" t="s">
        <v>1434</v>
      </c>
    </row>
    <row r="334" spans="1:11" x14ac:dyDescent="0.2">
      <c r="A334" s="2" t="s">
        <v>358</v>
      </c>
      <c r="B334" s="2" t="s">
        <v>364</v>
      </c>
      <c r="C334" s="2" t="s">
        <v>108</v>
      </c>
      <c r="D334" s="2" t="s">
        <v>1418</v>
      </c>
      <c r="E334" s="2" t="s">
        <v>1419</v>
      </c>
      <c r="F334" s="2">
        <v>4.7300000000000004</v>
      </c>
      <c r="G334" s="2" t="s">
        <v>1415</v>
      </c>
      <c r="H334" s="2">
        <v>3.5</v>
      </c>
      <c r="I334" s="2">
        <v>5</v>
      </c>
      <c r="J334" s="2" t="s">
        <v>1416</v>
      </c>
      <c r="K334" s="2" t="s">
        <v>1417</v>
      </c>
    </row>
    <row r="335" spans="1:11" x14ac:dyDescent="0.2">
      <c r="A335" s="3" t="s">
        <v>358</v>
      </c>
      <c r="B335" s="3" t="s">
        <v>364</v>
      </c>
      <c r="C335" s="3" t="s">
        <v>108</v>
      </c>
      <c r="D335" s="3" t="s">
        <v>1413</v>
      </c>
      <c r="E335" s="3" t="s">
        <v>1414</v>
      </c>
      <c r="F335" s="3">
        <v>0.84</v>
      </c>
      <c r="G335" s="3" t="s">
        <v>1415</v>
      </c>
      <c r="H335" s="3">
        <v>1</v>
      </c>
      <c r="I335" s="3">
        <v>5</v>
      </c>
      <c r="J335" s="5" t="s">
        <v>1430</v>
      </c>
      <c r="K335" s="3" t="s">
        <v>1420</v>
      </c>
    </row>
    <row r="336" spans="1:11" x14ac:dyDescent="0.2">
      <c r="A336" s="2" t="s">
        <v>358</v>
      </c>
      <c r="B336" s="2" t="s">
        <v>365</v>
      </c>
      <c r="C336" s="2" t="s">
        <v>366</v>
      </c>
      <c r="D336" s="2" t="s">
        <v>1455</v>
      </c>
      <c r="E336" s="2" t="s">
        <v>1456</v>
      </c>
      <c r="F336" s="2">
        <v>50.69</v>
      </c>
      <c r="G336" s="2" t="s">
        <v>1457</v>
      </c>
      <c r="H336" s="2">
        <v>40</v>
      </c>
      <c r="I336" s="2">
        <v>130</v>
      </c>
      <c r="J336" s="2" t="s">
        <v>1416</v>
      </c>
      <c r="K336" s="2" t="s">
        <v>1420</v>
      </c>
    </row>
    <row r="337" spans="1:11" x14ac:dyDescent="0.2">
      <c r="A337" s="3" t="s">
        <v>358</v>
      </c>
      <c r="B337" s="3" t="s">
        <v>365</v>
      </c>
      <c r="C337" s="3" t="s">
        <v>366</v>
      </c>
      <c r="D337" s="3" t="s">
        <v>1423</v>
      </c>
      <c r="E337" s="3" t="s">
        <v>1424</v>
      </c>
      <c r="F337" s="3">
        <v>4.13</v>
      </c>
      <c r="G337" s="3" t="s">
        <v>1425</v>
      </c>
      <c r="H337" s="3">
        <v>4.5</v>
      </c>
      <c r="I337" s="3">
        <v>5.5</v>
      </c>
      <c r="J337" s="5" t="s">
        <v>1430</v>
      </c>
      <c r="K337" s="3" t="s">
        <v>1417</v>
      </c>
    </row>
    <row r="338" spans="1:11" x14ac:dyDescent="0.2">
      <c r="A338" s="2" t="s">
        <v>358</v>
      </c>
      <c r="B338" s="2" t="s">
        <v>365</v>
      </c>
      <c r="C338" s="2" t="s">
        <v>366</v>
      </c>
      <c r="D338" s="2" t="s">
        <v>1450</v>
      </c>
      <c r="E338" s="2" t="s">
        <v>1451</v>
      </c>
      <c r="F338" s="2">
        <v>90.2</v>
      </c>
      <c r="G338" s="2" t="s">
        <v>1452</v>
      </c>
      <c r="H338" s="2">
        <v>60</v>
      </c>
      <c r="I338" s="2">
        <v>120</v>
      </c>
      <c r="J338" s="2" t="s">
        <v>1416</v>
      </c>
      <c r="K338" s="2" t="s">
        <v>1417</v>
      </c>
    </row>
    <row r="339" spans="1:11" x14ac:dyDescent="0.2">
      <c r="A339" s="3" t="s">
        <v>358</v>
      </c>
      <c r="B339" s="3" t="s">
        <v>365</v>
      </c>
      <c r="C339" s="3" t="s">
        <v>366</v>
      </c>
      <c r="D339" s="3" t="s">
        <v>1446</v>
      </c>
      <c r="E339" s="3" t="s">
        <v>1447</v>
      </c>
      <c r="F339" s="3">
        <v>2.77</v>
      </c>
      <c r="G339" s="3" t="s">
        <v>1415</v>
      </c>
      <c r="H339" s="3">
        <v>2.1</v>
      </c>
      <c r="I339" s="3">
        <v>2.6</v>
      </c>
      <c r="J339" s="5" t="s">
        <v>1426</v>
      </c>
      <c r="K339" s="3" t="s">
        <v>1431</v>
      </c>
    </row>
    <row r="340" spans="1:11" x14ac:dyDescent="0.2">
      <c r="A340" s="2" t="s">
        <v>358</v>
      </c>
      <c r="B340" s="2" t="s">
        <v>367</v>
      </c>
      <c r="C340" s="2" t="s">
        <v>368</v>
      </c>
      <c r="D340" s="2" t="s">
        <v>1453</v>
      </c>
      <c r="E340" s="2" t="s">
        <v>1454</v>
      </c>
      <c r="F340" s="2">
        <v>5.7</v>
      </c>
      <c r="G340" s="2" t="s">
        <v>1415</v>
      </c>
      <c r="H340" s="2">
        <v>3.9</v>
      </c>
      <c r="I340" s="2">
        <v>5.5</v>
      </c>
      <c r="J340" s="5" t="s">
        <v>1426</v>
      </c>
      <c r="K340" s="2" t="s">
        <v>1431</v>
      </c>
    </row>
    <row r="341" spans="1:11" x14ac:dyDescent="0.2">
      <c r="A341" s="3" t="s">
        <v>358</v>
      </c>
      <c r="B341" s="3" t="s">
        <v>367</v>
      </c>
      <c r="C341" s="3" t="s">
        <v>368</v>
      </c>
      <c r="D341" s="3" t="s">
        <v>1413</v>
      </c>
      <c r="E341" s="3" t="s">
        <v>1414</v>
      </c>
      <c r="F341" s="3">
        <v>1.82</v>
      </c>
      <c r="G341" s="3" t="s">
        <v>1415</v>
      </c>
      <c r="H341" s="3">
        <v>1</v>
      </c>
      <c r="I341" s="3">
        <v>5</v>
      </c>
      <c r="J341" s="3" t="s">
        <v>1416</v>
      </c>
      <c r="K341" s="3" t="s">
        <v>1434</v>
      </c>
    </row>
    <row r="342" spans="1:11" x14ac:dyDescent="0.2">
      <c r="A342" s="2" t="s">
        <v>358</v>
      </c>
      <c r="B342" s="2" t="s">
        <v>367</v>
      </c>
      <c r="C342" s="2" t="s">
        <v>368</v>
      </c>
      <c r="D342" s="2" t="s">
        <v>1455</v>
      </c>
      <c r="E342" s="2" t="s">
        <v>1456</v>
      </c>
      <c r="F342" s="2">
        <v>213.31</v>
      </c>
      <c r="G342" s="2" t="s">
        <v>1457</v>
      </c>
      <c r="H342" s="2">
        <v>40</v>
      </c>
      <c r="I342" s="2">
        <v>130</v>
      </c>
      <c r="J342" s="5" t="s">
        <v>1426</v>
      </c>
      <c r="K342" s="2" t="s">
        <v>1431</v>
      </c>
    </row>
    <row r="343" spans="1:11" x14ac:dyDescent="0.2">
      <c r="A343" s="3" t="s">
        <v>358</v>
      </c>
      <c r="B343" s="3" t="s">
        <v>367</v>
      </c>
      <c r="C343" s="3" t="s">
        <v>368</v>
      </c>
      <c r="D343" s="3" t="s">
        <v>1450</v>
      </c>
      <c r="E343" s="3" t="s">
        <v>1451</v>
      </c>
      <c r="F343" s="3">
        <v>113.13</v>
      </c>
      <c r="G343" s="3" t="s">
        <v>1452</v>
      </c>
      <c r="H343" s="3">
        <v>60</v>
      </c>
      <c r="I343" s="3">
        <v>120</v>
      </c>
      <c r="J343" s="3" t="s">
        <v>1416</v>
      </c>
      <c r="K343" s="3" t="s">
        <v>1417</v>
      </c>
    </row>
    <row r="344" spans="1:11" x14ac:dyDescent="0.2">
      <c r="A344" s="2" t="s">
        <v>358</v>
      </c>
      <c r="B344" s="2" t="s">
        <v>367</v>
      </c>
      <c r="C344" s="2" t="s">
        <v>368</v>
      </c>
      <c r="D344" s="2" t="s">
        <v>1435</v>
      </c>
      <c r="E344" s="2" t="s">
        <v>1436</v>
      </c>
      <c r="F344" s="2">
        <v>1.25</v>
      </c>
      <c r="G344" s="2" t="s">
        <v>1415</v>
      </c>
      <c r="H344" s="2">
        <v>0.8</v>
      </c>
      <c r="I344" s="2">
        <v>1.5</v>
      </c>
      <c r="J344" s="2" t="s">
        <v>1416</v>
      </c>
      <c r="K344" s="2" t="s">
        <v>1434</v>
      </c>
    </row>
    <row r="345" spans="1:11" x14ac:dyDescent="0.2">
      <c r="A345" s="3" t="s">
        <v>358</v>
      </c>
      <c r="B345" s="3" t="s">
        <v>370</v>
      </c>
      <c r="C345" s="3" t="s">
        <v>371</v>
      </c>
      <c r="D345" s="3" t="s">
        <v>1443</v>
      </c>
      <c r="E345" s="3" t="s">
        <v>1444</v>
      </c>
      <c r="F345" s="3">
        <v>94.19</v>
      </c>
      <c r="G345" s="3" t="s">
        <v>1445</v>
      </c>
      <c r="H345" s="3">
        <v>53</v>
      </c>
      <c r="I345" s="3">
        <v>97</v>
      </c>
      <c r="J345" s="3" t="s">
        <v>1416</v>
      </c>
      <c r="K345" s="3" t="s">
        <v>1420</v>
      </c>
    </row>
    <row r="346" spans="1:11" x14ac:dyDescent="0.2">
      <c r="A346" s="2" t="s">
        <v>358</v>
      </c>
      <c r="B346" s="2" t="s">
        <v>370</v>
      </c>
      <c r="C346" s="2" t="s">
        <v>371</v>
      </c>
      <c r="D346" s="2" t="s">
        <v>1423</v>
      </c>
      <c r="E346" s="2" t="s">
        <v>1424</v>
      </c>
      <c r="F346" s="2">
        <v>5.31</v>
      </c>
      <c r="G346" s="2" t="s">
        <v>1425</v>
      </c>
      <c r="H346" s="2">
        <v>4.5</v>
      </c>
      <c r="I346" s="2">
        <v>5.5</v>
      </c>
      <c r="J346" s="2" t="s">
        <v>1416</v>
      </c>
      <c r="K346" s="2" t="s">
        <v>1431</v>
      </c>
    </row>
    <row r="347" spans="1:11" x14ac:dyDescent="0.2">
      <c r="A347" s="3" t="s">
        <v>358</v>
      </c>
      <c r="B347" s="3" t="s">
        <v>370</v>
      </c>
      <c r="C347" s="3" t="s">
        <v>371</v>
      </c>
      <c r="D347" s="3" t="s">
        <v>1427</v>
      </c>
      <c r="E347" s="3" t="s">
        <v>1428</v>
      </c>
      <c r="F347" s="3">
        <v>10.56</v>
      </c>
      <c r="G347" s="3" t="s">
        <v>1429</v>
      </c>
      <c r="H347" s="3">
        <v>4</v>
      </c>
      <c r="I347" s="3">
        <v>11</v>
      </c>
      <c r="J347" s="3" t="s">
        <v>1416</v>
      </c>
      <c r="K347" s="3" t="s">
        <v>1431</v>
      </c>
    </row>
    <row r="348" spans="1:11" x14ac:dyDescent="0.2">
      <c r="A348" s="2" t="s">
        <v>358</v>
      </c>
      <c r="B348" s="2" t="s">
        <v>370</v>
      </c>
      <c r="C348" s="2" t="s">
        <v>371</v>
      </c>
      <c r="D348" s="2" t="s">
        <v>1421</v>
      </c>
      <c r="E348" s="2" t="s">
        <v>1422</v>
      </c>
      <c r="F348" s="2">
        <v>3.93</v>
      </c>
      <c r="G348" s="2" t="s">
        <v>1415</v>
      </c>
      <c r="H348" s="2">
        <v>0</v>
      </c>
      <c r="I348" s="2">
        <v>5</v>
      </c>
      <c r="J348" s="2" t="s">
        <v>1416</v>
      </c>
      <c r="K348" s="2" t="s">
        <v>1434</v>
      </c>
    </row>
    <row r="349" spans="1:11" x14ac:dyDescent="0.2">
      <c r="A349" s="3" t="s">
        <v>358</v>
      </c>
      <c r="B349" s="3" t="s">
        <v>370</v>
      </c>
      <c r="C349" s="3" t="s">
        <v>371</v>
      </c>
      <c r="D349" s="3" t="s">
        <v>1418</v>
      </c>
      <c r="E349" s="3" t="s">
        <v>1419</v>
      </c>
      <c r="F349" s="3">
        <v>4.4400000000000004</v>
      </c>
      <c r="G349" s="3" t="s">
        <v>1415</v>
      </c>
      <c r="H349" s="3">
        <v>3.5</v>
      </c>
      <c r="I349" s="3">
        <v>5</v>
      </c>
      <c r="J349" s="3" t="s">
        <v>1416</v>
      </c>
      <c r="K349" s="3" t="s">
        <v>1417</v>
      </c>
    </row>
    <row r="350" spans="1:11" x14ac:dyDescent="0.2">
      <c r="A350" s="2" t="s">
        <v>373</v>
      </c>
      <c r="B350" s="2" t="s">
        <v>374</v>
      </c>
      <c r="C350" s="2" t="s">
        <v>375</v>
      </c>
      <c r="D350" s="2" t="s">
        <v>1440</v>
      </c>
      <c r="E350" s="2" t="s">
        <v>1441</v>
      </c>
      <c r="F350" s="2">
        <v>9.42</v>
      </c>
      <c r="G350" s="2" t="s">
        <v>1442</v>
      </c>
      <c r="H350" s="2">
        <v>4</v>
      </c>
      <c r="I350" s="2">
        <v>5.6</v>
      </c>
      <c r="J350" s="5" t="s">
        <v>1426</v>
      </c>
      <c r="K350" s="2" t="s">
        <v>1431</v>
      </c>
    </row>
    <row r="351" spans="1:11" x14ac:dyDescent="0.2">
      <c r="A351" s="3" t="s">
        <v>373</v>
      </c>
      <c r="B351" s="3" t="s">
        <v>374</v>
      </c>
      <c r="C351" s="3" t="s">
        <v>375</v>
      </c>
      <c r="D351" s="3" t="s">
        <v>1446</v>
      </c>
      <c r="E351" s="3" t="s">
        <v>1447</v>
      </c>
      <c r="F351" s="3">
        <v>2.52</v>
      </c>
      <c r="G351" s="3" t="s">
        <v>1415</v>
      </c>
      <c r="H351" s="3">
        <v>2.1</v>
      </c>
      <c r="I351" s="3">
        <v>2.6</v>
      </c>
      <c r="J351" s="3" t="s">
        <v>1416</v>
      </c>
      <c r="K351" s="3" t="s">
        <v>1431</v>
      </c>
    </row>
    <row r="352" spans="1:11" x14ac:dyDescent="0.2">
      <c r="A352" s="2" t="s">
        <v>373</v>
      </c>
      <c r="B352" s="2" t="s">
        <v>374</v>
      </c>
      <c r="C352" s="2" t="s">
        <v>375</v>
      </c>
      <c r="D352" s="2" t="s">
        <v>1413</v>
      </c>
      <c r="E352" s="2" t="s">
        <v>1414</v>
      </c>
      <c r="F352" s="2">
        <v>1.82</v>
      </c>
      <c r="G352" s="2" t="s">
        <v>1415</v>
      </c>
      <c r="H352" s="2">
        <v>1</v>
      </c>
      <c r="I352" s="2">
        <v>5</v>
      </c>
      <c r="J352" s="2" t="s">
        <v>1416</v>
      </c>
      <c r="K352" s="2" t="s">
        <v>1434</v>
      </c>
    </row>
    <row r="353" spans="1:11" x14ac:dyDescent="0.2">
      <c r="A353" s="3" t="s">
        <v>373</v>
      </c>
      <c r="B353" s="3" t="s">
        <v>374</v>
      </c>
      <c r="C353" s="3" t="s">
        <v>375</v>
      </c>
      <c r="D353" s="3" t="s">
        <v>1421</v>
      </c>
      <c r="E353" s="3" t="s">
        <v>1422</v>
      </c>
      <c r="F353" s="3">
        <v>5.9</v>
      </c>
      <c r="G353" s="3" t="s">
        <v>1415</v>
      </c>
      <c r="H353" s="3">
        <v>0</v>
      </c>
      <c r="I353" s="3">
        <v>5</v>
      </c>
      <c r="J353" s="5" t="s">
        <v>1426</v>
      </c>
      <c r="K353" s="3" t="s">
        <v>1420</v>
      </c>
    </row>
    <row r="354" spans="1:11" x14ac:dyDescent="0.2">
      <c r="A354" s="2" t="s">
        <v>373</v>
      </c>
      <c r="B354" s="2" t="s">
        <v>374</v>
      </c>
      <c r="C354" s="2" t="s">
        <v>375</v>
      </c>
      <c r="D354" s="2" t="s">
        <v>1448</v>
      </c>
      <c r="E354" s="2" t="s">
        <v>1449</v>
      </c>
      <c r="F354" s="2">
        <v>140.54</v>
      </c>
      <c r="G354" s="2" t="s">
        <v>1415</v>
      </c>
      <c r="H354" s="2">
        <v>136</v>
      </c>
      <c r="I354" s="2">
        <v>145</v>
      </c>
      <c r="J354" s="2" t="s">
        <v>1416</v>
      </c>
      <c r="K354" s="2" t="s">
        <v>1434</v>
      </c>
    </row>
    <row r="355" spans="1:11" x14ac:dyDescent="0.2">
      <c r="A355" s="3" t="s">
        <v>373</v>
      </c>
      <c r="B355" s="3" t="s">
        <v>377</v>
      </c>
      <c r="C355" s="3" t="s">
        <v>378</v>
      </c>
      <c r="D355" s="3" t="s">
        <v>1446</v>
      </c>
      <c r="E355" s="3" t="s">
        <v>1447</v>
      </c>
      <c r="F355" s="3">
        <v>2.79</v>
      </c>
      <c r="G355" s="3" t="s">
        <v>1415</v>
      </c>
      <c r="H355" s="3">
        <v>2.1</v>
      </c>
      <c r="I355" s="3">
        <v>2.6</v>
      </c>
      <c r="J355" s="5" t="s">
        <v>1426</v>
      </c>
      <c r="K355" s="3" t="s">
        <v>1417</v>
      </c>
    </row>
    <row r="356" spans="1:11" x14ac:dyDescent="0.2">
      <c r="A356" s="2" t="s">
        <v>373</v>
      </c>
      <c r="B356" s="2" t="s">
        <v>377</v>
      </c>
      <c r="C356" s="2" t="s">
        <v>378</v>
      </c>
      <c r="D356" s="2" t="s">
        <v>1435</v>
      </c>
      <c r="E356" s="2" t="s">
        <v>1436</v>
      </c>
      <c r="F356" s="2">
        <v>0.88</v>
      </c>
      <c r="G356" s="2" t="s">
        <v>1415</v>
      </c>
      <c r="H356" s="2">
        <v>0.8</v>
      </c>
      <c r="I356" s="2">
        <v>1.5</v>
      </c>
      <c r="J356" s="2" t="s">
        <v>1416</v>
      </c>
      <c r="K356" s="2" t="s">
        <v>1417</v>
      </c>
    </row>
    <row r="357" spans="1:11" x14ac:dyDescent="0.2">
      <c r="A357" s="3" t="s">
        <v>373</v>
      </c>
      <c r="B357" s="3" t="s">
        <v>377</v>
      </c>
      <c r="C357" s="3" t="s">
        <v>378</v>
      </c>
      <c r="D357" s="3" t="s">
        <v>1423</v>
      </c>
      <c r="E357" s="3" t="s">
        <v>1424</v>
      </c>
      <c r="F357" s="3">
        <v>3.18</v>
      </c>
      <c r="G357" s="3" t="s">
        <v>1425</v>
      </c>
      <c r="H357" s="3">
        <v>4.5</v>
      </c>
      <c r="I357" s="3">
        <v>5.5</v>
      </c>
      <c r="J357" s="5" t="s">
        <v>1430</v>
      </c>
      <c r="K357" s="3" t="s">
        <v>1420</v>
      </c>
    </row>
    <row r="358" spans="1:11" x14ac:dyDescent="0.2">
      <c r="A358" s="2" t="s">
        <v>373</v>
      </c>
      <c r="B358" s="2" t="s">
        <v>377</v>
      </c>
      <c r="C358" s="2" t="s">
        <v>378</v>
      </c>
      <c r="D358" s="2" t="s">
        <v>1448</v>
      </c>
      <c r="E358" s="2" t="s">
        <v>1449</v>
      </c>
      <c r="F358" s="2">
        <v>135.29</v>
      </c>
      <c r="G358" s="2" t="s">
        <v>1415</v>
      </c>
      <c r="H358" s="2">
        <v>136</v>
      </c>
      <c r="I358" s="2">
        <v>145</v>
      </c>
      <c r="J358" s="5" t="s">
        <v>1430</v>
      </c>
      <c r="K358" s="2" t="s">
        <v>1431</v>
      </c>
    </row>
    <row r="359" spans="1:11" x14ac:dyDescent="0.2">
      <c r="A359" s="3" t="s">
        <v>373</v>
      </c>
      <c r="B359" s="3" t="s">
        <v>377</v>
      </c>
      <c r="C359" s="3" t="s">
        <v>378</v>
      </c>
      <c r="D359" s="3" t="s">
        <v>1437</v>
      </c>
      <c r="E359" s="3" t="s">
        <v>1438</v>
      </c>
      <c r="F359" s="3">
        <v>17.02</v>
      </c>
      <c r="G359" s="3" t="s">
        <v>1439</v>
      </c>
      <c r="H359" s="3">
        <v>12</v>
      </c>
      <c r="I359" s="3">
        <v>17.5</v>
      </c>
      <c r="J359" s="3" t="s">
        <v>1416</v>
      </c>
      <c r="K359" s="3" t="s">
        <v>1431</v>
      </c>
    </row>
    <row r="360" spans="1:11" x14ac:dyDescent="0.2">
      <c r="A360" s="2" t="s">
        <v>373</v>
      </c>
      <c r="B360" s="2" t="s">
        <v>380</v>
      </c>
      <c r="C360" s="2" t="s">
        <v>381</v>
      </c>
      <c r="D360" s="2" t="s">
        <v>1435</v>
      </c>
      <c r="E360" s="2" t="s">
        <v>1436</v>
      </c>
      <c r="F360" s="2">
        <v>1.79</v>
      </c>
      <c r="G360" s="2" t="s">
        <v>1415</v>
      </c>
      <c r="H360" s="2">
        <v>0.8</v>
      </c>
      <c r="I360" s="2">
        <v>1.5</v>
      </c>
      <c r="J360" s="5" t="s">
        <v>1426</v>
      </c>
      <c r="K360" s="2" t="s">
        <v>1417</v>
      </c>
    </row>
    <row r="361" spans="1:11" x14ac:dyDescent="0.2">
      <c r="A361" s="3" t="s">
        <v>373</v>
      </c>
      <c r="B361" s="3" t="s">
        <v>380</v>
      </c>
      <c r="C361" s="3" t="s">
        <v>381</v>
      </c>
      <c r="D361" s="3" t="s">
        <v>1443</v>
      </c>
      <c r="E361" s="3" t="s">
        <v>1444</v>
      </c>
      <c r="F361" s="3">
        <v>68.5</v>
      </c>
      <c r="G361" s="3" t="s">
        <v>1445</v>
      </c>
      <c r="H361" s="3">
        <v>53</v>
      </c>
      <c r="I361" s="3">
        <v>97</v>
      </c>
      <c r="J361" s="3" t="s">
        <v>1416</v>
      </c>
      <c r="K361" s="3" t="s">
        <v>1417</v>
      </c>
    </row>
    <row r="362" spans="1:11" x14ac:dyDescent="0.2">
      <c r="A362" s="2" t="s">
        <v>373</v>
      </c>
      <c r="B362" s="2" t="s">
        <v>380</v>
      </c>
      <c r="C362" s="2" t="s">
        <v>381</v>
      </c>
      <c r="D362" s="2" t="s">
        <v>1450</v>
      </c>
      <c r="E362" s="2" t="s">
        <v>1451</v>
      </c>
      <c r="F362" s="2">
        <v>128.88999999999999</v>
      </c>
      <c r="G362" s="2" t="s">
        <v>1452</v>
      </c>
      <c r="H362" s="2">
        <v>60</v>
      </c>
      <c r="I362" s="2">
        <v>120</v>
      </c>
      <c r="J362" s="5" t="s">
        <v>1426</v>
      </c>
      <c r="K362" s="2" t="s">
        <v>1417</v>
      </c>
    </row>
    <row r="363" spans="1:11" x14ac:dyDescent="0.2">
      <c r="A363" s="3" t="s">
        <v>373</v>
      </c>
      <c r="B363" s="3" t="s">
        <v>380</v>
      </c>
      <c r="C363" s="3" t="s">
        <v>381</v>
      </c>
      <c r="D363" s="3" t="s">
        <v>1440</v>
      </c>
      <c r="E363" s="3" t="s">
        <v>1441</v>
      </c>
      <c r="F363" s="3">
        <v>7.54</v>
      </c>
      <c r="G363" s="3" t="s">
        <v>1442</v>
      </c>
      <c r="H363" s="3">
        <v>4</v>
      </c>
      <c r="I363" s="3">
        <v>5.6</v>
      </c>
      <c r="J363" s="5" t="s">
        <v>1426</v>
      </c>
      <c r="K363" s="3" t="s">
        <v>1420</v>
      </c>
    </row>
    <row r="364" spans="1:11" x14ac:dyDescent="0.2">
      <c r="A364" s="2" t="s">
        <v>373</v>
      </c>
      <c r="B364" s="2" t="s">
        <v>380</v>
      </c>
      <c r="C364" s="2" t="s">
        <v>381</v>
      </c>
      <c r="D364" s="2" t="s">
        <v>1448</v>
      </c>
      <c r="E364" s="2" t="s">
        <v>1449</v>
      </c>
      <c r="F364" s="2">
        <v>137.24</v>
      </c>
      <c r="G364" s="2" t="s">
        <v>1415</v>
      </c>
      <c r="H364" s="2">
        <v>136</v>
      </c>
      <c r="I364" s="2">
        <v>145</v>
      </c>
      <c r="J364" s="2" t="s">
        <v>1416</v>
      </c>
      <c r="K364" s="2" t="s">
        <v>1431</v>
      </c>
    </row>
    <row r="365" spans="1:11" x14ac:dyDescent="0.2">
      <c r="A365" s="3" t="s">
        <v>373</v>
      </c>
      <c r="B365" s="3" t="s">
        <v>380</v>
      </c>
      <c r="C365" s="3" t="s">
        <v>381</v>
      </c>
      <c r="D365" s="3" t="s">
        <v>1418</v>
      </c>
      <c r="E365" s="3" t="s">
        <v>1419</v>
      </c>
      <c r="F365" s="3">
        <v>4.8099999999999996</v>
      </c>
      <c r="G365" s="3" t="s">
        <v>1415</v>
      </c>
      <c r="H365" s="3">
        <v>3.5</v>
      </c>
      <c r="I365" s="3">
        <v>5</v>
      </c>
      <c r="J365" s="3" t="s">
        <v>1416</v>
      </c>
      <c r="K365" s="3" t="s">
        <v>1417</v>
      </c>
    </row>
    <row r="366" spans="1:11" x14ac:dyDescent="0.2">
      <c r="A366" s="2" t="s">
        <v>373</v>
      </c>
      <c r="B366" s="2" t="s">
        <v>380</v>
      </c>
      <c r="C366" s="2" t="s">
        <v>381</v>
      </c>
      <c r="D366" s="2" t="s">
        <v>1413</v>
      </c>
      <c r="E366" s="2" t="s">
        <v>1414</v>
      </c>
      <c r="F366" s="2">
        <v>0.85</v>
      </c>
      <c r="G366" s="2" t="s">
        <v>1415</v>
      </c>
      <c r="H366" s="2">
        <v>1</v>
      </c>
      <c r="I366" s="2">
        <v>5</v>
      </c>
      <c r="J366" s="5" t="s">
        <v>1430</v>
      </c>
      <c r="K366" s="2" t="s">
        <v>1420</v>
      </c>
    </row>
    <row r="367" spans="1:11" x14ac:dyDescent="0.2">
      <c r="A367" s="3" t="s">
        <v>373</v>
      </c>
      <c r="B367" s="3" t="s">
        <v>380</v>
      </c>
      <c r="C367" s="3" t="s">
        <v>381</v>
      </c>
      <c r="D367" s="3" t="s">
        <v>1455</v>
      </c>
      <c r="E367" s="3" t="s">
        <v>1456</v>
      </c>
      <c r="F367" s="3">
        <v>270.73</v>
      </c>
      <c r="G367" s="3" t="s">
        <v>1457</v>
      </c>
      <c r="H367" s="3">
        <v>40</v>
      </c>
      <c r="I367" s="3">
        <v>130</v>
      </c>
      <c r="J367" s="5" t="s">
        <v>1426</v>
      </c>
      <c r="K367" s="3" t="s">
        <v>1434</v>
      </c>
    </row>
    <row r="368" spans="1:11" x14ac:dyDescent="0.2">
      <c r="A368" s="2" t="s">
        <v>373</v>
      </c>
      <c r="B368" s="2" t="s">
        <v>383</v>
      </c>
      <c r="C368" s="2" t="s">
        <v>384</v>
      </c>
      <c r="D368" s="2" t="s">
        <v>1413</v>
      </c>
      <c r="E368" s="2" t="s">
        <v>1414</v>
      </c>
      <c r="F368" s="2">
        <v>1.1399999999999999</v>
      </c>
      <c r="G368" s="2" t="s">
        <v>1415</v>
      </c>
      <c r="H368" s="2">
        <v>1</v>
      </c>
      <c r="I368" s="2">
        <v>5</v>
      </c>
      <c r="J368" s="2" t="s">
        <v>1416</v>
      </c>
      <c r="K368" s="2" t="s">
        <v>1431</v>
      </c>
    </row>
    <row r="369" spans="1:11" x14ac:dyDescent="0.2">
      <c r="A369" s="3" t="s">
        <v>373</v>
      </c>
      <c r="B369" s="3" t="s">
        <v>383</v>
      </c>
      <c r="C369" s="3" t="s">
        <v>384</v>
      </c>
      <c r="D369" s="3" t="s">
        <v>1448</v>
      </c>
      <c r="E369" s="3" t="s">
        <v>1449</v>
      </c>
      <c r="F369" s="3">
        <v>136.15</v>
      </c>
      <c r="G369" s="3" t="s">
        <v>1415</v>
      </c>
      <c r="H369" s="3">
        <v>136</v>
      </c>
      <c r="I369" s="3">
        <v>145</v>
      </c>
      <c r="J369" s="3" t="s">
        <v>1416</v>
      </c>
      <c r="K369" s="3" t="s">
        <v>1431</v>
      </c>
    </row>
    <row r="370" spans="1:11" x14ac:dyDescent="0.2">
      <c r="A370" s="2" t="s">
        <v>373</v>
      </c>
      <c r="B370" s="2" t="s">
        <v>383</v>
      </c>
      <c r="C370" s="2" t="s">
        <v>384</v>
      </c>
      <c r="D370" s="2" t="s">
        <v>1437</v>
      </c>
      <c r="E370" s="2" t="s">
        <v>1438</v>
      </c>
      <c r="F370" s="2">
        <v>15.56</v>
      </c>
      <c r="G370" s="2" t="s">
        <v>1439</v>
      </c>
      <c r="H370" s="2">
        <v>12</v>
      </c>
      <c r="I370" s="2">
        <v>17.5</v>
      </c>
      <c r="J370" s="2" t="s">
        <v>1416</v>
      </c>
      <c r="K370" s="2" t="s">
        <v>1434</v>
      </c>
    </row>
    <row r="371" spans="1:11" x14ac:dyDescent="0.2">
      <c r="A371" s="3" t="s">
        <v>373</v>
      </c>
      <c r="B371" s="3" t="s">
        <v>383</v>
      </c>
      <c r="C371" s="3" t="s">
        <v>384</v>
      </c>
      <c r="D371" s="3" t="s">
        <v>1440</v>
      </c>
      <c r="E371" s="3" t="s">
        <v>1441</v>
      </c>
      <c r="F371" s="3">
        <v>7.35</v>
      </c>
      <c r="G371" s="3" t="s">
        <v>1442</v>
      </c>
      <c r="H371" s="3">
        <v>4</v>
      </c>
      <c r="I371" s="3">
        <v>5.6</v>
      </c>
      <c r="J371" s="5" t="s">
        <v>1426</v>
      </c>
      <c r="K371" s="3" t="s">
        <v>1434</v>
      </c>
    </row>
    <row r="372" spans="1:11" x14ac:dyDescent="0.2">
      <c r="A372" s="2" t="s">
        <v>373</v>
      </c>
      <c r="B372" s="2" t="s">
        <v>383</v>
      </c>
      <c r="C372" s="2" t="s">
        <v>384</v>
      </c>
      <c r="D372" s="2" t="s">
        <v>1423</v>
      </c>
      <c r="E372" s="2" t="s">
        <v>1424</v>
      </c>
      <c r="F372" s="2">
        <v>5.03</v>
      </c>
      <c r="G372" s="2" t="s">
        <v>1425</v>
      </c>
      <c r="H372" s="2">
        <v>4.5</v>
      </c>
      <c r="I372" s="2">
        <v>5.5</v>
      </c>
      <c r="J372" s="2" t="s">
        <v>1416</v>
      </c>
      <c r="K372" s="2" t="s">
        <v>1431</v>
      </c>
    </row>
    <row r="373" spans="1:11" x14ac:dyDescent="0.2">
      <c r="A373" s="3" t="s">
        <v>373</v>
      </c>
      <c r="B373" s="3" t="s">
        <v>383</v>
      </c>
      <c r="C373" s="3" t="s">
        <v>384</v>
      </c>
      <c r="D373" s="3" t="s">
        <v>1435</v>
      </c>
      <c r="E373" s="3" t="s">
        <v>1436</v>
      </c>
      <c r="F373" s="3">
        <v>0.99</v>
      </c>
      <c r="G373" s="3" t="s">
        <v>1415</v>
      </c>
      <c r="H373" s="3">
        <v>0.8</v>
      </c>
      <c r="I373" s="3">
        <v>1.5</v>
      </c>
      <c r="J373" s="3" t="s">
        <v>1416</v>
      </c>
      <c r="K373" s="3" t="s">
        <v>1417</v>
      </c>
    </row>
    <row r="374" spans="1:11" x14ac:dyDescent="0.2">
      <c r="A374" s="2" t="s">
        <v>373</v>
      </c>
      <c r="B374" s="2" t="s">
        <v>383</v>
      </c>
      <c r="C374" s="2" t="s">
        <v>384</v>
      </c>
      <c r="D374" s="2" t="s">
        <v>1446</v>
      </c>
      <c r="E374" s="2" t="s">
        <v>1447</v>
      </c>
      <c r="F374" s="2">
        <v>2.62</v>
      </c>
      <c r="G374" s="2" t="s">
        <v>1415</v>
      </c>
      <c r="H374" s="2">
        <v>2.1</v>
      </c>
      <c r="I374" s="2">
        <v>2.6</v>
      </c>
      <c r="J374" s="5" t="s">
        <v>1426</v>
      </c>
      <c r="K374" s="2" t="s">
        <v>1431</v>
      </c>
    </row>
    <row r="375" spans="1:11" x14ac:dyDescent="0.2">
      <c r="A375" s="3" t="s">
        <v>373</v>
      </c>
      <c r="B375" s="3" t="s">
        <v>383</v>
      </c>
      <c r="C375" s="3" t="s">
        <v>384</v>
      </c>
      <c r="D375" s="3" t="s">
        <v>1427</v>
      </c>
      <c r="E375" s="3" t="s">
        <v>1428</v>
      </c>
      <c r="F375" s="3">
        <v>16.850000000000001</v>
      </c>
      <c r="G375" s="3" t="s">
        <v>1429</v>
      </c>
      <c r="H375" s="3">
        <v>4</v>
      </c>
      <c r="I375" s="3">
        <v>11</v>
      </c>
      <c r="J375" s="5" t="s">
        <v>1426</v>
      </c>
      <c r="K375" s="3" t="s">
        <v>1434</v>
      </c>
    </row>
    <row r="376" spans="1:11" x14ac:dyDescent="0.2">
      <c r="A376" s="2" t="s">
        <v>373</v>
      </c>
      <c r="B376" s="2" t="s">
        <v>386</v>
      </c>
      <c r="C376" s="2" t="s">
        <v>387</v>
      </c>
      <c r="D376" s="2" t="s">
        <v>1448</v>
      </c>
      <c r="E376" s="2" t="s">
        <v>1449</v>
      </c>
      <c r="F376" s="2">
        <v>142.75</v>
      </c>
      <c r="G376" s="2" t="s">
        <v>1415</v>
      </c>
      <c r="H376" s="2">
        <v>136</v>
      </c>
      <c r="I376" s="2">
        <v>145</v>
      </c>
      <c r="J376" s="2" t="s">
        <v>1416</v>
      </c>
      <c r="K376" s="2" t="s">
        <v>1417</v>
      </c>
    </row>
    <row r="377" spans="1:11" x14ac:dyDescent="0.2">
      <c r="A377" s="3" t="s">
        <v>373</v>
      </c>
      <c r="B377" s="3" t="s">
        <v>386</v>
      </c>
      <c r="C377" s="3" t="s">
        <v>387</v>
      </c>
      <c r="D377" s="3" t="s">
        <v>1440</v>
      </c>
      <c r="E377" s="3" t="s">
        <v>1441</v>
      </c>
      <c r="F377" s="3">
        <v>11.3</v>
      </c>
      <c r="G377" s="3" t="s">
        <v>1442</v>
      </c>
      <c r="H377" s="3">
        <v>4</v>
      </c>
      <c r="I377" s="3">
        <v>5.6</v>
      </c>
      <c r="J377" s="5" t="s">
        <v>1426</v>
      </c>
      <c r="K377" s="3" t="s">
        <v>1417</v>
      </c>
    </row>
    <row r="378" spans="1:11" x14ac:dyDescent="0.2">
      <c r="A378" s="2" t="s">
        <v>373</v>
      </c>
      <c r="B378" s="2" t="s">
        <v>386</v>
      </c>
      <c r="C378" s="2" t="s">
        <v>387</v>
      </c>
      <c r="D378" s="2" t="s">
        <v>1443</v>
      </c>
      <c r="E378" s="2" t="s">
        <v>1444</v>
      </c>
      <c r="F378" s="2">
        <v>64.8</v>
      </c>
      <c r="G378" s="2" t="s">
        <v>1445</v>
      </c>
      <c r="H378" s="2">
        <v>53</v>
      </c>
      <c r="I378" s="2">
        <v>97</v>
      </c>
      <c r="J378" s="2" t="s">
        <v>1416</v>
      </c>
      <c r="K378" s="2" t="s">
        <v>1434</v>
      </c>
    </row>
    <row r="379" spans="1:11" x14ac:dyDescent="0.2">
      <c r="A379" s="3" t="s">
        <v>373</v>
      </c>
      <c r="B379" s="3" t="s">
        <v>386</v>
      </c>
      <c r="C379" s="3" t="s">
        <v>387</v>
      </c>
      <c r="D379" s="3" t="s">
        <v>1453</v>
      </c>
      <c r="E379" s="3" t="s">
        <v>1454</v>
      </c>
      <c r="F379" s="3">
        <v>5.2</v>
      </c>
      <c r="G379" s="3" t="s">
        <v>1415</v>
      </c>
      <c r="H379" s="3">
        <v>3.9</v>
      </c>
      <c r="I379" s="3">
        <v>5.5</v>
      </c>
      <c r="J379" s="3" t="s">
        <v>1416</v>
      </c>
      <c r="K379" s="3" t="s">
        <v>1417</v>
      </c>
    </row>
    <row r="380" spans="1:11" x14ac:dyDescent="0.2">
      <c r="A380" s="2" t="s">
        <v>373</v>
      </c>
      <c r="B380" s="2" t="s">
        <v>386</v>
      </c>
      <c r="C380" s="2" t="s">
        <v>387</v>
      </c>
      <c r="D380" s="2" t="s">
        <v>1427</v>
      </c>
      <c r="E380" s="2" t="s">
        <v>1428</v>
      </c>
      <c r="F380" s="2">
        <v>7.19</v>
      </c>
      <c r="G380" s="2" t="s">
        <v>1429</v>
      </c>
      <c r="H380" s="2">
        <v>4</v>
      </c>
      <c r="I380" s="2">
        <v>11</v>
      </c>
      <c r="J380" s="2" t="s">
        <v>1416</v>
      </c>
      <c r="K380" s="2" t="s">
        <v>1431</v>
      </c>
    </row>
    <row r="381" spans="1:11" x14ac:dyDescent="0.2">
      <c r="A381" s="3" t="s">
        <v>389</v>
      </c>
      <c r="B381" s="3" t="s">
        <v>390</v>
      </c>
      <c r="C381" s="3" t="s">
        <v>391</v>
      </c>
      <c r="D381" s="3" t="s">
        <v>1435</v>
      </c>
      <c r="E381" s="3" t="s">
        <v>1436</v>
      </c>
      <c r="F381" s="3">
        <v>0.86</v>
      </c>
      <c r="G381" s="3" t="s">
        <v>1415</v>
      </c>
      <c r="H381" s="3">
        <v>0.8</v>
      </c>
      <c r="I381" s="3">
        <v>1.5</v>
      </c>
      <c r="J381" s="3" t="s">
        <v>1416</v>
      </c>
      <c r="K381" s="3" t="s">
        <v>1417</v>
      </c>
    </row>
    <row r="382" spans="1:11" x14ac:dyDescent="0.2">
      <c r="A382" s="2" t="s">
        <v>389</v>
      </c>
      <c r="B382" s="2" t="s">
        <v>390</v>
      </c>
      <c r="C382" s="2" t="s">
        <v>391</v>
      </c>
      <c r="D382" s="2" t="s">
        <v>1418</v>
      </c>
      <c r="E382" s="2" t="s">
        <v>1419</v>
      </c>
      <c r="F382" s="2">
        <v>4.04</v>
      </c>
      <c r="G382" s="2" t="s">
        <v>1415</v>
      </c>
      <c r="H382" s="2">
        <v>3.5</v>
      </c>
      <c r="I382" s="2">
        <v>5</v>
      </c>
      <c r="J382" s="2" t="s">
        <v>1416</v>
      </c>
      <c r="K382" s="2" t="s">
        <v>1434</v>
      </c>
    </row>
    <row r="383" spans="1:11" x14ac:dyDescent="0.2">
      <c r="A383" s="3" t="s">
        <v>389</v>
      </c>
      <c r="B383" s="3" t="s">
        <v>390</v>
      </c>
      <c r="C383" s="3" t="s">
        <v>391</v>
      </c>
      <c r="D383" s="3" t="s">
        <v>1450</v>
      </c>
      <c r="E383" s="3" t="s">
        <v>1451</v>
      </c>
      <c r="F383" s="3">
        <v>28.41</v>
      </c>
      <c r="G383" s="3" t="s">
        <v>1452</v>
      </c>
      <c r="H383" s="3">
        <v>60</v>
      </c>
      <c r="I383" s="3">
        <v>120</v>
      </c>
      <c r="J383" s="5" t="s">
        <v>1430</v>
      </c>
      <c r="K383" s="3" t="s">
        <v>1434</v>
      </c>
    </row>
    <row r="384" spans="1:11" x14ac:dyDescent="0.2">
      <c r="A384" s="2" t="s">
        <v>389</v>
      </c>
      <c r="B384" s="2" t="s">
        <v>390</v>
      </c>
      <c r="C384" s="2" t="s">
        <v>391</v>
      </c>
      <c r="D384" s="2" t="s">
        <v>1455</v>
      </c>
      <c r="E384" s="2" t="s">
        <v>1456</v>
      </c>
      <c r="F384" s="2">
        <v>186.55</v>
      </c>
      <c r="G384" s="2" t="s">
        <v>1457</v>
      </c>
      <c r="H384" s="2">
        <v>40</v>
      </c>
      <c r="I384" s="2">
        <v>130</v>
      </c>
      <c r="J384" s="5" t="s">
        <v>1426</v>
      </c>
      <c r="K384" s="2" t="s">
        <v>1431</v>
      </c>
    </row>
    <row r="385" spans="1:11" x14ac:dyDescent="0.2">
      <c r="A385" s="3" t="s">
        <v>389</v>
      </c>
      <c r="B385" s="3" t="s">
        <v>390</v>
      </c>
      <c r="C385" s="3" t="s">
        <v>391</v>
      </c>
      <c r="D385" s="3" t="s">
        <v>1437</v>
      </c>
      <c r="E385" s="3" t="s">
        <v>1438</v>
      </c>
      <c r="F385" s="3">
        <v>6.3</v>
      </c>
      <c r="G385" s="3" t="s">
        <v>1439</v>
      </c>
      <c r="H385" s="3">
        <v>12</v>
      </c>
      <c r="I385" s="3">
        <v>17.5</v>
      </c>
      <c r="J385" s="5" t="s">
        <v>1430</v>
      </c>
      <c r="K385" s="3" t="s">
        <v>1417</v>
      </c>
    </row>
    <row r="386" spans="1:11" x14ac:dyDescent="0.2">
      <c r="A386" s="2" t="s">
        <v>389</v>
      </c>
      <c r="B386" s="2" t="s">
        <v>390</v>
      </c>
      <c r="C386" s="2" t="s">
        <v>391</v>
      </c>
      <c r="D386" s="2" t="s">
        <v>1453</v>
      </c>
      <c r="E386" s="2" t="s">
        <v>1454</v>
      </c>
      <c r="F386" s="2">
        <v>5.37</v>
      </c>
      <c r="G386" s="2" t="s">
        <v>1415</v>
      </c>
      <c r="H386" s="2">
        <v>3.9</v>
      </c>
      <c r="I386" s="2">
        <v>5.5</v>
      </c>
      <c r="J386" s="2" t="s">
        <v>1416</v>
      </c>
      <c r="K386" s="2" t="s">
        <v>1434</v>
      </c>
    </row>
    <row r="387" spans="1:11" x14ac:dyDescent="0.2">
      <c r="A387" s="3" t="s">
        <v>389</v>
      </c>
      <c r="B387" s="3" t="s">
        <v>390</v>
      </c>
      <c r="C387" s="3" t="s">
        <v>391</v>
      </c>
      <c r="D387" s="3" t="s">
        <v>1448</v>
      </c>
      <c r="E387" s="3" t="s">
        <v>1449</v>
      </c>
      <c r="F387" s="3">
        <v>144.91999999999999</v>
      </c>
      <c r="G387" s="3" t="s">
        <v>1415</v>
      </c>
      <c r="H387" s="3">
        <v>136</v>
      </c>
      <c r="I387" s="3">
        <v>145</v>
      </c>
      <c r="J387" s="3" t="s">
        <v>1416</v>
      </c>
      <c r="K387" s="3" t="s">
        <v>1431</v>
      </c>
    </row>
    <row r="388" spans="1:11" x14ac:dyDescent="0.2">
      <c r="A388" s="2" t="s">
        <v>389</v>
      </c>
      <c r="B388" s="2" t="s">
        <v>390</v>
      </c>
      <c r="C388" s="2" t="s">
        <v>391</v>
      </c>
      <c r="D388" s="2" t="s">
        <v>1446</v>
      </c>
      <c r="E388" s="2" t="s">
        <v>1447</v>
      </c>
      <c r="F388" s="2">
        <v>2.2599999999999998</v>
      </c>
      <c r="G388" s="2" t="s">
        <v>1415</v>
      </c>
      <c r="H388" s="2">
        <v>2.1</v>
      </c>
      <c r="I388" s="2">
        <v>2.6</v>
      </c>
      <c r="J388" s="2" t="s">
        <v>1416</v>
      </c>
      <c r="K388" s="2" t="s">
        <v>1417</v>
      </c>
    </row>
    <row r="389" spans="1:11" x14ac:dyDescent="0.2">
      <c r="A389" s="3" t="s">
        <v>389</v>
      </c>
      <c r="B389" s="3" t="s">
        <v>395</v>
      </c>
      <c r="C389" s="3" t="s">
        <v>396</v>
      </c>
      <c r="D389" s="3" t="s">
        <v>1423</v>
      </c>
      <c r="E389" s="3" t="s">
        <v>1424</v>
      </c>
      <c r="F389" s="3">
        <v>5.14</v>
      </c>
      <c r="G389" s="3" t="s">
        <v>1425</v>
      </c>
      <c r="H389" s="3">
        <v>4.5</v>
      </c>
      <c r="I389" s="3">
        <v>5.5</v>
      </c>
      <c r="J389" s="3" t="s">
        <v>1416</v>
      </c>
      <c r="K389" s="3" t="s">
        <v>1431</v>
      </c>
    </row>
    <row r="390" spans="1:11" x14ac:dyDescent="0.2">
      <c r="A390" s="2" t="s">
        <v>389</v>
      </c>
      <c r="B390" s="2" t="s">
        <v>395</v>
      </c>
      <c r="C390" s="2" t="s">
        <v>396</v>
      </c>
      <c r="D390" s="2" t="s">
        <v>1440</v>
      </c>
      <c r="E390" s="2" t="s">
        <v>1441</v>
      </c>
      <c r="F390" s="2">
        <v>7.63</v>
      </c>
      <c r="G390" s="2" t="s">
        <v>1442</v>
      </c>
      <c r="H390" s="2">
        <v>4</v>
      </c>
      <c r="I390" s="2">
        <v>5.6</v>
      </c>
      <c r="J390" s="5" t="s">
        <v>1426</v>
      </c>
      <c r="K390" s="2" t="s">
        <v>1434</v>
      </c>
    </row>
    <row r="391" spans="1:11" x14ac:dyDescent="0.2">
      <c r="A391" s="3" t="s">
        <v>389</v>
      </c>
      <c r="B391" s="3" t="s">
        <v>395</v>
      </c>
      <c r="C391" s="3" t="s">
        <v>396</v>
      </c>
      <c r="D391" s="3" t="s">
        <v>1453</v>
      </c>
      <c r="E391" s="3" t="s">
        <v>1454</v>
      </c>
      <c r="F391" s="3">
        <v>5.97</v>
      </c>
      <c r="G391" s="3" t="s">
        <v>1415</v>
      </c>
      <c r="H391" s="3">
        <v>3.9</v>
      </c>
      <c r="I391" s="3">
        <v>5.5</v>
      </c>
      <c r="J391" s="5" t="s">
        <v>1426</v>
      </c>
      <c r="K391" s="3" t="s">
        <v>1417</v>
      </c>
    </row>
    <row r="392" spans="1:11" x14ac:dyDescent="0.2">
      <c r="A392" s="2" t="s">
        <v>389</v>
      </c>
      <c r="B392" s="2" t="s">
        <v>395</v>
      </c>
      <c r="C392" s="2" t="s">
        <v>396</v>
      </c>
      <c r="D392" s="2" t="s">
        <v>1432</v>
      </c>
      <c r="E392" s="2" t="s">
        <v>1433</v>
      </c>
      <c r="F392" s="2">
        <v>1.44</v>
      </c>
      <c r="G392" s="2" t="s">
        <v>1415</v>
      </c>
      <c r="H392" s="2">
        <v>0</v>
      </c>
      <c r="I392" s="2">
        <v>3</v>
      </c>
      <c r="J392" s="2" t="s">
        <v>1416</v>
      </c>
      <c r="K392" s="2" t="s">
        <v>1434</v>
      </c>
    </row>
    <row r="393" spans="1:11" x14ac:dyDescent="0.2">
      <c r="A393" s="3" t="s">
        <v>389</v>
      </c>
      <c r="B393" s="3" t="s">
        <v>395</v>
      </c>
      <c r="C393" s="3" t="s">
        <v>396</v>
      </c>
      <c r="D393" s="3" t="s">
        <v>1450</v>
      </c>
      <c r="E393" s="3" t="s">
        <v>1451</v>
      </c>
      <c r="F393" s="3">
        <v>101.65</v>
      </c>
      <c r="G393" s="3" t="s">
        <v>1452</v>
      </c>
      <c r="H393" s="3">
        <v>60</v>
      </c>
      <c r="I393" s="3">
        <v>120</v>
      </c>
      <c r="J393" s="3" t="s">
        <v>1416</v>
      </c>
      <c r="K393" s="3" t="s">
        <v>1431</v>
      </c>
    </row>
    <row r="394" spans="1:11" x14ac:dyDescent="0.2">
      <c r="A394" s="2" t="s">
        <v>389</v>
      </c>
      <c r="B394" s="2" t="s">
        <v>400</v>
      </c>
      <c r="C394" s="2" t="s">
        <v>401</v>
      </c>
      <c r="D394" s="2" t="s">
        <v>1455</v>
      </c>
      <c r="E394" s="2" t="s">
        <v>1456</v>
      </c>
      <c r="F394" s="2">
        <v>286.16000000000003</v>
      </c>
      <c r="G394" s="2" t="s">
        <v>1457</v>
      </c>
      <c r="H394" s="2">
        <v>40</v>
      </c>
      <c r="I394" s="2">
        <v>130</v>
      </c>
      <c r="J394" s="5" t="s">
        <v>1426</v>
      </c>
      <c r="K394" s="2" t="s">
        <v>1434</v>
      </c>
    </row>
    <row r="395" spans="1:11" x14ac:dyDescent="0.2">
      <c r="A395" s="3" t="s">
        <v>389</v>
      </c>
      <c r="B395" s="3" t="s">
        <v>400</v>
      </c>
      <c r="C395" s="3" t="s">
        <v>401</v>
      </c>
      <c r="D395" s="3" t="s">
        <v>1453</v>
      </c>
      <c r="E395" s="3" t="s">
        <v>1454</v>
      </c>
      <c r="F395" s="3">
        <v>4.2</v>
      </c>
      <c r="G395" s="3" t="s">
        <v>1415</v>
      </c>
      <c r="H395" s="3">
        <v>3.9</v>
      </c>
      <c r="I395" s="3">
        <v>5.5</v>
      </c>
      <c r="J395" s="3" t="s">
        <v>1416</v>
      </c>
      <c r="K395" s="3" t="s">
        <v>1431</v>
      </c>
    </row>
    <row r="396" spans="1:11" x14ac:dyDescent="0.2">
      <c r="A396" s="2" t="s">
        <v>389</v>
      </c>
      <c r="B396" s="2" t="s">
        <v>400</v>
      </c>
      <c r="C396" s="2" t="s">
        <v>401</v>
      </c>
      <c r="D396" s="2" t="s">
        <v>1440</v>
      </c>
      <c r="E396" s="2" t="s">
        <v>1441</v>
      </c>
      <c r="F396" s="2">
        <v>9.24</v>
      </c>
      <c r="G396" s="2" t="s">
        <v>1442</v>
      </c>
      <c r="H396" s="2">
        <v>4</v>
      </c>
      <c r="I396" s="2">
        <v>5.6</v>
      </c>
      <c r="J396" s="5" t="s">
        <v>1426</v>
      </c>
      <c r="K396" s="2" t="s">
        <v>1434</v>
      </c>
    </row>
    <row r="397" spans="1:11" x14ac:dyDescent="0.2">
      <c r="A397" s="3" t="s">
        <v>389</v>
      </c>
      <c r="B397" s="3" t="s">
        <v>400</v>
      </c>
      <c r="C397" s="3" t="s">
        <v>401</v>
      </c>
      <c r="D397" s="3" t="s">
        <v>1423</v>
      </c>
      <c r="E397" s="3" t="s">
        <v>1424</v>
      </c>
      <c r="F397" s="3">
        <v>4.6900000000000004</v>
      </c>
      <c r="G397" s="3" t="s">
        <v>1425</v>
      </c>
      <c r="H397" s="3">
        <v>4.5</v>
      </c>
      <c r="I397" s="3">
        <v>5.5</v>
      </c>
      <c r="J397" s="3" t="s">
        <v>1416</v>
      </c>
      <c r="K397" s="3" t="s">
        <v>1434</v>
      </c>
    </row>
    <row r="398" spans="1:11" x14ac:dyDescent="0.2">
      <c r="A398" s="2" t="s">
        <v>389</v>
      </c>
      <c r="B398" s="2" t="s">
        <v>400</v>
      </c>
      <c r="C398" s="2" t="s">
        <v>401</v>
      </c>
      <c r="D398" s="2" t="s">
        <v>1450</v>
      </c>
      <c r="E398" s="2" t="s">
        <v>1451</v>
      </c>
      <c r="F398" s="2">
        <v>24.73</v>
      </c>
      <c r="G398" s="2" t="s">
        <v>1452</v>
      </c>
      <c r="H398" s="2">
        <v>60</v>
      </c>
      <c r="I398" s="2">
        <v>120</v>
      </c>
      <c r="J398" s="5" t="s">
        <v>1430</v>
      </c>
      <c r="K398" s="2" t="s">
        <v>1434</v>
      </c>
    </row>
    <row r="399" spans="1:11" x14ac:dyDescent="0.2">
      <c r="A399" s="3" t="s">
        <v>389</v>
      </c>
      <c r="B399" s="3" t="s">
        <v>400</v>
      </c>
      <c r="C399" s="3" t="s">
        <v>401</v>
      </c>
      <c r="D399" s="3" t="s">
        <v>1443</v>
      </c>
      <c r="E399" s="3" t="s">
        <v>1444</v>
      </c>
      <c r="F399" s="3">
        <v>75.25</v>
      </c>
      <c r="G399" s="3" t="s">
        <v>1445</v>
      </c>
      <c r="H399" s="3">
        <v>53</v>
      </c>
      <c r="I399" s="3">
        <v>97</v>
      </c>
      <c r="J399" s="3" t="s">
        <v>1416</v>
      </c>
      <c r="K399" s="3" t="s">
        <v>1420</v>
      </c>
    </row>
    <row r="400" spans="1:11" x14ac:dyDescent="0.2">
      <c r="A400" s="2" t="s">
        <v>389</v>
      </c>
      <c r="B400" s="2" t="s">
        <v>400</v>
      </c>
      <c r="C400" s="2" t="s">
        <v>401</v>
      </c>
      <c r="D400" s="2" t="s">
        <v>1427</v>
      </c>
      <c r="E400" s="2" t="s">
        <v>1428</v>
      </c>
      <c r="F400" s="2">
        <v>17.48</v>
      </c>
      <c r="G400" s="2" t="s">
        <v>1429</v>
      </c>
      <c r="H400" s="2">
        <v>4</v>
      </c>
      <c r="I400" s="2">
        <v>11</v>
      </c>
      <c r="J400" s="5" t="s">
        <v>1426</v>
      </c>
      <c r="K400" s="2" t="s">
        <v>1431</v>
      </c>
    </row>
    <row r="401" spans="1:11" x14ac:dyDescent="0.2">
      <c r="A401" s="3" t="s">
        <v>389</v>
      </c>
      <c r="B401" s="3" t="s">
        <v>400</v>
      </c>
      <c r="C401" s="3" t="s">
        <v>401</v>
      </c>
      <c r="D401" s="3" t="s">
        <v>1448</v>
      </c>
      <c r="E401" s="3" t="s">
        <v>1449</v>
      </c>
      <c r="F401" s="3">
        <v>139.35</v>
      </c>
      <c r="G401" s="3" t="s">
        <v>1415</v>
      </c>
      <c r="H401" s="3">
        <v>136</v>
      </c>
      <c r="I401" s="3">
        <v>145</v>
      </c>
      <c r="J401" s="3" t="s">
        <v>1416</v>
      </c>
      <c r="K401" s="3" t="s">
        <v>1434</v>
      </c>
    </row>
    <row r="402" spans="1:11" x14ac:dyDescent="0.2">
      <c r="A402" s="2" t="s">
        <v>389</v>
      </c>
      <c r="B402" s="2" t="s">
        <v>404</v>
      </c>
      <c r="C402" s="2" t="s">
        <v>405</v>
      </c>
      <c r="D402" s="2" t="s">
        <v>1413</v>
      </c>
      <c r="E402" s="2" t="s">
        <v>1414</v>
      </c>
      <c r="F402" s="2">
        <v>1.69</v>
      </c>
      <c r="G402" s="2" t="s">
        <v>1415</v>
      </c>
      <c r="H402" s="2">
        <v>1</v>
      </c>
      <c r="I402" s="2">
        <v>5</v>
      </c>
      <c r="J402" s="2" t="s">
        <v>1416</v>
      </c>
      <c r="K402" s="2" t="s">
        <v>1417</v>
      </c>
    </row>
    <row r="403" spans="1:11" x14ac:dyDescent="0.2">
      <c r="A403" s="3" t="s">
        <v>389</v>
      </c>
      <c r="B403" s="3" t="s">
        <v>404</v>
      </c>
      <c r="C403" s="3" t="s">
        <v>405</v>
      </c>
      <c r="D403" s="3" t="s">
        <v>1443</v>
      </c>
      <c r="E403" s="3" t="s">
        <v>1444</v>
      </c>
      <c r="F403" s="3">
        <v>60.59</v>
      </c>
      <c r="G403" s="3" t="s">
        <v>1445</v>
      </c>
      <c r="H403" s="3">
        <v>53</v>
      </c>
      <c r="I403" s="3">
        <v>97</v>
      </c>
      <c r="J403" s="3" t="s">
        <v>1416</v>
      </c>
      <c r="K403" s="3" t="s">
        <v>1417</v>
      </c>
    </row>
    <row r="404" spans="1:11" x14ac:dyDescent="0.2">
      <c r="A404" s="2" t="s">
        <v>389</v>
      </c>
      <c r="B404" s="2" t="s">
        <v>404</v>
      </c>
      <c r="C404" s="2" t="s">
        <v>405</v>
      </c>
      <c r="D404" s="2" t="s">
        <v>1427</v>
      </c>
      <c r="E404" s="2" t="s">
        <v>1428</v>
      </c>
      <c r="F404" s="2">
        <v>13.27</v>
      </c>
      <c r="G404" s="2" t="s">
        <v>1429</v>
      </c>
      <c r="H404" s="2">
        <v>4</v>
      </c>
      <c r="I404" s="2">
        <v>11</v>
      </c>
      <c r="J404" s="5" t="s">
        <v>1426</v>
      </c>
      <c r="K404" s="2" t="s">
        <v>1420</v>
      </c>
    </row>
    <row r="405" spans="1:11" x14ac:dyDescent="0.2">
      <c r="A405" s="3" t="s">
        <v>389</v>
      </c>
      <c r="B405" s="3" t="s">
        <v>404</v>
      </c>
      <c r="C405" s="3" t="s">
        <v>405</v>
      </c>
      <c r="D405" s="3" t="s">
        <v>1455</v>
      </c>
      <c r="E405" s="3" t="s">
        <v>1456</v>
      </c>
      <c r="F405" s="3">
        <v>223.98</v>
      </c>
      <c r="G405" s="3" t="s">
        <v>1457</v>
      </c>
      <c r="H405" s="3">
        <v>40</v>
      </c>
      <c r="I405" s="3">
        <v>130</v>
      </c>
      <c r="J405" s="5" t="s">
        <v>1426</v>
      </c>
      <c r="K405" s="3" t="s">
        <v>1431</v>
      </c>
    </row>
    <row r="406" spans="1:11" x14ac:dyDescent="0.2">
      <c r="A406" s="2" t="s">
        <v>409</v>
      </c>
      <c r="B406" s="2" t="s">
        <v>410</v>
      </c>
      <c r="C406" s="2" t="s">
        <v>411</v>
      </c>
      <c r="D406" s="2" t="s">
        <v>1453</v>
      </c>
      <c r="E406" s="2" t="s">
        <v>1454</v>
      </c>
      <c r="F406" s="2">
        <v>8.2799999999999994</v>
      </c>
      <c r="G406" s="2" t="s">
        <v>1415</v>
      </c>
      <c r="H406" s="2">
        <v>3.9</v>
      </c>
      <c r="I406" s="2">
        <v>5.5</v>
      </c>
      <c r="J406" s="5" t="s">
        <v>1426</v>
      </c>
      <c r="K406" s="2" t="s">
        <v>1431</v>
      </c>
    </row>
    <row r="407" spans="1:11" x14ac:dyDescent="0.2">
      <c r="A407" s="3" t="s">
        <v>409</v>
      </c>
      <c r="B407" s="3" t="s">
        <v>410</v>
      </c>
      <c r="C407" s="3" t="s">
        <v>411</v>
      </c>
      <c r="D407" s="3" t="s">
        <v>1437</v>
      </c>
      <c r="E407" s="3" t="s">
        <v>1438</v>
      </c>
      <c r="F407" s="3">
        <v>18.45</v>
      </c>
      <c r="G407" s="3" t="s">
        <v>1439</v>
      </c>
      <c r="H407" s="3">
        <v>12</v>
      </c>
      <c r="I407" s="3">
        <v>17.5</v>
      </c>
      <c r="J407" s="5" t="s">
        <v>1426</v>
      </c>
      <c r="K407" s="3" t="s">
        <v>1431</v>
      </c>
    </row>
    <row r="408" spans="1:11" x14ac:dyDescent="0.2">
      <c r="A408" s="2" t="s">
        <v>409</v>
      </c>
      <c r="B408" s="2" t="s">
        <v>410</v>
      </c>
      <c r="C408" s="2" t="s">
        <v>411</v>
      </c>
      <c r="D408" s="2" t="s">
        <v>1443</v>
      </c>
      <c r="E408" s="2" t="s">
        <v>1444</v>
      </c>
      <c r="F408" s="2">
        <v>78.67</v>
      </c>
      <c r="G408" s="2" t="s">
        <v>1445</v>
      </c>
      <c r="H408" s="2">
        <v>53</v>
      </c>
      <c r="I408" s="2">
        <v>97</v>
      </c>
      <c r="J408" s="2" t="s">
        <v>1416</v>
      </c>
      <c r="K408" s="2" t="s">
        <v>1420</v>
      </c>
    </row>
    <row r="409" spans="1:11" x14ac:dyDescent="0.2">
      <c r="A409" s="3" t="s">
        <v>409</v>
      </c>
      <c r="B409" s="3" t="s">
        <v>410</v>
      </c>
      <c r="C409" s="3" t="s">
        <v>411</v>
      </c>
      <c r="D409" s="3" t="s">
        <v>1421</v>
      </c>
      <c r="E409" s="3" t="s">
        <v>1422</v>
      </c>
      <c r="F409" s="3">
        <v>4.01</v>
      </c>
      <c r="G409" s="3" t="s">
        <v>1415</v>
      </c>
      <c r="H409" s="3">
        <v>0</v>
      </c>
      <c r="I409" s="3">
        <v>5</v>
      </c>
      <c r="J409" s="3" t="s">
        <v>1416</v>
      </c>
      <c r="K409" s="3" t="s">
        <v>1417</v>
      </c>
    </row>
    <row r="410" spans="1:11" x14ac:dyDescent="0.2">
      <c r="A410" s="2" t="s">
        <v>409</v>
      </c>
      <c r="B410" s="2" t="s">
        <v>410</v>
      </c>
      <c r="C410" s="2" t="s">
        <v>411</v>
      </c>
      <c r="D410" s="2" t="s">
        <v>1450</v>
      </c>
      <c r="E410" s="2" t="s">
        <v>1451</v>
      </c>
      <c r="F410" s="2">
        <v>23.55</v>
      </c>
      <c r="G410" s="2" t="s">
        <v>1452</v>
      </c>
      <c r="H410" s="2">
        <v>60</v>
      </c>
      <c r="I410" s="2">
        <v>120</v>
      </c>
      <c r="J410" s="5" t="s">
        <v>1430</v>
      </c>
      <c r="K410" s="2" t="s">
        <v>1420</v>
      </c>
    </row>
    <row r="411" spans="1:11" x14ac:dyDescent="0.2">
      <c r="A411" s="3" t="s">
        <v>409</v>
      </c>
      <c r="B411" s="3" t="s">
        <v>410</v>
      </c>
      <c r="C411" s="3" t="s">
        <v>411</v>
      </c>
      <c r="D411" s="3" t="s">
        <v>1435</v>
      </c>
      <c r="E411" s="3" t="s">
        <v>1436</v>
      </c>
      <c r="F411" s="3">
        <v>0.84</v>
      </c>
      <c r="G411" s="3" t="s">
        <v>1415</v>
      </c>
      <c r="H411" s="3">
        <v>0.8</v>
      </c>
      <c r="I411" s="3">
        <v>1.5</v>
      </c>
      <c r="J411" s="3" t="s">
        <v>1416</v>
      </c>
      <c r="K411" s="3" t="s">
        <v>1431</v>
      </c>
    </row>
    <row r="412" spans="1:11" x14ac:dyDescent="0.2">
      <c r="A412" s="2" t="s">
        <v>409</v>
      </c>
      <c r="B412" s="2" t="s">
        <v>410</v>
      </c>
      <c r="C412" s="2" t="s">
        <v>411</v>
      </c>
      <c r="D412" s="2" t="s">
        <v>1440</v>
      </c>
      <c r="E412" s="2" t="s">
        <v>1441</v>
      </c>
      <c r="F412" s="2">
        <v>7.6</v>
      </c>
      <c r="G412" s="2" t="s">
        <v>1442</v>
      </c>
      <c r="H412" s="2">
        <v>4</v>
      </c>
      <c r="I412" s="2">
        <v>5.6</v>
      </c>
      <c r="J412" s="5" t="s">
        <v>1426</v>
      </c>
      <c r="K412" s="2" t="s">
        <v>1434</v>
      </c>
    </row>
    <row r="413" spans="1:11" x14ac:dyDescent="0.2">
      <c r="A413" s="3" t="s">
        <v>409</v>
      </c>
      <c r="B413" s="3" t="s">
        <v>410</v>
      </c>
      <c r="C413" s="3" t="s">
        <v>411</v>
      </c>
      <c r="D413" s="3" t="s">
        <v>1413</v>
      </c>
      <c r="E413" s="3" t="s">
        <v>1414</v>
      </c>
      <c r="F413" s="3">
        <v>2.12</v>
      </c>
      <c r="G413" s="3" t="s">
        <v>1415</v>
      </c>
      <c r="H413" s="3">
        <v>1</v>
      </c>
      <c r="I413" s="3">
        <v>5</v>
      </c>
      <c r="J413" s="3" t="s">
        <v>1416</v>
      </c>
      <c r="K413" s="3" t="s">
        <v>1417</v>
      </c>
    </row>
    <row r="414" spans="1:11" x14ac:dyDescent="0.2">
      <c r="A414" s="2" t="s">
        <v>409</v>
      </c>
      <c r="B414" s="2" t="s">
        <v>414</v>
      </c>
      <c r="C414" s="2" t="s">
        <v>415</v>
      </c>
      <c r="D414" s="2" t="s">
        <v>1440</v>
      </c>
      <c r="E414" s="2" t="s">
        <v>1441</v>
      </c>
      <c r="F414" s="2">
        <v>8.66</v>
      </c>
      <c r="G414" s="2" t="s">
        <v>1442</v>
      </c>
      <c r="H414" s="2">
        <v>4</v>
      </c>
      <c r="I414" s="2">
        <v>5.6</v>
      </c>
      <c r="J414" s="5" t="s">
        <v>1426</v>
      </c>
      <c r="K414" s="2" t="s">
        <v>1431</v>
      </c>
    </row>
    <row r="415" spans="1:11" x14ac:dyDescent="0.2">
      <c r="A415" s="3" t="s">
        <v>409</v>
      </c>
      <c r="B415" s="3" t="s">
        <v>414</v>
      </c>
      <c r="C415" s="3" t="s">
        <v>415</v>
      </c>
      <c r="D415" s="3" t="s">
        <v>1427</v>
      </c>
      <c r="E415" s="3" t="s">
        <v>1428</v>
      </c>
      <c r="F415" s="3">
        <v>9.01</v>
      </c>
      <c r="G415" s="3" t="s">
        <v>1429</v>
      </c>
      <c r="H415" s="3">
        <v>4</v>
      </c>
      <c r="I415" s="3">
        <v>11</v>
      </c>
      <c r="J415" s="3" t="s">
        <v>1416</v>
      </c>
      <c r="K415" s="3" t="s">
        <v>1431</v>
      </c>
    </row>
    <row r="416" spans="1:11" x14ac:dyDescent="0.2">
      <c r="A416" s="2" t="s">
        <v>409</v>
      </c>
      <c r="B416" s="2" t="s">
        <v>414</v>
      </c>
      <c r="C416" s="2" t="s">
        <v>415</v>
      </c>
      <c r="D416" s="2" t="s">
        <v>1421</v>
      </c>
      <c r="E416" s="2" t="s">
        <v>1422</v>
      </c>
      <c r="F416" s="2">
        <v>4.7699999999999996</v>
      </c>
      <c r="G416" s="2" t="s">
        <v>1415</v>
      </c>
      <c r="H416" s="2">
        <v>0</v>
      </c>
      <c r="I416" s="2">
        <v>5</v>
      </c>
      <c r="J416" s="2" t="s">
        <v>1416</v>
      </c>
      <c r="K416" s="2" t="s">
        <v>1417</v>
      </c>
    </row>
    <row r="417" spans="1:11" x14ac:dyDescent="0.2">
      <c r="A417" s="3" t="s">
        <v>409</v>
      </c>
      <c r="B417" s="3" t="s">
        <v>414</v>
      </c>
      <c r="C417" s="3" t="s">
        <v>415</v>
      </c>
      <c r="D417" s="3" t="s">
        <v>1453</v>
      </c>
      <c r="E417" s="3" t="s">
        <v>1454</v>
      </c>
      <c r="F417" s="3">
        <v>5.89</v>
      </c>
      <c r="G417" s="3" t="s">
        <v>1415</v>
      </c>
      <c r="H417" s="3">
        <v>3.9</v>
      </c>
      <c r="I417" s="3">
        <v>5.5</v>
      </c>
      <c r="J417" s="5" t="s">
        <v>1426</v>
      </c>
      <c r="K417" s="3" t="s">
        <v>1431</v>
      </c>
    </row>
    <row r="418" spans="1:11" x14ac:dyDescent="0.2">
      <c r="A418" s="2" t="s">
        <v>409</v>
      </c>
      <c r="B418" s="2" t="s">
        <v>414</v>
      </c>
      <c r="C418" s="2" t="s">
        <v>415</v>
      </c>
      <c r="D418" s="2" t="s">
        <v>1437</v>
      </c>
      <c r="E418" s="2" t="s">
        <v>1438</v>
      </c>
      <c r="F418" s="2">
        <v>7.01</v>
      </c>
      <c r="G418" s="2" t="s">
        <v>1439</v>
      </c>
      <c r="H418" s="2">
        <v>12</v>
      </c>
      <c r="I418" s="2">
        <v>17.5</v>
      </c>
      <c r="J418" s="5" t="s">
        <v>1430</v>
      </c>
      <c r="K418" s="2" t="s">
        <v>1434</v>
      </c>
    </row>
    <row r="419" spans="1:11" x14ac:dyDescent="0.2">
      <c r="A419" s="3" t="s">
        <v>409</v>
      </c>
      <c r="B419" s="3" t="s">
        <v>414</v>
      </c>
      <c r="C419" s="3" t="s">
        <v>415</v>
      </c>
      <c r="D419" s="3" t="s">
        <v>1413</v>
      </c>
      <c r="E419" s="3" t="s">
        <v>1414</v>
      </c>
      <c r="F419" s="3">
        <v>1.5</v>
      </c>
      <c r="G419" s="3" t="s">
        <v>1415</v>
      </c>
      <c r="H419" s="3">
        <v>1</v>
      </c>
      <c r="I419" s="3">
        <v>5</v>
      </c>
      <c r="J419" s="3" t="s">
        <v>1416</v>
      </c>
      <c r="K419" s="3" t="s">
        <v>1417</v>
      </c>
    </row>
    <row r="420" spans="1:11" x14ac:dyDescent="0.2">
      <c r="A420" s="2" t="s">
        <v>409</v>
      </c>
      <c r="B420" s="2" t="s">
        <v>414</v>
      </c>
      <c r="C420" s="2" t="s">
        <v>415</v>
      </c>
      <c r="D420" s="2" t="s">
        <v>1450</v>
      </c>
      <c r="E420" s="2" t="s">
        <v>1451</v>
      </c>
      <c r="F420" s="2">
        <v>22.59</v>
      </c>
      <c r="G420" s="2" t="s">
        <v>1452</v>
      </c>
      <c r="H420" s="2">
        <v>60</v>
      </c>
      <c r="I420" s="2">
        <v>120</v>
      </c>
      <c r="J420" s="5" t="s">
        <v>1430</v>
      </c>
      <c r="K420" s="2" t="s">
        <v>1434</v>
      </c>
    </row>
    <row r="421" spans="1:11" x14ac:dyDescent="0.2">
      <c r="A421" s="3" t="s">
        <v>409</v>
      </c>
      <c r="B421" s="3" t="s">
        <v>414</v>
      </c>
      <c r="C421" s="3" t="s">
        <v>415</v>
      </c>
      <c r="D421" s="3" t="s">
        <v>1432</v>
      </c>
      <c r="E421" s="3" t="s">
        <v>1433</v>
      </c>
      <c r="F421" s="3">
        <v>2.58</v>
      </c>
      <c r="G421" s="3" t="s">
        <v>1415</v>
      </c>
      <c r="H421" s="3">
        <v>0</v>
      </c>
      <c r="I421" s="3">
        <v>3</v>
      </c>
      <c r="J421" s="3" t="s">
        <v>1416</v>
      </c>
      <c r="K421" s="3" t="s">
        <v>1420</v>
      </c>
    </row>
    <row r="422" spans="1:11" x14ac:dyDescent="0.2">
      <c r="A422" s="2" t="s">
        <v>417</v>
      </c>
      <c r="B422" s="2" t="s">
        <v>418</v>
      </c>
      <c r="C422" s="2" t="s">
        <v>419</v>
      </c>
      <c r="D422" s="2" t="s">
        <v>1440</v>
      </c>
      <c r="E422" s="2" t="s">
        <v>1441</v>
      </c>
      <c r="F422" s="2">
        <v>5.0599999999999996</v>
      </c>
      <c r="G422" s="2" t="s">
        <v>1442</v>
      </c>
      <c r="H422" s="2">
        <v>4</v>
      </c>
      <c r="I422" s="2">
        <v>5.6</v>
      </c>
      <c r="J422" s="2" t="s">
        <v>1416</v>
      </c>
      <c r="K422" s="2" t="s">
        <v>1417</v>
      </c>
    </row>
    <row r="423" spans="1:11" x14ac:dyDescent="0.2">
      <c r="A423" s="3" t="s">
        <v>417</v>
      </c>
      <c r="B423" s="3" t="s">
        <v>418</v>
      </c>
      <c r="C423" s="3" t="s">
        <v>419</v>
      </c>
      <c r="D423" s="3" t="s">
        <v>1446</v>
      </c>
      <c r="E423" s="3" t="s">
        <v>1447</v>
      </c>
      <c r="F423" s="3">
        <v>2.98</v>
      </c>
      <c r="G423" s="3" t="s">
        <v>1415</v>
      </c>
      <c r="H423" s="3">
        <v>2.1</v>
      </c>
      <c r="I423" s="3">
        <v>2.6</v>
      </c>
      <c r="J423" s="5" t="s">
        <v>1426</v>
      </c>
      <c r="K423" s="3" t="s">
        <v>1431</v>
      </c>
    </row>
    <row r="424" spans="1:11" x14ac:dyDescent="0.2">
      <c r="A424" s="2" t="s">
        <v>417</v>
      </c>
      <c r="B424" s="2" t="s">
        <v>418</v>
      </c>
      <c r="C424" s="2" t="s">
        <v>419</v>
      </c>
      <c r="D424" s="2" t="s">
        <v>1450</v>
      </c>
      <c r="E424" s="2" t="s">
        <v>1451</v>
      </c>
      <c r="F424" s="2">
        <v>58.54</v>
      </c>
      <c r="G424" s="2" t="s">
        <v>1452</v>
      </c>
      <c r="H424" s="2">
        <v>60</v>
      </c>
      <c r="I424" s="2">
        <v>120</v>
      </c>
      <c r="J424" s="5" t="s">
        <v>1430</v>
      </c>
      <c r="K424" s="2" t="s">
        <v>1434</v>
      </c>
    </row>
    <row r="425" spans="1:11" x14ac:dyDescent="0.2">
      <c r="A425" s="3" t="s">
        <v>417</v>
      </c>
      <c r="B425" s="3" t="s">
        <v>418</v>
      </c>
      <c r="C425" s="3" t="s">
        <v>419</v>
      </c>
      <c r="D425" s="3" t="s">
        <v>1421</v>
      </c>
      <c r="E425" s="3" t="s">
        <v>1422</v>
      </c>
      <c r="F425" s="3">
        <v>6.63</v>
      </c>
      <c r="G425" s="3" t="s">
        <v>1415</v>
      </c>
      <c r="H425" s="3">
        <v>0</v>
      </c>
      <c r="I425" s="3">
        <v>5</v>
      </c>
      <c r="J425" s="5" t="s">
        <v>1426</v>
      </c>
      <c r="K425" s="3" t="s">
        <v>1434</v>
      </c>
    </row>
    <row r="426" spans="1:11" x14ac:dyDescent="0.2">
      <c r="A426" s="2" t="s">
        <v>417</v>
      </c>
      <c r="B426" s="2" t="s">
        <v>418</v>
      </c>
      <c r="C426" s="2" t="s">
        <v>419</v>
      </c>
      <c r="D426" s="2" t="s">
        <v>1413</v>
      </c>
      <c r="E426" s="2" t="s">
        <v>1414</v>
      </c>
      <c r="F426" s="2">
        <v>0.96</v>
      </c>
      <c r="G426" s="2" t="s">
        <v>1415</v>
      </c>
      <c r="H426" s="2">
        <v>1</v>
      </c>
      <c r="I426" s="2">
        <v>5</v>
      </c>
      <c r="J426" s="5" t="s">
        <v>1430</v>
      </c>
      <c r="K426" s="2" t="s">
        <v>1420</v>
      </c>
    </row>
    <row r="427" spans="1:11" x14ac:dyDescent="0.2">
      <c r="A427" s="3" t="s">
        <v>417</v>
      </c>
      <c r="B427" s="3" t="s">
        <v>423</v>
      </c>
      <c r="C427" s="3" t="s">
        <v>424</v>
      </c>
      <c r="D427" s="3" t="s">
        <v>1446</v>
      </c>
      <c r="E427" s="3" t="s">
        <v>1447</v>
      </c>
      <c r="F427" s="3">
        <v>2.46</v>
      </c>
      <c r="G427" s="3" t="s">
        <v>1415</v>
      </c>
      <c r="H427" s="3">
        <v>2.1</v>
      </c>
      <c r="I427" s="3">
        <v>2.6</v>
      </c>
      <c r="J427" s="3" t="s">
        <v>1416</v>
      </c>
      <c r="K427" s="3" t="s">
        <v>1434</v>
      </c>
    </row>
    <row r="428" spans="1:11" x14ac:dyDescent="0.2">
      <c r="A428" s="2" t="s">
        <v>417</v>
      </c>
      <c r="B428" s="2" t="s">
        <v>423</v>
      </c>
      <c r="C428" s="2" t="s">
        <v>424</v>
      </c>
      <c r="D428" s="2" t="s">
        <v>1450</v>
      </c>
      <c r="E428" s="2" t="s">
        <v>1451</v>
      </c>
      <c r="F428" s="2">
        <v>118.11</v>
      </c>
      <c r="G428" s="2" t="s">
        <v>1452</v>
      </c>
      <c r="H428" s="2">
        <v>60</v>
      </c>
      <c r="I428" s="2">
        <v>120</v>
      </c>
      <c r="J428" s="2" t="s">
        <v>1416</v>
      </c>
      <c r="K428" s="2" t="s">
        <v>1431</v>
      </c>
    </row>
    <row r="429" spans="1:11" x14ac:dyDescent="0.2">
      <c r="A429" s="3" t="s">
        <v>417</v>
      </c>
      <c r="B429" s="3" t="s">
        <v>423</v>
      </c>
      <c r="C429" s="3" t="s">
        <v>424</v>
      </c>
      <c r="D429" s="3" t="s">
        <v>1448</v>
      </c>
      <c r="E429" s="3" t="s">
        <v>1449</v>
      </c>
      <c r="F429" s="3">
        <v>137.77000000000001</v>
      </c>
      <c r="G429" s="3" t="s">
        <v>1415</v>
      </c>
      <c r="H429" s="3">
        <v>136</v>
      </c>
      <c r="I429" s="3">
        <v>145</v>
      </c>
      <c r="J429" s="3" t="s">
        <v>1416</v>
      </c>
      <c r="K429" s="3" t="s">
        <v>1417</v>
      </c>
    </row>
    <row r="430" spans="1:11" x14ac:dyDescent="0.2">
      <c r="A430" s="2" t="s">
        <v>417</v>
      </c>
      <c r="B430" s="2" t="s">
        <v>423</v>
      </c>
      <c r="C430" s="2" t="s">
        <v>424</v>
      </c>
      <c r="D430" s="2" t="s">
        <v>1453</v>
      </c>
      <c r="E430" s="2" t="s">
        <v>1454</v>
      </c>
      <c r="F430" s="2">
        <v>4.9000000000000004</v>
      </c>
      <c r="G430" s="2" t="s">
        <v>1415</v>
      </c>
      <c r="H430" s="2">
        <v>3.9</v>
      </c>
      <c r="I430" s="2">
        <v>5.5</v>
      </c>
      <c r="J430" s="2" t="s">
        <v>1416</v>
      </c>
      <c r="K430" s="2" t="s">
        <v>1417</v>
      </c>
    </row>
    <row r="431" spans="1:11" x14ac:dyDescent="0.2">
      <c r="A431" s="3" t="s">
        <v>417</v>
      </c>
      <c r="B431" s="3" t="s">
        <v>423</v>
      </c>
      <c r="C431" s="3" t="s">
        <v>424</v>
      </c>
      <c r="D431" s="3" t="s">
        <v>1427</v>
      </c>
      <c r="E431" s="3" t="s">
        <v>1428</v>
      </c>
      <c r="F431" s="3">
        <v>9.89</v>
      </c>
      <c r="G431" s="3" t="s">
        <v>1429</v>
      </c>
      <c r="H431" s="3">
        <v>4</v>
      </c>
      <c r="I431" s="3">
        <v>11</v>
      </c>
      <c r="J431" s="3" t="s">
        <v>1416</v>
      </c>
      <c r="K431" s="3" t="s">
        <v>1431</v>
      </c>
    </row>
    <row r="432" spans="1:11" x14ac:dyDescent="0.2">
      <c r="A432" s="2" t="s">
        <v>417</v>
      </c>
      <c r="B432" s="2" t="s">
        <v>423</v>
      </c>
      <c r="C432" s="2" t="s">
        <v>424</v>
      </c>
      <c r="D432" s="2" t="s">
        <v>1432</v>
      </c>
      <c r="E432" s="2" t="s">
        <v>1433</v>
      </c>
      <c r="F432" s="2">
        <v>2.1800000000000002</v>
      </c>
      <c r="G432" s="2" t="s">
        <v>1415</v>
      </c>
      <c r="H432" s="2">
        <v>0</v>
      </c>
      <c r="I432" s="2">
        <v>3</v>
      </c>
      <c r="J432" s="2" t="s">
        <v>1416</v>
      </c>
      <c r="K432" s="2" t="s">
        <v>1431</v>
      </c>
    </row>
    <row r="433" spans="1:11" x14ac:dyDescent="0.2">
      <c r="A433" s="3" t="s">
        <v>417</v>
      </c>
      <c r="B433" s="3" t="s">
        <v>423</v>
      </c>
      <c r="C433" s="3" t="s">
        <v>424</v>
      </c>
      <c r="D433" s="3" t="s">
        <v>1413</v>
      </c>
      <c r="E433" s="3" t="s">
        <v>1414</v>
      </c>
      <c r="F433" s="3">
        <v>1.69</v>
      </c>
      <c r="G433" s="3" t="s">
        <v>1415</v>
      </c>
      <c r="H433" s="3">
        <v>1</v>
      </c>
      <c r="I433" s="3">
        <v>5</v>
      </c>
      <c r="J433" s="3" t="s">
        <v>1416</v>
      </c>
      <c r="K433" s="3" t="s">
        <v>1431</v>
      </c>
    </row>
    <row r="434" spans="1:11" x14ac:dyDescent="0.2">
      <c r="A434" s="2" t="s">
        <v>425</v>
      </c>
      <c r="B434" s="2" t="s">
        <v>426</v>
      </c>
      <c r="C434" s="2" t="s">
        <v>427</v>
      </c>
      <c r="D434" s="2" t="s">
        <v>1423</v>
      </c>
      <c r="E434" s="2" t="s">
        <v>1424</v>
      </c>
      <c r="F434" s="2">
        <v>5.12</v>
      </c>
      <c r="G434" s="2" t="s">
        <v>1425</v>
      </c>
      <c r="H434" s="2">
        <v>4.5</v>
      </c>
      <c r="I434" s="2">
        <v>5.5</v>
      </c>
      <c r="J434" s="2" t="s">
        <v>1416</v>
      </c>
      <c r="K434" s="2" t="s">
        <v>1431</v>
      </c>
    </row>
    <row r="435" spans="1:11" x14ac:dyDescent="0.2">
      <c r="A435" s="3" t="s">
        <v>425</v>
      </c>
      <c r="B435" s="3" t="s">
        <v>426</v>
      </c>
      <c r="C435" s="3" t="s">
        <v>427</v>
      </c>
      <c r="D435" s="3" t="s">
        <v>1435</v>
      </c>
      <c r="E435" s="3" t="s">
        <v>1436</v>
      </c>
      <c r="F435" s="3">
        <v>1.38</v>
      </c>
      <c r="G435" s="3" t="s">
        <v>1415</v>
      </c>
      <c r="H435" s="3">
        <v>0.8</v>
      </c>
      <c r="I435" s="3">
        <v>1.5</v>
      </c>
      <c r="J435" s="3" t="s">
        <v>1416</v>
      </c>
      <c r="K435" s="3" t="s">
        <v>1417</v>
      </c>
    </row>
    <row r="436" spans="1:11" x14ac:dyDescent="0.2">
      <c r="A436" s="2" t="s">
        <v>425</v>
      </c>
      <c r="B436" s="2" t="s">
        <v>426</v>
      </c>
      <c r="C436" s="2" t="s">
        <v>427</v>
      </c>
      <c r="D436" s="2" t="s">
        <v>1413</v>
      </c>
      <c r="E436" s="2" t="s">
        <v>1414</v>
      </c>
      <c r="F436" s="2">
        <v>1.76</v>
      </c>
      <c r="G436" s="2" t="s">
        <v>1415</v>
      </c>
      <c r="H436" s="2">
        <v>1</v>
      </c>
      <c r="I436" s="2">
        <v>5</v>
      </c>
      <c r="J436" s="2" t="s">
        <v>1416</v>
      </c>
      <c r="K436" s="2" t="s">
        <v>1431</v>
      </c>
    </row>
    <row r="437" spans="1:11" x14ac:dyDescent="0.2">
      <c r="A437" s="3" t="s">
        <v>425</v>
      </c>
      <c r="B437" s="3" t="s">
        <v>426</v>
      </c>
      <c r="C437" s="3" t="s">
        <v>427</v>
      </c>
      <c r="D437" s="3" t="s">
        <v>1443</v>
      </c>
      <c r="E437" s="3" t="s">
        <v>1444</v>
      </c>
      <c r="F437" s="3">
        <v>72.56</v>
      </c>
      <c r="G437" s="3" t="s">
        <v>1445</v>
      </c>
      <c r="H437" s="3">
        <v>53</v>
      </c>
      <c r="I437" s="3">
        <v>97</v>
      </c>
      <c r="J437" s="3" t="s">
        <v>1416</v>
      </c>
      <c r="K437" s="3" t="s">
        <v>1420</v>
      </c>
    </row>
    <row r="438" spans="1:11" x14ac:dyDescent="0.2">
      <c r="A438" s="2" t="s">
        <v>425</v>
      </c>
      <c r="B438" s="2" t="s">
        <v>426</v>
      </c>
      <c r="C438" s="2" t="s">
        <v>427</v>
      </c>
      <c r="D438" s="2" t="s">
        <v>1437</v>
      </c>
      <c r="E438" s="2" t="s">
        <v>1438</v>
      </c>
      <c r="F438" s="2">
        <v>16.38</v>
      </c>
      <c r="G438" s="2" t="s">
        <v>1439</v>
      </c>
      <c r="H438" s="2">
        <v>12</v>
      </c>
      <c r="I438" s="2">
        <v>17.5</v>
      </c>
      <c r="J438" s="2" t="s">
        <v>1416</v>
      </c>
      <c r="K438" s="2" t="s">
        <v>1420</v>
      </c>
    </row>
    <row r="439" spans="1:11" x14ac:dyDescent="0.2">
      <c r="A439" s="3" t="s">
        <v>425</v>
      </c>
      <c r="B439" s="3" t="s">
        <v>426</v>
      </c>
      <c r="C439" s="3" t="s">
        <v>427</v>
      </c>
      <c r="D439" s="3" t="s">
        <v>1432</v>
      </c>
      <c r="E439" s="3" t="s">
        <v>1433</v>
      </c>
      <c r="F439" s="3">
        <v>2.25</v>
      </c>
      <c r="G439" s="3" t="s">
        <v>1415</v>
      </c>
      <c r="H439" s="3">
        <v>0</v>
      </c>
      <c r="I439" s="3">
        <v>3</v>
      </c>
      <c r="J439" s="3" t="s">
        <v>1416</v>
      </c>
      <c r="K439" s="3" t="s">
        <v>1417</v>
      </c>
    </row>
    <row r="440" spans="1:11" x14ac:dyDescent="0.2">
      <c r="A440" s="2" t="s">
        <v>430</v>
      </c>
      <c r="B440" s="2" t="s">
        <v>431</v>
      </c>
      <c r="C440" s="2" t="s">
        <v>432</v>
      </c>
      <c r="D440" s="2" t="s">
        <v>1435</v>
      </c>
      <c r="E440" s="2" t="s">
        <v>1436</v>
      </c>
      <c r="F440" s="2">
        <v>1.03</v>
      </c>
      <c r="G440" s="2" t="s">
        <v>1415</v>
      </c>
      <c r="H440" s="2">
        <v>0.8</v>
      </c>
      <c r="I440" s="2">
        <v>1.5</v>
      </c>
      <c r="J440" s="2" t="s">
        <v>1416</v>
      </c>
      <c r="K440" s="2" t="s">
        <v>1420</v>
      </c>
    </row>
    <row r="441" spans="1:11" x14ac:dyDescent="0.2">
      <c r="A441" s="3" t="s">
        <v>430</v>
      </c>
      <c r="B441" s="3" t="s">
        <v>431</v>
      </c>
      <c r="C441" s="3" t="s">
        <v>432</v>
      </c>
      <c r="D441" s="3" t="s">
        <v>1446</v>
      </c>
      <c r="E441" s="3" t="s">
        <v>1447</v>
      </c>
      <c r="F441" s="3">
        <v>2.81</v>
      </c>
      <c r="G441" s="3" t="s">
        <v>1415</v>
      </c>
      <c r="H441" s="3">
        <v>2.1</v>
      </c>
      <c r="I441" s="3">
        <v>2.6</v>
      </c>
      <c r="J441" s="5" t="s">
        <v>1426</v>
      </c>
      <c r="K441" s="3" t="s">
        <v>1434</v>
      </c>
    </row>
    <row r="442" spans="1:11" x14ac:dyDescent="0.2">
      <c r="A442" s="2" t="s">
        <v>430</v>
      </c>
      <c r="B442" s="2" t="s">
        <v>431</v>
      </c>
      <c r="C442" s="2" t="s">
        <v>432</v>
      </c>
      <c r="D442" s="2" t="s">
        <v>1421</v>
      </c>
      <c r="E442" s="2" t="s">
        <v>1422</v>
      </c>
      <c r="F442" s="2">
        <v>3.81</v>
      </c>
      <c r="G442" s="2" t="s">
        <v>1415</v>
      </c>
      <c r="H442" s="2">
        <v>0</v>
      </c>
      <c r="I442" s="2">
        <v>5</v>
      </c>
      <c r="J442" s="2" t="s">
        <v>1416</v>
      </c>
      <c r="K442" s="2" t="s">
        <v>1431</v>
      </c>
    </row>
    <row r="443" spans="1:11" x14ac:dyDescent="0.2">
      <c r="A443" s="3" t="s">
        <v>430</v>
      </c>
      <c r="B443" s="3" t="s">
        <v>431</v>
      </c>
      <c r="C443" s="3" t="s">
        <v>432</v>
      </c>
      <c r="D443" s="3" t="s">
        <v>1413</v>
      </c>
      <c r="E443" s="3" t="s">
        <v>1414</v>
      </c>
      <c r="F443" s="3">
        <v>2.12</v>
      </c>
      <c r="G443" s="3" t="s">
        <v>1415</v>
      </c>
      <c r="H443" s="3">
        <v>1</v>
      </c>
      <c r="I443" s="3">
        <v>5</v>
      </c>
      <c r="J443" s="3" t="s">
        <v>1416</v>
      </c>
      <c r="K443" s="3" t="s">
        <v>1431</v>
      </c>
    </row>
    <row r="444" spans="1:11" x14ac:dyDescent="0.2">
      <c r="A444" s="2" t="s">
        <v>430</v>
      </c>
      <c r="B444" s="2" t="s">
        <v>431</v>
      </c>
      <c r="C444" s="2" t="s">
        <v>432</v>
      </c>
      <c r="D444" s="2" t="s">
        <v>1437</v>
      </c>
      <c r="E444" s="2" t="s">
        <v>1438</v>
      </c>
      <c r="F444" s="2">
        <v>13.48</v>
      </c>
      <c r="G444" s="2" t="s">
        <v>1439</v>
      </c>
      <c r="H444" s="2">
        <v>12</v>
      </c>
      <c r="I444" s="2">
        <v>17.5</v>
      </c>
      <c r="J444" s="2" t="s">
        <v>1416</v>
      </c>
      <c r="K444" s="2" t="s">
        <v>1434</v>
      </c>
    </row>
    <row r="445" spans="1:11" x14ac:dyDescent="0.2">
      <c r="A445" s="3" t="s">
        <v>430</v>
      </c>
      <c r="B445" s="3" t="s">
        <v>431</v>
      </c>
      <c r="C445" s="3" t="s">
        <v>432</v>
      </c>
      <c r="D445" s="3" t="s">
        <v>1453</v>
      </c>
      <c r="E445" s="3" t="s">
        <v>1454</v>
      </c>
      <c r="F445" s="3">
        <v>7.72</v>
      </c>
      <c r="G445" s="3" t="s">
        <v>1415</v>
      </c>
      <c r="H445" s="3">
        <v>3.9</v>
      </c>
      <c r="I445" s="3">
        <v>5.5</v>
      </c>
      <c r="J445" s="5" t="s">
        <v>1426</v>
      </c>
      <c r="K445" s="3" t="s">
        <v>1417</v>
      </c>
    </row>
    <row r="446" spans="1:11" x14ac:dyDescent="0.2">
      <c r="A446" s="2" t="s">
        <v>430</v>
      </c>
      <c r="B446" s="2" t="s">
        <v>431</v>
      </c>
      <c r="C446" s="2" t="s">
        <v>432</v>
      </c>
      <c r="D446" s="2" t="s">
        <v>1455</v>
      </c>
      <c r="E446" s="2" t="s">
        <v>1456</v>
      </c>
      <c r="F446" s="2">
        <v>288.67</v>
      </c>
      <c r="G446" s="2" t="s">
        <v>1457</v>
      </c>
      <c r="H446" s="2">
        <v>40</v>
      </c>
      <c r="I446" s="2">
        <v>130</v>
      </c>
      <c r="J446" s="5" t="s">
        <v>1426</v>
      </c>
      <c r="K446" s="2" t="s">
        <v>1434</v>
      </c>
    </row>
    <row r="447" spans="1:11" x14ac:dyDescent="0.2">
      <c r="A447" s="3" t="s">
        <v>430</v>
      </c>
      <c r="B447" s="3" t="s">
        <v>435</v>
      </c>
      <c r="C447" s="3" t="s">
        <v>432</v>
      </c>
      <c r="D447" s="3" t="s">
        <v>1437</v>
      </c>
      <c r="E447" s="3" t="s">
        <v>1438</v>
      </c>
      <c r="F447" s="3">
        <v>12.7</v>
      </c>
      <c r="G447" s="3" t="s">
        <v>1439</v>
      </c>
      <c r="H447" s="3">
        <v>12</v>
      </c>
      <c r="I447" s="3">
        <v>17.5</v>
      </c>
      <c r="J447" s="3" t="s">
        <v>1416</v>
      </c>
      <c r="K447" s="3" t="s">
        <v>1434</v>
      </c>
    </row>
    <row r="448" spans="1:11" x14ac:dyDescent="0.2">
      <c r="A448" s="2" t="s">
        <v>430</v>
      </c>
      <c r="B448" s="2" t="s">
        <v>435</v>
      </c>
      <c r="C448" s="2" t="s">
        <v>432</v>
      </c>
      <c r="D448" s="2" t="s">
        <v>1427</v>
      </c>
      <c r="E448" s="2" t="s">
        <v>1428</v>
      </c>
      <c r="F448" s="2">
        <v>8.7799999999999994</v>
      </c>
      <c r="G448" s="2" t="s">
        <v>1429</v>
      </c>
      <c r="H448" s="2">
        <v>4</v>
      </c>
      <c r="I448" s="2">
        <v>11</v>
      </c>
      <c r="J448" s="2" t="s">
        <v>1416</v>
      </c>
      <c r="K448" s="2" t="s">
        <v>1431</v>
      </c>
    </row>
    <row r="449" spans="1:11" x14ac:dyDescent="0.2">
      <c r="A449" s="3" t="s">
        <v>430</v>
      </c>
      <c r="B449" s="3" t="s">
        <v>435</v>
      </c>
      <c r="C449" s="3" t="s">
        <v>432</v>
      </c>
      <c r="D449" s="3" t="s">
        <v>1435</v>
      </c>
      <c r="E449" s="3" t="s">
        <v>1436</v>
      </c>
      <c r="F449" s="3">
        <v>1.68</v>
      </c>
      <c r="G449" s="3" t="s">
        <v>1415</v>
      </c>
      <c r="H449" s="3">
        <v>0.8</v>
      </c>
      <c r="I449" s="3">
        <v>1.5</v>
      </c>
      <c r="J449" s="5" t="s">
        <v>1426</v>
      </c>
      <c r="K449" s="3" t="s">
        <v>1434</v>
      </c>
    </row>
    <row r="450" spans="1:11" x14ac:dyDescent="0.2">
      <c r="A450" s="2" t="s">
        <v>430</v>
      </c>
      <c r="B450" s="2" t="s">
        <v>435</v>
      </c>
      <c r="C450" s="2" t="s">
        <v>432</v>
      </c>
      <c r="D450" s="2" t="s">
        <v>1440</v>
      </c>
      <c r="E450" s="2" t="s">
        <v>1441</v>
      </c>
      <c r="F450" s="2">
        <v>9.64</v>
      </c>
      <c r="G450" s="2" t="s">
        <v>1442</v>
      </c>
      <c r="H450" s="2">
        <v>4</v>
      </c>
      <c r="I450" s="2">
        <v>5.6</v>
      </c>
      <c r="J450" s="5" t="s">
        <v>1426</v>
      </c>
      <c r="K450" s="2" t="s">
        <v>1420</v>
      </c>
    </row>
    <row r="451" spans="1:11" x14ac:dyDescent="0.2">
      <c r="A451" s="3" t="s">
        <v>430</v>
      </c>
      <c r="B451" s="3" t="s">
        <v>435</v>
      </c>
      <c r="C451" s="3" t="s">
        <v>432</v>
      </c>
      <c r="D451" s="3" t="s">
        <v>1448</v>
      </c>
      <c r="E451" s="3" t="s">
        <v>1449</v>
      </c>
      <c r="F451" s="3">
        <v>136.66</v>
      </c>
      <c r="G451" s="3" t="s">
        <v>1415</v>
      </c>
      <c r="H451" s="3">
        <v>136</v>
      </c>
      <c r="I451" s="3">
        <v>145</v>
      </c>
      <c r="J451" s="3" t="s">
        <v>1416</v>
      </c>
      <c r="K451" s="3" t="s">
        <v>1434</v>
      </c>
    </row>
    <row r="452" spans="1:11" x14ac:dyDescent="0.2">
      <c r="A452" s="2" t="s">
        <v>430</v>
      </c>
      <c r="B452" s="2" t="s">
        <v>435</v>
      </c>
      <c r="C452" s="2" t="s">
        <v>432</v>
      </c>
      <c r="D452" s="2" t="s">
        <v>1455</v>
      </c>
      <c r="E452" s="2" t="s">
        <v>1456</v>
      </c>
      <c r="F452" s="2">
        <v>224.36</v>
      </c>
      <c r="G452" s="2" t="s">
        <v>1457</v>
      </c>
      <c r="H452" s="2">
        <v>40</v>
      </c>
      <c r="I452" s="2">
        <v>130</v>
      </c>
      <c r="J452" s="5" t="s">
        <v>1426</v>
      </c>
      <c r="K452" s="2" t="s">
        <v>1431</v>
      </c>
    </row>
    <row r="453" spans="1:11" x14ac:dyDescent="0.2">
      <c r="A453" s="3" t="s">
        <v>430</v>
      </c>
      <c r="B453" s="3" t="s">
        <v>437</v>
      </c>
      <c r="C453" s="3" t="s">
        <v>438</v>
      </c>
      <c r="D453" s="3" t="s">
        <v>1455</v>
      </c>
      <c r="E453" s="3" t="s">
        <v>1456</v>
      </c>
      <c r="F453" s="3">
        <v>194.38</v>
      </c>
      <c r="G453" s="3" t="s">
        <v>1457</v>
      </c>
      <c r="H453" s="3">
        <v>40</v>
      </c>
      <c r="I453" s="3">
        <v>130</v>
      </c>
      <c r="J453" s="5" t="s">
        <v>1426</v>
      </c>
      <c r="K453" s="3" t="s">
        <v>1434</v>
      </c>
    </row>
    <row r="454" spans="1:11" x14ac:dyDescent="0.2">
      <c r="A454" s="2" t="s">
        <v>430</v>
      </c>
      <c r="B454" s="2" t="s">
        <v>437</v>
      </c>
      <c r="C454" s="2" t="s">
        <v>438</v>
      </c>
      <c r="D454" s="2" t="s">
        <v>1450</v>
      </c>
      <c r="E454" s="2" t="s">
        <v>1451</v>
      </c>
      <c r="F454" s="2">
        <v>63.61</v>
      </c>
      <c r="G454" s="2" t="s">
        <v>1452</v>
      </c>
      <c r="H454" s="2">
        <v>60</v>
      </c>
      <c r="I454" s="2">
        <v>120</v>
      </c>
      <c r="J454" s="2" t="s">
        <v>1416</v>
      </c>
      <c r="K454" s="2" t="s">
        <v>1417</v>
      </c>
    </row>
    <row r="455" spans="1:11" x14ac:dyDescent="0.2">
      <c r="A455" s="3" t="s">
        <v>430</v>
      </c>
      <c r="B455" s="3" t="s">
        <v>437</v>
      </c>
      <c r="C455" s="3" t="s">
        <v>438</v>
      </c>
      <c r="D455" s="3" t="s">
        <v>1427</v>
      </c>
      <c r="E455" s="3" t="s">
        <v>1428</v>
      </c>
      <c r="F455" s="3">
        <v>5.14</v>
      </c>
      <c r="G455" s="3" t="s">
        <v>1429</v>
      </c>
      <c r="H455" s="3">
        <v>4</v>
      </c>
      <c r="I455" s="3">
        <v>11</v>
      </c>
      <c r="J455" s="3" t="s">
        <v>1416</v>
      </c>
      <c r="K455" s="3" t="s">
        <v>1434</v>
      </c>
    </row>
    <row r="456" spans="1:11" x14ac:dyDescent="0.2">
      <c r="A456" s="2" t="s">
        <v>430</v>
      </c>
      <c r="B456" s="2" t="s">
        <v>437</v>
      </c>
      <c r="C456" s="2" t="s">
        <v>438</v>
      </c>
      <c r="D456" s="2" t="s">
        <v>1421</v>
      </c>
      <c r="E456" s="2" t="s">
        <v>1422</v>
      </c>
      <c r="F456" s="2">
        <v>4.8499999999999996</v>
      </c>
      <c r="G456" s="2" t="s">
        <v>1415</v>
      </c>
      <c r="H456" s="2">
        <v>0</v>
      </c>
      <c r="I456" s="2">
        <v>5</v>
      </c>
      <c r="J456" s="2" t="s">
        <v>1416</v>
      </c>
      <c r="K456" s="2" t="s">
        <v>1431</v>
      </c>
    </row>
    <row r="457" spans="1:11" x14ac:dyDescent="0.2">
      <c r="A457" s="3" t="s">
        <v>430</v>
      </c>
      <c r="B457" s="3" t="s">
        <v>437</v>
      </c>
      <c r="C457" s="3" t="s">
        <v>438</v>
      </c>
      <c r="D457" s="3" t="s">
        <v>1440</v>
      </c>
      <c r="E457" s="3" t="s">
        <v>1441</v>
      </c>
      <c r="F457" s="3">
        <v>10.41</v>
      </c>
      <c r="G457" s="3" t="s">
        <v>1442</v>
      </c>
      <c r="H457" s="3">
        <v>4</v>
      </c>
      <c r="I457" s="3">
        <v>5.6</v>
      </c>
      <c r="J457" s="5" t="s">
        <v>1426</v>
      </c>
      <c r="K457" s="3" t="s">
        <v>1434</v>
      </c>
    </row>
    <row r="458" spans="1:11" x14ac:dyDescent="0.2">
      <c r="A458" s="2" t="s">
        <v>430</v>
      </c>
      <c r="B458" s="2" t="s">
        <v>437</v>
      </c>
      <c r="C458" s="2" t="s">
        <v>438</v>
      </c>
      <c r="D458" s="2" t="s">
        <v>1453</v>
      </c>
      <c r="E458" s="2" t="s">
        <v>1454</v>
      </c>
      <c r="F458" s="2">
        <v>5.45</v>
      </c>
      <c r="G458" s="2" t="s">
        <v>1415</v>
      </c>
      <c r="H458" s="2">
        <v>3.9</v>
      </c>
      <c r="I458" s="2">
        <v>5.5</v>
      </c>
      <c r="J458" s="2" t="s">
        <v>1416</v>
      </c>
      <c r="K458" s="2" t="s">
        <v>1417</v>
      </c>
    </row>
    <row r="459" spans="1:11" x14ac:dyDescent="0.2">
      <c r="A459" s="3" t="s">
        <v>430</v>
      </c>
      <c r="B459" s="3" t="s">
        <v>437</v>
      </c>
      <c r="C459" s="3" t="s">
        <v>438</v>
      </c>
      <c r="D459" s="3" t="s">
        <v>1432</v>
      </c>
      <c r="E459" s="3" t="s">
        <v>1433</v>
      </c>
      <c r="F459" s="3">
        <v>2.3199999999999998</v>
      </c>
      <c r="G459" s="3" t="s">
        <v>1415</v>
      </c>
      <c r="H459" s="3">
        <v>0</v>
      </c>
      <c r="I459" s="3">
        <v>3</v>
      </c>
      <c r="J459" s="3" t="s">
        <v>1416</v>
      </c>
      <c r="K459" s="3" t="s">
        <v>1431</v>
      </c>
    </row>
    <row r="460" spans="1:11" x14ac:dyDescent="0.2">
      <c r="A460" s="2" t="s">
        <v>430</v>
      </c>
      <c r="B460" s="2" t="s">
        <v>437</v>
      </c>
      <c r="C460" s="2" t="s">
        <v>438</v>
      </c>
      <c r="D460" s="2" t="s">
        <v>1437</v>
      </c>
      <c r="E460" s="2" t="s">
        <v>1438</v>
      </c>
      <c r="F460" s="2">
        <v>6.03</v>
      </c>
      <c r="G460" s="2" t="s">
        <v>1439</v>
      </c>
      <c r="H460" s="2">
        <v>12</v>
      </c>
      <c r="I460" s="2">
        <v>17.5</v>
      </c>
      <c r="J460" s="5" t="s">
        <v>1430</v>
      </c>
      <c r="K460" s="2" t="s">
        <v>1417</v>
      </c>
    </row>
    <row r="461" spans="1:11" x14ac:dyDescent="0.2">
      <c r="A461" s="3" t="s">
        <v>430</v>
      </c>
      <c r="B461" s="3" t="s">
        <v>440</v>
      </c>
      <c r="C461" s="3" t="s">
        <v>441</v>
      </c>
      <c r="D461" s="3" t="s">
        <v>1455</v>
      </c>
      <c r="E461" s="3" t="s">
        <v>1456</v>
      </c>
      <c r="F461" s="3">
        <v>294.23</v>
      </c>
      <c r="G461" s="3" t="s">
        <v>1457</v>
      </c>
      <c r="H461" s="3">
        <v>40</v>
      </c>
      <c r="I461" s="3">
        <v>130</v>
      </c>
      <c r="J461" s="5" t="s">
        <v>1426</v>
      </c>
      <c r="K461" s="3" t="s">
        <v>1434</v>
      </c>
    </row>
    <row r="462" spans="1:11" x14ac:dyDescent="0.2">
      <c r="A462" s="2" t="s">
        <v>430</v>
      </c>
      <c r="B462" s="2" t="s">
        <v>440</v>
      </c>
      <c r="C462" s="2" t="s">
        <v>441</v>
      </c>
      <c r="D462" s="2" t="s">
        <v>1413</v>
      </c>
      <c r="E462" s="2" t="s">
        <v>1414</v>
      </c>
      <c r="F462" s="2">
        <v>2.1</v>
      </c>
      <c r="G462" s="2" t="s">
        <v>1415</v>
      </c>
      <c r="H462" s="2">
        <v>1</v>
      </c>
      <c r="I462" s="2">
        <v>5</v>
      </c>
      <c r="J462" s="2" t="s">
        <v>1416</v>
      </c>
      <c r="K462" s="2" t="s">
        <v>1417</v>
      </c>
    </row>
    <row r="463" spans="1:11" x14ac:dyDescent="0.2">
      <c r="A463" s="3" t="s">
        <v>430</v>
      </c>
      <c r="B463" s="3" t="s">
        <v>440</v>
      </c>
      <c r="C463" s="3" t="s">
        <v>441</v>
      </c>
      <c r="D463" s="3" t="s">
        <v>1437</v>
      </c>
      <c r="E463" s="3" t="s">
        <v>1438</v>
      </c>
      <c r="F463" s="3">
        <v>6.75</v>
      </c>
      <c r="G463" s="3" t="s">
        <v>1439</v>
      </c>
      <c r="H463" s="3">
        <v>12</v>
      </c>
      <c r="I463" s="3">
        <v>17.5</v>
      </c>
      <c r="J463" s="5" t="s">
        <v>1430</v>
      </c>
      <c r="K463" s="3" t="s">
        <v>1434</v>
      </c>
    </row>
    <row r="464" spans="1:11" x14ac:dyDescent="0.2">
      <c r="A464" s="2" t="s">
        <v>430</v>
      </c>
      <c r="B464" s="2" t="s">
        <v>440</v>
      </c>
      <c r="C464" s="2" t="s">
        <v>441</v>
      </c>
      <c r="D464" s="2" t="s">
        <v>1427</v>
      </c>
      <c r="E464" s="2" t="s">
        <v>1428</v>
      </c>
      <c r="F464" s="2">
        <v>12.04</v>
      </c>
      <c r="G464" s="2" t="s">
        <v>1429</v>
      </c>
      <c r="H464" s="2">
        <v>4</v>
      </c>
      <c r="I464" s="2">
        <v>11</v>
      </c>
      <c r="J464" s="5" t="s">
        <v>1426</v>
      </c>
      <c r="K464" s="2" t="s">
        <v>1420</v>
      </c>
    </row>
    <row r="465" spans="1:11" x14ac:dyDescent="0.2">
      <c r="A465" s="3" t="s">
        <v>430</v>
      </c>
      <c r="B465" s="3" t="s">
        <v>443</v>
      </c>
      <c r="C465" s="3" t="s">
        <v>444</v>
      </c>
      <c r="D465" s="3" t="s">
        <v>1432</v>
      </c>
      <c r="E465" s="3" t="s">
        <v>1433</v>
      </c>
      <c r="F465" s="3">
        <v>2.73</v>
      </c>
      <c r="G465" s="3" t="s">
        <v>1415</v>
      </c>
      <c r="H465" s="3">
        <v>0</v>
      </c>
      <c r="I465" s="3">
        <v>3</v>
      </c>
      <c r="J465" s="3" t="s">
        <v>1416</v>
      </c>
      <c r="K465" s="3" t="s">
        <v>1434</v>
      </c>
    </row>
    <row r="466" spans="1:11" x14ac:dyDescent="0.2">
      <c r="A466" s="2" t="s">
        <v>430</v>
      </c>
      <c r="B466" s="2" t="s">
        <v>443</v>
      </c>
      <c r="C466" s="2" t="s">
        <v>444</v>
      </c>
      <c r="D466" s="2" t="s">
        <v>1453</v>
      </c>
      <c r="E466" s="2" t="s">
        <v>1454</v>
      </c>
      <c r="F466" s="2">
        <v>4.51</v>
      </c>
      <c r="G466" s="2" t="s">
        <v>1415</v>
      </c>
      <c r="H466" s="2">
        <v>3.9</v>
      </c>
      <c r="I466" s="2">
        <v>5.5</v>
      </c>
      <c r="J466" s="2" t="s">
        <v>1416</v>
      </c>
      <c r="K466" s="2" t="s">
        <v>1417</v>
      </c>
    </row>
    <row r="467" spans="1:11" x14ac:dyDescent="0.2">
      <c r="A467" s="3" t="s">
        <v>430</v>
      </c>
      <c r="B467" s="3" t="s">
        <v>443</v>
      </c>
      <c r="C467" s="3" t="s">
        <v>444</v>
      </c>
      <c r="D467" s="3" t="s">
        <v>1443</v>
      </c>
      <c r="E467" s="3" t="s">
        <v>1444</v>
      </c>
      <c r="F467" s="3">
        <v>62.9</v>
      </c>
      <c r="G467" s="3" t="s">
        <v>1445</v>
      </c>
      <c r="H467" s="3">
        <v>53</v>
      </c>
      <c r="I467" s="3">
        <v>97</v>
      </c>
      <c r="J467" s="3" t="s">
        <v>1416</v>
      </c>
      <c r="K467" s="3" t="s">
        <v>1431</v>
      </c>
    </row>
    <row r="468" spans="1:11" x14ac:dyDescent="0.2">
      <c r="A468" s="2" t="s">
        <v>430</v>
      </c>
      <c r="B468" s="2" t="s">
        <v>443</v>
      </c>
      <c r="C468" s="2" t="s">
        <v>444</v>
      </c>
      <c r="D468" s="2" t="s">
        <v>1455</v>
      </c>
      <c r="E468" s="2" t="s">
        <v>1456</v>
      </c>
      <c r="F468" s="2">
        <v>161.43</v>
      </c>
      <c r="G468" s="2" t="s">
        <v>1457</v>
      </c>
      <c r="H468" s="2">
        <v>40</v>
      </c>
      <c r="I468" s="2">
        <v>130</v>
      </c>
      <c r="J468" s="5" t="s">
        <v>1426</v>
      </c>
      <c r="K468" s="2" t="s">
        <v>1417</v>
      </c>
    </row>
    <row r="469" spans="1:11" x14ac:dyDescent="0.2">
      <c r="A469" s="3" t="s">
        <v>430</v>
      </c>
      <c r="B469" s="3" t="s">
        <v>443</v>
      </c>
      <c r="C469" s="3" t="s">
        <v>444</v>
      </c>
      <c r="D469" s="3" t="s">
        <v>1440</v>
      </c>
      <c r="E469" s="3" t="s">
        <v>1441</v>
      </c>
      <c r="F469" s="3">
        <v>5.04</v>
      </c>
      <c r="G469" s="3" t="s">
        <v>1442</v>
      </c>
      <c r="H469" s="3">
        <v>4</v>
      </c>
      <c r="I469" s="3">
        <v>5.6</v>
      </c>
      <c r="J469" s="3" t="s">
        <v>1416</v>
      </c>
      <c r="K469" s="3" t="s">
        <v>1420</v>
      </c>
    </row>
    <row r="470" spans="1:11" x14ac:dyDescent="0.2">
      <c r="A470" s="2" t="s">
        <v>430</v>
      </c>
      <c r="B470" s="2" t="s">
        <v>446</v>
      </c>
      <c r="C470" s="2" t="s">
        <v>447</v>
      </c>
      <c r="D470" s="2" t="s">
        <v>1448</v>
      </c>
      <c r="E470" s="2" t="s">
        <v>1449</v>
      </c>
      <c r="F470" s="2">
        <v>138.47</v>
      </c>
      <c r="G470" s="2" t="s">
        <v>1415</v>
      </c>
      <c r="H470" s="2">
        <v>136</v>
      </c>
      <c r="I470" s="2">
        <v>145</v>
      </c>
      <c r="J470" s="2" t="s">
        <v>1416</v>
      </c>
      <c r="K470" s="2" t="s">
        <v>1431</v>
      </c>
    </row>
    <row r="471" spans="1:11" x14ac:dyDescent="0.2">
      <c r="A471" s="3" t="s">
        <v>430</v>
      </c>
      <c r="B471" s="3" t="s">
        <v>446</v>
      </c>
      <c r="C471" s="3" t="s">
        <v>447</v>
      </c>
      <c r="D471" s="3" t="s">
        <v>1418</v>
      </c>
      <c r="E471" s="3" t="s">
        <v>1419</v>
      </c>
      <c r="F471" s="3">
        <v>4.43</v>
      </c>
      <c r="G471" s="3" t="s">
        <v>1415</v>
      </c>
      <c r="H471" s="3">
        <v>3.5</v>
      </c>
      <c r="I471" s="3">
        <v>5</v>
      </c>
      <c r="J471" s="3" t="s">
        <v>1416</v>
      </c>
      <c r="K471" s="3" t="s">
        <v>1420</v>
      </c>
    </row>
    <row r="472" spans="1:11" x14ac:dyDescent="0.2">
      <c r="A472" s="2" t="s">
        <v>430</v>
      </c>
      <c r="B472" s="2" t="s">
        <v>446</v>
      </c>
      <c r="C472" s="2" t="s">
        <v>447</v>
      </c>
      <c r="D472" s="2" t="s">
        <v>1432</v>
      </c>
      <c r="E472" s="2" t="s">
        <v>1433</v>
      </c>
      <c r="F472" s="2">
        <v>1.61</v>
      </c>
      <c r="G472" s="2" t="s">
        <v>1415</v>
      </c>
      <c r="H472" s="2">
        <v>0</v>
      </c>
      <c r="I472" s="2">
        <v>3</v>
      </c>
      <c r="J472" s="2" t="s">
        <v>1416</v>
      </c>
      <c r="K472" s="2" t="s">
        <v>1417</v>
      </c>
    </row>
    <row r="473" spans="1:11" x14ac:dyDescent="0.2">
      <c r="A473" s="3" t="s">
        <v>430</v>
      </c>
      <c r="B473" s="3" t="s">
        <v>446</v>
      </c>
      <c r="C473" s="3" t="s">
        <v>447</v>
      </c>
      <c r="D473" s="3" t="s">
        <v>1413</v>
      </c>
      <c r="E473" s="3" t="s">
        <v>1414</v>
      </c>
      <c r="F473" s="3">
        <v>1.68</v>
      </c>
      <c r="G473" s="3" t="s">
        <v>1415</v>
      </c>
      <c r="H473" s="3">
        <v>1</v>
      </c>
      <c r="I473" s="3">
        <v>5</v>
      </c>
      <c r="J473" s="3" t="s">
        <v>1416</v>
      </c>
      <c r="K473" s="3" t="s">
        <v>1417</v>
      </c>
    </row>
    <row r="474" spans="1:11" x14ac:dyDescent="0.2">
      <c r="A474" s="2" t="s">
        <v>449</v>
      </c>
      <c r="B474" s="2" t="s">
        <v>450</v>
      </c>
      <c r="C474" s="2" t="s">
        <v>451</v>
      </c>
      <c r="D474" s="2" t="s">
        <v>1440</v>
      </c>
      <c r="E474" s="2" t="s">
        <v>1441</v>
      </c>
      <c r="F474" s="2">
        <v>5.04</v>
      </c>
      <c r="G474" s="2" t="s">
        <v>1442</v>
      </c>
      <c r="H474" s="2">
        <v>4</v>
      </c>
      <c r="I474" s="2">
        <v>5.6</v>
      </c>
      <c r="J474" s="2" t="s">
        <v>1416</v>
      </c>
      <c r="K474" s="2" t="s">
        <v>1431</v>
      </c>
    </row>
    <row r="475" spans="1:11" x14ac:dyDescent="0.2">
      <c r="A475" s="3" t="s">
        <v>449</v>
      </c>
      <c r="B475" s="3" t="s">
        <v>450</v>
      </c>
      <c r="C475" s="3" t="s">
        <v>451</v>
      </c>
      <c r="D475" s="3" t="s">
        <v>1432</v>
      </c>
      <c r="E475" s="3" t="s">
        <v>1433</v>
      </c>
      <c r="F475" s="3">
        <v>1.62</v>
      </c>
      <c r="G475" s="3" t="s">
        <v>1415</v>
      </c>
      <c r="H475" s="3">
        <v>0</v>
      </c>
      <c r="I475" s="3">
        <v>3</v>
      </c>
      <c r="J475" s="3" t="s">
        <v>1416</v>
      </c>
      <c r="K475" s="3" t="s">
        <v>1420</v>
      </c>
    </row>
    <row r="476" spans="1:11" x14ac:dyDescent="0.2">
      <c r="A476" s="2" t="s">
        <v>449</v>
      </c>
      <c r="B476" s="2" t="s">
        <v>450</v>
      </c>
      <c r="C476" s="2" t="s">
        <v>451</v>
      </c>
      <c r="D476" s="2" t="s">
        <v>1435</v>
      </c>
      <c r="E476" s="2" t="s">
        <v>1436</v>
      </c>
      <c r="F476" s="2">
        <v>0.55000000000000004</v>
      </c>
      <c r="G476" s="2" t="s">
        <v>1415</v>
      </c>
      <c r="H476" s="2">
        <v>0.8</v>
      </c>
      <c r="I476" s="2">
        <v>1.5</v>
      </c>
      <c r="J476" s="5" t="s">
        <v>1430</v>
      </c>
      <c r="K476" s="2" t="s">
        <v>1417</v>
      </c>
    </row>
    <row r="477" spans="1:11" x14ac:dyDescent="0.2">
      <c r="A477" s="3" t="s">
        <v>449</v>
      </c>
      <c r="B477" s="3" t="s">
        <v>450</v>
      </c>
      <c r="C477" s="3" t="s">
        <v>451</v>
      </c>
      <c r="D477" s="3" t="s">
        <v>1418</v>
      </c>
      <c r="E477" s="3" t="s">
        <v>1419</v>
      </c>
      <c r="F477" s="3">
        <v>4.17</v>
      </c>
      <c r="G477" s="3" t="s">
        <v>1415</v>
      </c>
      <c r="H477" s="3">
        <v>3.5</v>
      </c>
      <c r="I477" s="3">
        <v>5</v>
      </c>
      <c r="J477" s="3" t="s">
        <v>1416</v>
      </c>
      <c r="K477" s="3" t="s">
        <v>1420</v>
      </c>
    </row>
    <row r="478" spans="1:11" x14ac:dyDescent="0.2">
      <c r="A478" s="2" t="s">
        <v>449</v>
      </c>
      <c r="B478" s="2" t="s">
        <v>454</v>
      </c>
      <c r="C478" s="2" t="s">
        <v>313</v>
      </c>
      <c r="D478" s="2" t="s">
        <v>1440</v>
      </c>
      <c r="E478" s="2" t="s">
        <v>1441</v>
      </c>
      <c r="F478" s="2">
        <v>11.16</v>
      </c>
      <c r="G478" s="2" t="s">
        <v>1442</v>
      </c>
      <c r="H478" s="2">
        <v>4</v>
      </c>
      <c r="I478" s="2">
        <v>5.6</v>
      </c>
      <c r="J478" s="5" t="s">
        <v>1426</v>
      </c>
      <c r="K478" s="2" t="s">
        <v>1420</v>
      </c>
    </row>
    <row r="479" spans="1:11" x14ac:dyDescent="0.2">
      <c r="A479" s="3" t="s">
        <v>449</v>
      </c>
      <c r="B479" s="3" t="s">
        <v>454</v>
      </c>
      <c r="C479" s="3" t="s">
        <v>313</v>
      </c>
      <c r="D479" s="3" t="s">
        <v>1437</v>
      </c>
      <c r="E479" s="3" t="s">
        <v>1438</v>
      </c>
      <c r="F479" s="3">
        <v>7.54</v>
      </c>
      <c r="G479" s="3" t="s">
        <v>1439</v>
      </c>
      <c r="H479" s="3">
        <v>12</v>
      </c>
      <c r="I479" s="3">
        <v>17.5</v>
      </c>
      <c r="J479" s="5" t="s">
        <v>1430</v>
      </c>
      <c r="K479" s="3" t="s">
        <v>1417</v>
      </c>
    </row>
    <row r="480" spans="1:11" x14ac:dyDescent="0.2">
      <c r="A480" s="2" t="s">
        <v>449</v>
      </c>
      <c r="B480" s="2" t="s">
        <v>454</v>
      </c>
      <c r="C480" s="2" t="s">
        <v>313</v>
      </c>
      <c r="D480" s="2" t="s">
        <v>1421</v>
      </c>
      <c r="E480" s="2" t="s">
        <v>1422</v>
      </c>
      <c r="F480" s="2">
        <v>5.7</v>
      </c>
      <c r="G480" s="2" t="s">
        <v>1415</v>
      </c>
      <c r="H480" s="2">
        <v>0</v>
      </c>
      <c r="I480" s="2">
        <v>5</v>
      </c>
      <c r="J480" s="5" t="s">
        <v>1426</v>
      </c>
      <c r="K480" s="2" t="s">
        <v>1431</v>
      </c>
    </row>
    <row r="481" spans="1:11" x14ac:dyDescent="0.2">
      <c r="A481" s="3" t="s">
        <v>449</v>
      </c>
      <c r="B481" s="3" t="s">
        <v>456</v>
      </c>
      <c r="C481" s="3" t="s">
        <v>313</v>
      </c>
      <c r="D481" s="3" t="s">
        <v>1450</v>
      </c>
      <c r="E481" s="3" t="s">
        <v>1451</v>
      </c>
      <c r="F481" s="3">
        <v>98.49</v>
      </c>
      <c r="G481" s="3" t="s">
        <v>1452</v>
      </c>
      <c r="H481" s="3">
        <v>60</v>
      </c>
      <c r="I481" s="3">
        <v>120</v>
      </c>
      <c r="J481" s="3" t="s">
        <v>1416</v>
      </c>
      <c r="K481" s="3" t="s">
        <v>1417</v>
      </c>
    </row>
    <row r="482" spans="1:11" x14ac:dyDescent="0.2">
      <c r="A482" s="2" t="s">
        <v>449</v>
      </c>
      <c r="B482" s="2" t="s">
        <v>456</v>
      </c>
      <c r="C482" s="2" t="s">
        <v>313</v>
      </c>
      <c r="D482" s="2" t="s">
        <v>1455</v>
      </c>
      <c r="E482" s="2" t="s">
        <v>1456</v>
      </c>
      <c r="F482" s="2">
        <v>72.05</v>
      </c>
      <c r="G482" s="2" t="s">
        <v>1457</v>
      </c>
      <c r="H482" s="2">
        <v>40</v>
      </c>
      <c r="I482" s="2">
        <v>130</v>
      </c>
      <c r="J482" s="2" t="s">
        <v>1416</v>
      </c>
      <c r="K482" s="2" t="s">
        <v>1434</v>
      </c>
    </row>
    <row r="483" spans="1:11" x14ac:dyDescent="0.2">
      <c r="A483" s="3" t="s">
        <v>449</v>
      </c>
      <c r="B483" s="3" t="s">
        <v>456</v>
      </c>
      <c r="C483" s="3" t="s">
        <v>313</v>
      </c>
      <c r="D483" s="3" t="s">
        <v>1446</v>
      </c>
      <c r="E483" s="3" t="s">
        <v>1447</v>
      </c>
      <c r="F483" s="3">
        <v>2.75</v>
      </c>
      <c r="G483" s="3" t="s">
        <v>1415</v>
      </c>
      <c r="H483" s="3">
        <v>2.1</v>
      </c>
      <c r="I483" s="3">
        <v>2.6</v>
      </c>
      <c r="J483" s="5" t="s">
        <v>1426</v>
      </c>
      <c r="K483" s="3" t="s">
        <v>1431</v>
      </c>
    </row>
    <row r="484" spans="1:11" x14ac:dyDescent="0.2">
      <c r="A484" s="2" t="s">
        <v>449</v>
      </c>
      <c r="B484" s="2" t="s">
        <v>456</v>
      </c>
      <c r="C484" s="2" t="s">
        <v>313</v>
      </c>
      <c r="D484" s="2" t="s">
        <v>1418</v>
      </c>
      <c r="E484" s="2" t="s">
        <v>1419</v>
      </c>
      <c r="F484" s="2">
        <v>3.56</v>
      </c>
      <c r="G484" s="2" t="s">
        <v>1415</v>
      </c>
      <c r="H484" s="2">
        <v>3.5</v>
      </c>
      <c r="I484" s="2">
        <v>5</v>
      </c>
      <c r="J484" s="2" t="s">
        <v>1416</v>
      </c>
      <c r="K484" s="2" t="s">
        <v>1434</v>
      </c>
    </row>
    <row r="485" spans="1:11" x14ac:dyDescent="0.2">
      <c r="A485" s="3" t="s">
        <v>449</v>
      </c>
      <c r="B485" s="3" t="s">
        <v>456</v>
      </c>
      <c r="C485" s="3" t="s">
        <v>313</v>
      </c>
      <c r="D485" s="3" t="s">
        <v>1427</v>
      </c>
      <c r="E485" s="3" t="s">
        <v>1428</v>
      </c>
      <c r="F485" s="3">
        <v>14.39</v>
      </c>
      <c r="G485" s="3" t="s">
        <v>1429</v>
      </c>
      <c r="H485" s="3">
        <v>4</v>
      </c>
      <c r="I485" s="3">
        <v>11</v>
      </c>
      <c r="J485" s="5" t="s">
        <v>1426</v>
      </c>
      <c r="K485" s="3" t="s">
        <v>1431</v>
      </c>
    </row>
    <row r="486" spans="1:11" x14ac:dyDescent="0.2">
      <c r="A486" s="2" t="s">
        <v>449</v>
      </c>
      <c r="B486" s="2" t="s">
        <v>458</v>
      </c>
      <c r="C486" s="2" t="s">
        <v>459</v>
      </c>
      <c r="D486" s="2" t="s">
        <v>1437</v>
      </c>
      <c r="E486" s="2" t="s">
        <v>1438</v>
      </c>
      <c r="F486" s="2">
        <v>11.59</v>
      </c>
      <c r="G486" s="2" t="s">
        <v>1439</v>
      </c>
      <c r="H486" s="2">
        <v>12</v>
      </c>
      <c r="I486" s="2">
        <v>17.5</v>
      </c>
      <c r="J486" s="5" t="s">
        <v>1430</v>
      </c>
      <c r="K486" s="2" t="s">
        <v>1434</v>
      </c>
    </row>
    <row r="487" spans="1:11" x14ac:dyDescent="0.2">
      <c r="A487" s="3" t="s">
        <v>449</v>
      </c>
      <c r="B487" s="3" t="s">
        <v>458</v>
      </c>
      <c r="C487" s="3" t="s">
        <v>459</v>
      </c>
      <c r="D487" s="3" t="s">
        <v>1446</v>
      </c>
      <c r="E487" s="3" t="s">
        <v>1447</v>
      </c>
      <c r="F487" s="3">
        <v>2.3199999999999998</v>
      </c>
      <c r="G487" s="3" t="s">
        <v>1415</v>
      </c>
      <c r="H487" s="3">
        <v>2.1</v>
      </c>
      <c r="I487" s="3">
        <v>2.6</v>
      </c>
      <c r="J487" s="3" t="s">
        <v>1416</v>
      </c>
      <c r="K487" s="3" t="s">
        <v>1420</v>
      </c>
    </row>
    <row r="488" spans="1:11" x14ac:dyDescent="0.2">
      <c r="A488" s="2" t="s">
        <v>449</v>
      </c>
      <c r="B488" s="2" t="s">
        <v>458</v>
      </c>
      <c r="C488" s="2" t="s">
        <v>459</v>
      </c>
      <c r="D488" s="2" t="s">
        <v>1432</v>
      </c>
      <c r="E488" s="2" t="s">
        <v>1433</v>
      </c>
      <c r="F488" s="2">
        <v>2.27</v>
      </c>
      <c r="G488" s="2" t="s">
        <v>1415</v>
      </c>
      <c r="H488" s="2">
        <v>0</v>
      </c>
      <c r="I488" s="2">
        <v>3</v>
      </c>
      <c r="J488" s="2" t="s">
        <v>1416</v>
      </c>
      <c r="K488" s="2" t="s">
        <v>1434</v>
      </c>
    </row>
    <row r="489" spans="1:11" x14ac:dyDescent="0.2">
      <c r="A489" s="3" t="s">
        <v>449</v>
      </c>
      <c r="B489" s="3" t="s">
        <v>461</v>
      </c>
      <c r="C489" s="3" t="s">
        <v>462</v>
      </c>
      <c r="D489" s="3" t="s">
        <v>1421</v>
      </c>
      <c r="E489" s="3" t="s">
        <v>1422</v>
      </c>
      <c r="F489" s="3">
        <v>4.5</v>
      </c>
      <c r="G489" s="3" t="s">
        <v>1415</v>
      </c>
      <c r="H489" s="3">
        <v>0</v>
      </c>
      <c r="I489" s="3">
        <v>5</v>
      </c>
      <c r="J489" s="3" t="s">
        <v>1416</v>
      </c>
      <c r="K489" s="3" t="s">
        <v>1434</v>
      </c>
    </row>
    <row r="490" spans="1:11" x14ac:dyDescent="0.2">
      <c r="A490" s="2" t="s">
        <v>449</v>
      </c>
      <c r="B490" s="2" t="s">
        <v>461</v>
      </c>
      <c r="C490" s="2" t="s">
        <v>462</v>
      </c>
      <c r="D490" s="2" t="s">
        <v>1423</v>
      </c>
      <c r="E490" s="2" t="s">
        <v>1424</v>
      </c>
      <c r="F490" s="2">
        <v>5.59</v>
      </c>
      <c r="G490" s="2" t="s">
        <v>1425</v>
      </c>
      <c r="H490" s="2">
        <v>4.5</v>
      </c>
      <c r="I490" s="2">
        <v>5.5</v>
      </c>
      <c r="J490" s="5" t="s">
        <v>1426</v>
      </c>
      <c r="K490" s="2" t="s">
        <v>1431</v>
      </c>
    </row>
    <row r="491" spans="1:11" x14ac:dyDescent="0.2">
      <c r="A491" s="3" t="s">
        <v>449</v>
      </c>
      <c r="B491" s="3" t="s">
        <v>461</v>
      </c>
      <c r="C491" s="3" t="s">
        <v>462</v>
      </c>
      <c r="D491" s="3" t="s">
        <v>1440</v>
      </c>
      <c r="E491" s="3" t="s">
        <v>1441</v>
      </c>
      <c r="F491" s="3">
        <v>9.33</v>
      </c>
      <c r="G491" s="3" t="s">
        <v>1442</v>
      </c>
      <c r="H491" s="3">
        <v>4</v>
      </c>
      <c r="I491" s="3">
        <v>5.6</v>
      </c>
      <c r="J491" s="5" t="s">
        <v>1426</v>
      </c>
      <c r="K491" s="3" t="s">
        <v>1417</v>
      </c>
    </row>
    <row r="492" spans="1:11" x14ac:dyDescent="0.2">
      <c r="A492" s="2" t="s">
        <v>449</v>
      </c>
      <c r="B492" s="2" t="s">
        <v>461</v>
      </c>
      <c r="C492" s="2" t="s">
        <v>462</v>
      </c>
      <c r="D492" s="2" t="s">
        <v>1435</v>
      </c>
      <c r="E492" s="2" t="s">
        <v>1436</v>
      </c>
      <c r="F492" s="2">
        <v>0.76</v>
      </c>
      <c r="G492" s="2" t="s">
        <v>1415</v>
      </c>
      <c r="H492" s="2">
        <v>0.8</v>
      </c>
      <c r="I492" s="2">
        <v>1.5</v>
      </c>
      <c r="J492" s="5" t="s">
        <v>1430</v>
      </c>
      <c r="K492" s="2" t="s">
        <v>1434</v>
      </c>
    </row>
    <row r="493" spans="1:11" x14ac:dyDescent="0.2">
      <c r="A493" s="3" t="s">
        <v>449</v>
      </c>
      <c r="B493" s="3" t="s">
        <v>461</v>
      </c>
      <c r="C493" s="3" t="s">
        <v>462</v>
      </c>
      <c r="D493" s="3" t="s">
        <v>1427</v>
      </c>
      <c r="E493" s="3" t="s">
        <v>1428</v>
      </c>
      <c r="F493" s="3">
        <v>13.37</v>
      </c>
      <c r="G493" s="3" t="s">
        <v>1429</v>
      </c>
      <c r="H493" s="3">
        <v>4</v>
      </c>
      <c r="I493" s="3">
        <v>11</v>
      </c>
      <c r="J493" s="5" t="s">
        <v>1426</v>
      </c>
      <c r="K493" s="3" t="s">
        <v>1431</v>
      </c>
    </row>
    <row r="494" spans="1:11" x14ac:dyDescent="0.2">
      <c r="A494" s="2" t="s">
        <v>449</v>
      </c>
      <c r="B494" s="2" t="s">
        <v>461</v>
      </c>
      <c r="C494" s="2" t="s">
        <v>462</v>
      </c>
      <c r="D494" s="2" t="s">
        <v>1450</v>
      </c>
      <c r="E494" s="2" t="s">
        <v>1451</v>
      </c>
      <c r="F494" s="2">
        <v>36.700000000000003</v>
      </c>
      <c r="G494" s="2" t="s">
        <v>1452</v>
      </c>
      <c r="H494" s="2">
        <v>60</v>
      </c>
      <c r="I494" s="2">
        <v>120</v>
      </c>
      <c r="J494" s="5" t="s">
        <v>1430</v>
      </c>
      <c r="K494" s="2" t="s">
        <v>1431</v>
      </c>
    </row>
    <row r="495" spans="1:11" x14ac:dyDescent="0.2">
      <c r="A495" s="3" t="s">
        <v>464</v>
      </c>
      <c r="B495" s="3" t="s">
        <v>465</v>
      </c>
      <c r="C495" s="3" t="s">
        <v>466</v>
      </c>
      <c r="D495" s="3" t="s">
        <v>1453</v>
      </c>
      <c r="E495" s="3" t="s">
        <v>1454</v>
      </c>
      <c r="F495" s="3">
        <v>5.37</v>
      </c>
      <c r="G495" s="3" t="s">
        <v>1415</v>
      </c>
      <c r="H495" s="3">
        <v>3.9</v>
      </c>
      <c r="I495" s="3">
        <v>5.5</v>
      </c>
      <c r="J495" s="3" t="s">
        <v>1416</v>
      </c>
      <c r="K495" s="3" t="s">
        <v>1431</v>
      </c>
    </row>
    <row r="496" spans="1:11" x14ac:dyDescent="0.2">
      <c r="A496" s="2" t="s">
        <v>464</v>
      </c>
      <c r="B496" s="2" t="s">
        <v>465</v>
      </c>
      <c r="C496" s="2" t="s">
        <v>466</v>
      </c>
      <c r="D496" s="2" t="s">
        <v>1440</v>
      </c>
      <c r="E496" s="2" t="s">
        <v>1441</v>
      </c>
      <c r="F496" s="2">
        <v>11.04</v>
      </c>
      <c r="G496" s="2" t="s">
        <v>1442</v>
      </c>
      <c r="H496" s="2">
        <v>4</v>
      </c>
      <c r="I496" s="2">
        <v>5.6</v>
      </c>
      <c r="J496" s="5" t="s">
        <v>1426</v>
      </c>
      <c r="K496" s="2" t="s">
        <v>1417</v>
      </c>
    </row>
    <row r="497" spans="1:11" x14ac:dyDescent="0.2">
      <c r="A497" s="3" t="s">
        <v>464</v>
      </c>
      <c r="B497" s="3" t="s">
        <v>465</v>
      </c>
      <c r="C497" s="3" t="s">
        <v>466</v>
      </c>
      <c r="D497" s="3" t="s">
        <v>1418</v>
      </c>
      <c r="E497" s="3" t="s">
        <v>1419</v>
      </c>
      <c r="F497" s="3">
        <v>3.24</v>
      </c>
      <c r="G497" s="3" t="s">
        <v>1415</v>
      </c>
      <c r="H497" s="3">
        <v>3.5</v>
      </c>
      <c r="I497" s="3">
        <v>5</v>
      </c>
      <c r="J497" s="5" t="s">
        <v>1430</v>
      </c>
      <c r="K497" s="3" t="s">
        <v>1431</v>
      </c>
    </row>
    <row r="498" spans="1:11" x14ac:dyDescent="0.2">
      <c r="A498" s="2" t="s">
        <v>464</v>
      </c>
      <c r="B498" s="2" t="s">
        <v>465</v>
      </c>
      <c r="C498" s="2" t="s">
        <v>466</v>
      </c>
      <c r="D498" s="2" t="s">
        <v>1443</v>
      </c>
      <c r="E498" s="2" t="s">
        <v>1444</v>
      </c>
      <c r="F498" s="2">
        <v>58.64</v>
      </c>
      <c r="G498" s="2" t="s">
        <v>1445</v>
      </c>
      <c r="H498" s="2">
        <v>53</v>
      </c>
      <c r="I498" s="2">
        <v>97</v>
      </c>
      <c r="J498" s="2" t="s">
        <v>1416</v>
      </c>
      <c r="K498" s="2" t="s">
        <v>1434</v>
      </c>
    </row>
    <row r="499" spans="1:11" x14ac:dyDescent="0.2">
      <c r="A499" s="3" t="s">
        <v>464</v>
      </c>
      <c r="B499" s="3" t="s">
        <v>469</v>
      </c>
      <c r="C499" s="3" t="s">
        <v>466</v>
      </c>
      <c r="D499" s="3" t="s">
        <v>1418</v>
      </c>
      <c r="E499" s="3" t="s">
        <v>1419</v>
      </c>
      <c r="F499" s="3">
        <v>3.71</v>
      </c>
      <c r="G499" s="3" t="s">
        <v>1415</v>
      </c>
      <c r="H499" s="3">
        <v>3.5</v>
      </c>
      <c r="I499" s="3">
        <v>5</v>
      </c>
      <c r="J499" s="3" t="s">
        <v>1416</v>
      </c>
      <c r="K499" s="3" t="s">
        <v>1417</v>
      </c>
    </row>
    <row r="500" spans="1:11" x14ac:dyDescent="0.2">
      <c r="A500" s="2" t="s">
        <v>464</v>
      </c>
      <c r="B500" s="2" t="s">
        <v>469</v>
      </c>
      <c r="C500" s="2" t="s">
        <v>466</v>
      </c>
      <c r="D500" s="2" t="s">
        <v>1427</v>
      </c>
      <c r="E500" s="2" t="s">
        <v>1428</v>
      </c>
      <c r="F500" s="2">
        <v>9.93</v>
      </c>
      <c r="G500" s="2" t="s">
        <v>1429</v>
      </c>
      <c r="H500" s="2">
        <v>4</v>
      </c>
      <c r="I500" s="2">
        <v>11</v>
      </c>
      <c r="J500" s="2" t="s">
        <v>1416</v>
      </c>
      <c r="K500" s="2" t="s">
        <v>1417</v>
      </c>
    </row>
    <row r="501" spans="1:11" x14ac:dyDescent="0.2">
      <c r="A501" s="3" t="s">
        <v>464</v>
      </c>
      <c r="B501" s="3" t="s">
        <v>469</v>
      </c>
      <c r="C501" s="3" t="s">
        <v>466</v>
      </c>
      <c r="D501" s="3" t="s">
        <v>1413</v>
      </c>
      <c r="E501" s="3" t="s">
        <v>1414</v>
      </c>
      <c r="F501" s="3">
        <v>1.67</v>
      </c>
      <c r="G501" s="3" t="s">
        <v>1415</v>
      </c>
      <c r="H501" s="3">
        <v>1</v>
      </c>
      <c r="I501" s="3">
        <v>5</v>
      </c>
      <c r="J501" s="3" t="s">
        <v>1416</v>
      </c>
      <c r="K501" s="3" t="s">
        <v>1420</v>
      </c>
    </row>
    <row r="502" spans="1:11" x14ac:dyDescent="0.2">
      <c r="A502" s="2" t="s">
        <v>464</v>
      </c>
      <c r="B502" s="2" t="s">
        <v>469</v>
      </c>
      <c r="C502" s="2" t="s">
        <v>466</v>
      </c>
      <c r="D502" s="2" t="s">
        <v>1435</v>
      </c>
      <c r="E502" s="2" t="s">
        <v>1436</v>
      </c>
      <c r="F502" s="2">
        <v>0.64</v>
      </c>
      <c r="G502" s="2" t="s">
        <v>1415</v>
      </c>
      <c r="H502" s="2">
        <v>0.8</v>
      </c>
      <c r="I502" s="2">
        <v>1.5</v>
      </c>
      <c r="J502" s="5" t="s">
        <v>1430</v>
      </c>
      <c r="K502" s="2" t="s">
        <v>1420</v>
      </c>
    </row>
    <row r="503" spans="1:11" x14ac:dyDescent="0.2">
      <c r="A503" s="3" t="s">
        <v>464</v>
      </c>
      <c r="B503" s="3" t="s">
        <v>469</v>
      </c>
      <c r="C503" s="3" t="s">
        <v>466</v>
      </c>
      <c r="D503" s="3" t="s">
        <v>1437</v>
      </c>
      <c r="E503" s="3" t="s">
        <v>1438</v>
      </c>
      <c r="F503" s="3">
        <v>9.65</v>
      </c>
      <c r="G503" s="3" t="s">
        <v>1439</v>
      </c>
      <c r="H503" s="3">
        <v>12</v>
      </c>
      <c r="I503" s="3">
        <v>17.5</v>
      </c>
      <c r="J503" s="5" t="s">
        <v>1430</v>
      </c>
      <c r="K503" s="3" t="s">
        <v>1420</v>
      </c>
    </row>
    <row r="504" spans="1:11" x14ac:dyDescent="0.2">
      <c r="A504" s="2" t="s">
        <v>464</v>
      </c>
      <c r="B504" s="2" t="s">
        <v>469</v>
      </c>
      <c r="C504" s="2" t="s">
        <v>466</v>
      </c>
      <c r="D504" s="2" t="s">
        <v>1421</v>
      </c>
      <c r="E504" s="2" t="s">
        <v>1422</v>
      </c>
      <c r="F504" s="2">
        <v>6.35</v>
      </c>
      <c r="G504" s="2" t="s">
        <v>1415</v>
      </c>
      <c r="H504" s="2">
        <v>0</v>
      </c>
      <c r="I504" s="2">
        <v>5</v>
      </c>
      <c r="J504" s="5" t="s">
        <v>1426</v>
      </c>
      <c r="K504" s="2" t="s">
        <v>1431</v>
      </c>
    </row>
    <row r="505" spans="1:11" x14ac:dyDescent="0.2">
      <c r="A505" s="3" t="s">
        <v>471</v>
      </c>
      <c r="B505" s="3" t="s">
        <v>472</v>
      </c>
      <c r="C505" s="3" t="s">
        <v>473</v>
      </c>
      <c r="D505" s="3" t="s">
        <v>1455</v>
      </c>
      <c r="E505" s="3" t="s">
        <v>1456</v>
      </c>
      <c r="F505" s="3">
        <v>46.68</v>
      </c>
      <c r="G505" s="3" t="s">
        <v>1457</v>
      </c>
      <c r="H505" s="3">
        <v>40</v>
      </c>
      <c r="I505" s="3">
        <v>130</v>
      </c>
      <c r="J505" s="3" t="s">
        <v>1416</v>
      </c>
      <c r="K505" s="3" t="s">
        <v>1420</v>
      </c>
    </row>
    <row r="506" spans="1:11" x14ac:dyDescent="0.2">
      <c r="A506" s="2" t="s">
        <v>471</v>
      </c>
      <c r="B506" s="2" t="s">
        <v>472</v>
      </c>
      <c r="C506" s="2" t="s">
        <v>473</v>
      </c>
      <c r="D506" s="2" t="s">
        <v>1443</v>
      </c>
      <c r="E506" s="2" t="s">
        <v>1444</v>
      </c>
      <c r="F506" s="2">
        <v>63.48</v>
      </c>
      <c r="G506" s="2" t="s">
        <v>1445</v>
      </c>
      <c r="H506" s="2">
        <v>53</v>
      </c>
      <c r="I506" s="2">
        <v>97</v>
      </c>
      <c r="J506" s="2" t="s">
        <v>1416</v>
      </c>
      <c r="K506" s="2" t="s">
        <v>1417</v>
      </c>
    </row>
    <row r="507" spans="1:11" x14ac:dyDescent="0.2">
      <c r="A507" s="3" t="s">
        <v>471</v>
      </c>
      <c r="B507" s="3" t="s">
        <v>472</v>
      </c>
      <c r="C507" s="3" t="s">
        <v>473</v>
      </c>
      <c r="D507" s="3" t="s">
        <v>1440</v>
      </c>
      <c r="E507" s="3" t="s">
        <v>1441</v>
      </c>
      <c r="F507" s="3">
        <v>6.82</v>
      </c>
      <c r="G507" s="3" t="s">
        <v>1442</v>
      </c>
      <c r="H507" s="3">
        <v>4</v>
      </c>
      <c r="I507" s="3">
        <v>5.6</v>
      </c>
      <c r="J507" s="5" t="s">
        <v>1426</v>
      </c>
      <c r="K507" s="3" t="s">
        <v>1434</v>
      </c>
    </row>
    <row r="508" spans="1:11" x14ac:dyDescent="0.2">
      <c r="A508" s="2" t="s">
        <v>471</v>
      </c>
      <c r="B508" s="2" t="s">
        <v>472</v>
      </c>
      <c r="C508" s="2" t="s">
        <v>473</v>
      </c>
      <c r="D508" s="2" t="s">
        <v>1446</v>
      </c>
      <c r="E508" s="2" t="s">
        <v>1447</v>
      </c>
      <c r="F508" s="2">
        <v>2.3199999999999998</v>
      </c>
      <c r="G508" s="2" t="s">
        <v>1415</v>
      </c>
      <c r="H508" s="2">
        <v>2.1</v>
      </c>
      <c r="I508" s="2">
        <v>2.6</v>
      </c>
      <c r="J508" s="2" t="s">
        <v>1416</v>
      </c>
      <c r="K508" s="2" t="s">
        <v>1420</v>
      </c>
    </row>
    <row r="509" spans="1:11" x14ac:dyDescent="0.2">
      <c r="A509" s="3" t="s">
        <v>471</v>
      </c>
      <c r="B509" s="3" t="s">
        <v>472</v>
      </c>
      <c r="C509" s="3" t="s">
        <v>473</v>
      </c>
      <c r="D509" s="3" t="s">
        <v>1435</v>
      </c>
      <c r="E509" s="3" t="s">
        <v>1436</v>
      </c>
      <c r="F509" s="3">
        <v>1.73</v>
      </c>
      <c r="G509" s="3" t="s">
        <v>1415</v>
      </c>
      <c r="H509" s="3">
        <v>0.8</v>
      </c>
      <c r="I509" s="3">
        <v>1.5</v>
      </c>
      <c r="J509" s="5" t="s">
        <v>1426</v>
      </c>
      <c r="K509" s="3" t="s">
        <v>1420</v>
      </c>
    </row>
    <row r="510" spans="1:11" x14ac:dyDescent="0.2">
      <c r="A510" s="2" t="s">
        <v>471</v>
      </c>
      <c r="B510" s="2" t="s">
        <v>476</v>
      </c>
      <c r="C510" s="2" t="s">
        <v>477</v>
      </c>
      <c r="D510" s="2" t="s">
        <v>1413</v>
      </c>
      <c r="E510" s="2" t="s">
        <v>1414</v>
      </c>
      <c r="F510" s="2">
        <v>1.72</v>
      </c>
      <c r="G510" s="2" t="s">
        <v>1415</v>
      </c>
      <c r="H510" s="2">
        <v>1</v>
      </c>
      <c r="I510" s="2">
        <v>5</v>
      </c>
      <c r="J510" s="2" t="s">
        <v>1416</v>
      </c>
      <c r="K510" s="2" t="s">
        <v>1431</v>
      </c>
    </row>
    <row r="511" spans="1:11" x14ac:dyDescent="0.2">
      <c r="A511" s="3" t="s">
        <v>471</v>
      </c>
      <c r="B511" s="3" t="s">
        <v>476</v>
      </c>
      <c r="C511" s="3" t="s">
        <v>477</v>
      </c>
      <c r="D511" s="3" t="s">
        <v>1453</v>
      </c>
      <c r="E511" s="3" t="s">
        <v>1454</v>
      </c>
      <c r="F511" s="3">
        <v>5.66</v>
      </c>
      <c r="G511" s="3" t="s">
        <v>1415</v>
      </c>
      <c r="H511" s="3">
        <v>3.9</v>
      </c>
      <c r="I511" s="3">
        <v>5.5</v>
      </c>
      <c r="J511" s="5" t="s">
        <v>1426</v>
      </c>
      <c r="K511" s="3" t="s">
        <v>1420</v>
      </c>
    </row>
    <row r="512" spans="1:11" x14ac:dyDescent="0.2">
      <c r="A512" s="2" t="s">
        <v>471</v>
      </c>
      <c r="B512" s="2" t="s">
        <v>476</v>
      </c>
      <c r="C512" s="2" t="s">
        <v>477</v>
      </c>
      <c r="D512" s="2" t="s">
        <v>1446</v>
      </c>
      <c r="E512" s="2" t="s">
        <v>1447</v>
      </c>
      <c r="F512" s="2">
        <v>2.69</v>
      </c>
      <c r="G512" s="2" t="s">
        <v>1415</v>
      </c>
      <c r="H512" s="2">
        <v>2.1</v>
      </c>
      <c r="I512" s="2">
        <v>2.6</v>
      </c>
      <c r="J512" s="5" t="s">
        <v>1426</v>
      </c>
      <c r="K512" s="2" t="s">
        <v>1420</v>
      </c>
    </row>
    <row r="513" spans="1:11" x14ac:dyDescent="0.2">
      <c r="A513" s="3" t="s">
        <v>471</v>
      </c>
      <c r="B513" s="3" t="s">
        <v>476</v>
      </c>
      <c r="C513" s="3" t="s">
        <v>477</v>
      </c>
      <c r="D513" s="3" t="s">
        <v>1437</v>
      </c>
      <c r="E513" s="3" t="s">
        <v>1438</v>
      </c>
      <c r="F513" s="3">
        <v>9.1</v>
      </c>
      <c r="G513" s="3" t="s">
        <v>1439</v>
      </c>
      <c r="H513" s="3">
        <v>12</v>
      </c>
      <c r="I513" s="3">
        <v>17.5</v>
      </c>
      <c r="J513" s="5" t="s">
        <v>1430</v>
      </c>
      <c r="K513" s="3" t="s">
        <v>1420</v>
      </c>
    </row>
    <row r="514" spans="1:11" x14ac:dyDescent="0.2">
      <c r="A514" s="2" t="s">
        <v>471</v>
      </c>
      <c r="B514" s="2" t="s">
        <v>476</v>
      </c>
      <c r="C514" s="2" t="s">
        <v>477</v>
      </c>
      <c r="D514" s="2" t="s">
        <v>1443</v>
      </c>
      <c r="E514" s="2" t="s">
        <v>1444</v>
      </c>
      <c r="F514" s="2">
        <v>63.4</v>
      </c>
      <c r="G514" s="2" t="s">
        <v>1445</v>
      </c>
      <c r="H514" s="2">
        <v>53</v>
      </c>
      <c r="I514" s="2">
        <v>97</v>
      </c>
      <c r="J514" s="2" t="s">
        <v>1416</v>
      </c>
      <c r="K514" s="2" t="s">
        <v>1417</v>
      </c>
    </row>
    <row r="515" spans="1:11" x14ac:dyDescent="0.2">
      <c r="A515" s="3" t="s">
        <v>471</v>
      </c>
      <c r="B515" s="3" t="s">
        <v>479</v>
      </c>
      <c r="C515" s="3" t="s">
        <v>480</v>
      </c>
      <c r="D515" s="3" t="s">
        <v>1455</v>
      </c>
      <c r="E515" s="3" t="s">
        <v>1456</v>
      </c>
      <c r="F515" s="3">
        <v>231.46</v>
      </c>
      <c r="G515" s="3" t="s">
        <v>1457</v>
      </c>
      <c r="H515" s="3">
        <v>40</v>
      </c>
      <c r="I515" s="3">
        <v>130</v>
      </c>
      <c r="J515" s="5" t="s">
        <v>1426</v>
      </c>
      <c r="K515" s="3" t="s">
        <v>1434</v>
      </c>
    </row>
    <row r="516" spans="1:11" x14ac:dyDescent="0.2">
      <c r="A516" s="2" t="s">
        <v>471</v>
      </c>
      <c r="B516" s="2" t="s">
        <v>479</v>
      </c>
      <c r="C516" s="2" t="s">
        <v>480</v>
      </c>
      <c r="D516" s="2" t="s">
        <v>1453</v>
      </c>
      <c r="E516" s="2" t="s">
        <v>1454</v>
      </c>
      <c r="F516" s="2">
        <v>4.21</v>
      </c>
      <c r="G516" s="2" t="s">
        <v>1415</v>
      </c>
      <c r="H516" s="2">
        <v>3.9</v>
      </c>
      <c r="I516" s="2">
        <v>5.5</v>
      </c>
      <c r="J516" s="2" t="s">
        <v>1416</v>
      </c>
      <c r="K516" s="2" t="s">
        <v>1431</v>
      </c>
    </row>
    <row r="517" spans="1:11" x14ac:dyDescent="0.2">
      <c r="A517" s="3" t="s">
        <v>471</v>
      </c>
      <c r="B517" s="3" t="s">
        <v>479</v>
      </c>
      <c r="C517" s="3" t="s">
        <v>480</v>
      </c>
      <c r="D517" s="3" t="s">
        <v>1440</v>
      </c>
      <c r="E517" s="3" t="s">
        <v>1441</v>
      </c>
      <c r="F517" s="3">
        <v>6.25</v>
      </c>
      <c r="G517" s="3" t="s">
        <v>1442</v>
      </c>
      <c r="H517" s="3">
        <v>4</v>
      </c>
      <c r="I517" s="3">
        <v>5.6</v>
      </c>
      <c r="J517" s="5" t="s">
        <v>1426</v>
      </c>
      <c r="K517" s="3" t="s">
        <v>1417</v>
      </c>
    </row>
    <row r="518" spans="1:11" x14ac:dyDescent="0.2">
      <c r="A518" s="2" t="s">
        <v>471</v>
      </c>
      <c r="B518" s="2" t="s">
        <v>482</v>
      </c>
      <c r="C518" s="2" t="s">
        <v>483</v>
      </c>
      <c r="D518" s="2" t="s">
        <v>1453</v>
      </c>
      <c r="E518" s="2" t="s">
        <v>1454</v>
      </c>
      <c r="F518" s="2">
        <v>5.71</v>
      </c>
      <c r="G518" s="2" t="s">
        <v>1415</v>
      </c>
      <c r="H518" s="2">
        <v>3.9</v>
      </c>
      <c r="I518" s="2">
        <v>5.5</v>
      </c>
      <c r="J518" s="5" t="s">
        <v>1426</v>
      </c>
      <c r="K518" s="2" t="s">
        <v>1417</v>
      </c>
    </row>
    <row r="519" spans="1:11" x14ac:dyDescent="0.2">
      <c r="A519" s="3" t="s">
        <v>471</v>
      </c>
      <c r="B519" s="3" t="s">
        <v>482</v>
      </c>
      <c r="C519" s="3" t="s">
        <v>483</v>
      </c>
      <c r="D519" s="3" t="s">
        <v>1427</v>
      </c>
      <c r="E519" s="3" t="s">
        <v>1428</v>
      </c>
      <c r="F519" s="3">
        <v>17.84</v>
      </c>
      <c r="G519" s="3" t="s">
        <v>1429</v>
      </c>
      <c r="H519" s="3">
        <v>4</v>
      </c>
      <c r="I519" s="3">
        <v>11</v>
      </c>
      <c r="J519" s="5" t="s">
        <v>1426</v>
      </c>
      <c r="K519" s="3" t="s">
        <v>1431</v>
      </c>
    </row>
    <row r="520" spans="1:11" x14ac:dyDescent="0.2">
      <c r="A520" s="2" t="s">
        <v>471</v>
      </c>
      <c r="B520" s="2" t="s">
        <v>482</v>
      </c>
      <c r="C520" s="2" t="s">
        <v>483</v>
      </c>
      <c r="D520" s="2" t="s">
        <v>1423</v>
      </c>
      <c r="E520" s="2" t="s">
        <v>1424</v>
      </c>
      <c r="F520" s="2">
        <v>4.5999999999999996</v>
      </c>
      <c r="G520" s="2" t="s">
        <v>1425</v>
      </c>
      <c r="H520" s="2">
        <v>4.5</v>
      </c>
      <c r="I520" s="2">
        <v>5.5</v>
      </c>
      <c r="J520" s="2" t="s">
        <v>1416</v>
      </c>
      <c r="K520" s="2" t="s">
        <v>1431</v>
      </c>
    </row>
    <row r="521" spans="1:11" x14ac:dyDescent="0.2">
      <c r="A521" s="3" t="s">
        <v>471</v>
      </c>
      <c r="B521" s="3" t="s">
        <v>485</v>
      </c>
      <c r="C521" s="3" t="s">
        <v>486</v>
      </c>
      <c r="D521" s="3" t="s">
        <v>1440</v>
      </c>
      <c r="E521" s="3" t="s">
        <v>1441</v>
      </c>
      <c r="F521" s="3">
        <v>8.58</v>
      </c>
      <c r="G521" s="3" t="s">
        <v>1442</v>
      </c>
      <c r="H521" s="3">
        <v>4</v>
      </c>
      <c r="I521" s="3">
        <v>5.6</v>
      </c>
      <c r="J521" s="5" t="s">
        <v>1426</v>
      </c>
      <c r="K521" s="3" t="s">
        <v>1420</v>
      </c>
    </row>
    <row r="522" spans="1:11" x14ac:dyDescent="0.2">
      <c r="A522" s="2" t="s">
        <v>471</v>
      </c>
      <c r="B522" s="2" t="s">
        <v>485</v>
      </c>
      <c r="C522" s="2" t="s">
        <v>486</v>
      </c>
      <c r="D522" s="2" t="s">
        <v>1421</v>
      </c>
      <c r="E522" s="2" t="s">
        <v>1422</v>
      </c>
      <c r="F522" s="2">
        <v>7.07</v>
      </c>
      <c r="G522" s="2" t="s">
        <v>1415</v>
      </c>
      <c r="H522" s="2">
        <v>0</v>
      </c>
      <c r="I522" s="2">
        <v>5</v>
      </c>
      <c r="J522" s="5" t="s">
        <v>1426</v>
      </c>
      <c r="K522" s="2" t="s">
        <v>1420</v>
      </c>
    </row>
    <row r="523" spans="1:11" x14ac:dyDescent="0.2">
      <c r="A523" s="3" t="s">
        <v>471</v>
      </c>
      <c r="B523" s="3" t="s">
        <v>485</v>
      </c>
      <c r="C523" s="3" t="s">
        <v>486</v>
      </c>
      <c r="D523" s="3" t="s">
        <v>1418</v>
      </c>
      <c r="E523" s="3" t="s">
        <v>1419</v>
      </c>
      <c r="F523" s="3">
        <v>5.26</v>
      </c>
      <c r="G523" s="3" t="s">
        <v>1415</v>
      </c>
      <c r="H523" s="3">
        <v>3.5</v>
      </c>
      <c r="I523" s="3">
        <v>5</v>
      </c>
      <c r="J523" s="5" t="s">
        <v>1426</v>
      </c>
      <c r="K523" s="3" t="s">
        <v>1417</v>
      </c>
    </row>
    <row r="524" spans="1:11" x14ac:dyDescent="0.2">
      <c r="A524" s="2" t="s">
        <v>488</v>
      </c>
      <c r="B524" s="2" t="s">
        <v>489</v>
      </c>
      <c r="C524" s="2" t="s">
        <v>490</v>
      </c>
      <c r="D524" s="2" t="s">
        <v>1435</v>
      </c>
      <c r="E524" s="2" t="s">
        <v>1436</v>
      </c>
      <c r="F524" s="2">
        <v>0.72</v>
      </c>
      <c r="G524" s="2" t="s">
        <v>1415</v>
      </c>
      <c r="H524" s="2">
        <v>0.8</v>
      </c>
      <c r="I524" s="2">
        <v>1.5</v>
      </c>
      <c r="J524" s="5" t="s">
        <v>1430</v>
      </c>
      <c r="K524" s="2" t="s">
        <v>1420</v>
      </c>
    </row>
    <row r="525" spans="1:11" x14ac:dyDescent="0.2">
      <c r="A525" s="3" t="s">
        <v>488</v>
      </c>
      <c r="B525" s="3" t="s">
        <v>489</v>
      </c>
      <c r="C525" s="3" t="s">
        <v>490</v>
      </c>
      <c r="D525" s="3" t="s">
        <v>1453</v>
      </c>
      <c r="E525" s="3" t="s">
        <v>1454</v>
      </c>
      <c r="F525" s="3">
        <v>7.48</v>
      </c>
      <c r="G525" s="3" t="s">
        <v>1415</v>
      </c>
      <c r="H525" s="3">
        <v>3.9</v>
      </c>
      <c r="I525" s="3">
        <v>5.5</v>
      </c>
      <c r="J525" s="5" t="s">
        <v>1426</v>
      </c>
      <c r="K525" s="3" t="s">
        <v>1431</v>
      </c>
    </row>
    <row r="526" spans="1:11" x14ac:dyDescent="0.2">
      <c r="A526" s="2" t="s">
        <v>488</v>
      </c>
      <c r="B526" s="2" t="s">
        <v>489</v>
      </c>
      <c r="C526" s="2" t="s">
        <v>490</v>
      </c>
      <c r="D526" s="2" t="s">
        <v>1418</v>
      </c>
      <c r="E526" s="2" t="s">
        <v>1419</v>
      </c>
      <c r="F526" s="2">
        <v>3.87</v>
      </c>
      <c r="G526" s="2" t="s">
        <v>1415</v>
      </c>
      <c r="H526" s="2">
        <v>3.5</v>
      </c>
      <c r="I526" s="2">
        <v>5</v>
      </c>
      <c r="J526" s="2" t="s">
        <v>1416</v>
      </c>
      <c r="K526" s="2" t="s">
        <v>1434</v>
      </c>
    </row>
    <row r="527" spans="1:11" x14ac:dyDescent="0.2">
      <c r="A527" s="3" t="s">
        <v>488</v>
      </c>
      <c r="B527" s="3" t="s">
        <v>489</v>
      </c>
      <c r="C527" s="3" t="s">
        <v>490</v>
      </c>
      <c r="D527" s="3" t="s">
        <v>1446</v>
      </c>
      <c r="E527" s="3" t="s">
        <v>1447</v>
      </c>
      <c r="F527" s="3">
        <v>2.75</v>
      </c>
      <c r="G527" s="3" t="s">
        <v>1415</v>
      </c>
      <c r="H527" s="3">
        <v>2.1</v>
      </c>
      <c r="I527" s="3">
        <v>2.6</v>
      </c>
      <c r="J527" s="5" t="s">
        <v>1426</v>
      </c>
      <c r="K527" s="3" t="s">
        <v>1431</v>
      </c>
    </row>
    <row r="528" spans="1:11" x14ac:dyDescent="0.2">
      <c r="A528" s="2" t="s">
        <v>488</v>
      </c>
      <c r="B528" s="2" t="s">
        <v>489</v>
      </c>
      <c r="C528" s="2" t="s">
        <v>490</v>
      </c>
      <c r="D528" s="2" t="s">
        <v>1448</v>
      </c>
      <c r="E528" s="2" t="s">
        <v>1449</v>
      </c>
      <c r="F528" s="2">
        <v>144.11000000000001</v>
      </c>
      <c r="G528" s="2" t="s">
        <v>1415</v>
      </c>
      <c r="H528" s="2">
        <v>136</v>
      </c>
      <c r="I528" s="2">
        <v>145</v>
      </c>
      <c r="J528" s="2" t="s">
        <v>1416</v>
      </c>
      <c r="K528" s="2" t="s">
        <v>1417</v>
      </c>
    </row>
    <row r="529" spans="1:11" x14ac:dyDescent="0.2">
      <c r="A529" s="3" t="s">
        <v>488</v>
      </c>
      <c r="B529" s="3" t="s">
        <v>489</v>
      </c>
      <c r="C529" s="3" t="s">
        <v>490</v>
      </c>
      <c r="D529" s="3" t="s">
        <v>1450</v>
      </c>
      <c r="E529" s="3" t="s">
        <v>1451</v>
      </c>
      <c r="F529" s="3">
        <v>71.930000000000007</v>
      </c>
      <c r="G529" s="3" t="s">
        <v>1452</v>
      </c>
      <c r="H529" s="3">
        <v>60</v>
      </c>
      <c r="I529" s="3">
        <v>120</v>
      </c>
      <c r="J529" s="3" t="s">
        <v>1416</v>
      </c>
      <c r="K529" s="3" t="s">
        <v>1434</v>
      </c>
    </row>
    <row r="530" spans="1:11" x14ac:dyDescent="0.2">
      <c r="A530" s="2" t="s">
        <v>488</v>
      </c>
      <c r="B530" s="2" t="s">
        <v>489</v>
      </c>
      <c r="C530" s="2" t="s">
        <v>490</v>
      </c>
      <c r="D530" s="2" t="s">
        <v>1427</v>
      </c>
      <c r="E530" s="2" t="s">
        <v>1428</v>
      </c>
      <c r="F530" s="2">
        <v>5.07</v>
      </c>
      <c r="G530" s="2" t="s">
        <v>1429</v>
      </c>
      <c r="H530" s="2">
        <v>4</v>
      </c>
      <c r="I530" s="2">
        <v>11</v>
      </c>
      <c r="J530" s="2" t="s">
        <v>1416</v>
      </c>
      <c r="K530" s="2" t="s">
        <v>1417</v>
      </c>
    </row>
    <row r="531" spans="1:11" x14ac:dyDescent="0.2">
      <c r="A531" s="3" t="s">
        <v>488</v>
      </c>
      <c r="B531" s="3" t="s">
        <v>489</v>
      </c>
      <c r="C531" s="3" t="s">
        <v>490</v>
      </c>
      <c r="D531" s="3" t="s">
        <v>1443</v>
      </c>
      <c r="E531" s="3" t="s">
        <v>1444</v>
      </c>
      <c r="F531" s="3">
        <v>77.5</v>
      </c>
      <c r="G531" s="3" t="s">
        <v>1445</v>
      </c>
      <c r="H531" s="3">
        <v>53</v>
      </c>
      <c r="I531" s="3">
        <v>97</v>
      </c>
      <c r="J531" s="3" t="s">
        <v>1416</v>
      </c>
      <c r="K531" s="3" t="s">
        <v>1417</v>
      </c>
    </row>
    <row r="532" spans="1:11" x14ac:dyDescent="0.2">
      <c r="A532" s="2" t="s">
        <v>493</v>
      </c>
      <c r="B532" s="2" t="s">
        <v>494</v>
      </c>
      <c r="C532" s="2" t="s">
        <v>495</v>
      </c>
      <c r="D532" s="2" t="s">
        <v>1423</v>
      </c>
      <c r="E532" s="2" t="s">
        <v>1424</v>
      </c>
      <c r="F532" s="2">
        <v>4.72</v>
      </c>
      <c r="G532" s="2" t="s">
        <v>1425</v>
      </c>
      <c r="H532" s="2">
        <v>4.5</v>
      </c>
      <c r="I532" s="2">
        <v>5.5</v>
      </c>
      <c r="J532" s="2" t="s">
        <v>1416</v>
      </c>
      <c r="K532" s="2" t="s">
        <v>1434</v>
      </c>
    </row>
    <row r="533" spans="1:11" x14ac:dyDescent="0.2">
      <c r="A533" s="3" t="s">
        <v>493</v>
      </c>
      <c r="B533" s="3" t="s">
        <v>494</v>
      </c>
      <c r="C533" s="3" t="s">
        <v>495</v>
      </c>
      <c r="D533" s="3" t="s">
        <v>1413</v>
      </c>
      <c r="E533" s="3" t="s">
        <v>1414</v>
      </c>
      <c r="F533" s="3">
        <v>2.02</v>
      </c>
      <c r="G533" s="3" t="s">
        <v>1415</v>
      </c>
      <c r="H533" s="3">
        <v>1</v>
      </c>
      <c r="I533" s="3">
        <v>5</v>
      </c>
      <c r="J533" s="3" t="s">
        <v>1416</v>
      </c>
      <c r="K533" s="3" t="s">
        <v>1417</v>
      </c>
    </row>
    <row r="534" spans="1:11" x14ac:dyDescent="0.2">
      <c r="A534" s="2" t="s">
        <v>493</v>
      </c>
      <c r="B534" s="2" t="s">
        <v>494</v>
      </c>
      <c r="C534" s="2" t="s">
        <v>495</v>
      </c>
      <c r="D534" s="2" t="s">
        <v>1421</v>
      </c>
      <c r="E534" s="2" t="s">
        <v>1422</v>
      </c>
      <c r="F534" s="2">
        <v>5.52</v>
      </c>
      <c r="G534" s="2" t="s">
        <v>1415</v>
      </c>
      <c r="H534" s="2">
        <v>0</v>
      </c>
      <c r="I534" s="2">
        <v>5</v>
      </c>
      <c r="J534" s="5" t="s">
        <v>1426</v>
      </c>
      <c r="K534" s="2" t="s">
        <v>1420</v>
      </c>
    </row>
    <row r="535" spans="1:11" x14ac:dyDescent="0.2">
      <c r="A535" s="3" t="s">
        <v>493</v>
      </c>
      <c r="B535" s="3" t="s">
        <v>494</v>
      </c>
      <c r="C535" s="3" t="s">
        <v>495</v>
      </c>
      <c r="D535" s="3" t="s">
        <v>1440</v>
      </c>
      <c r="E535" s="3" t="s">
        <v>1441</v>
      </c>
      <c r="F535" s="3">
        <v>6.97</v>
      </c>
      <c r="G535" s="3" t="s">
        <v>1442</v>
      </c>
      <c r="H535" s="3">
        <v>4</v>
      </c>
      <c r="I535" s="3">
        <v>5.6</v>
      </c>
      <c r="J535" s="5" t="s">
        <v>1426</v>
      </c>
      <c r="K535" s="3" t="s">
        <v>1431</v>
      </c>
    </row>
    <row r="536" spans="1:11" x14ac:dyDescent="0.2">
      <c r="A536" s="2" t="s">
        <v>493</v>
      </c>
      <c r="B536" s="2" t="s">
        <v>494</v>
      </c>
      <c r="C536" s="2" t="s">
        <v>495</v>
      </c>
      <c r="D536" s="2" t="s">
        <v>1443</v>
      </c>
      <c r="E536" s="2" t="s">
        <v>1444</v>
      </c>
      <c r="F536" s="2">
        <v>66.849999999999994</v>
      </c>
      <c r="G536" s="2" t="s">
        <v>1445</v>
      </c>
      <c r="H536" s="2">
        <v>53</v>
      </c>
      <c r="I536" s="2">
        <v>97</v>
      </c>
      <c r="J536" s="2" t="s">
        <v>1416</v>
      </c>
      <c r="K536" s="2" t="s">
        <v>1420</v>
      </c>
    </row>
    <row r="537" spans="1:11" x14ac:dyDescent="0.2">
      <c r="A537" s="3" t="s">
        <v>493</v>
      </c>
      <c r="B537" s="3" t="s">
        <v>494</v>
      </c>
      <c r="C537" s="3" t="s">
        <v>495</v>
      </c>
      <c r="D537" s="3" t="s">
        <v>1435</v>
      </c>
      <c r="E537" s="3" t="s">
        <v>1436</v>
      </c>
      <c r="F537" s="3">
        <v>1.22</v>
      </c>
      <c r="G537" s="3" t="s">
        <v>1415</v>
      </c>
      <c r="H537" s="3">
        <v>0.8</v>
      </c>
      <c r="I537" s="3">
        <v>1.5</v>
      </c>
      <c r="J537" s="3" t="s">
        <v>1416</v>
      </c>
      <c r="K537" s="3" t="s">
        <v>1431</v>
      </c>
    </row>
    <row r="538" spans="1:11" x14ac:dyDescent="0.2">
      <c r="A538" s="2" t="s">
        <v>500</v>
      </c>
      <c r="B538" s="2" t="s">
        <v>501</v>
      </c>
      <c r="C538" s="2" t="s">
        <v>502</v>
      </c>
      <c r="D538" s="2" t="s">
        <v>1443</v>
      </c>
      <c r="E538" s="2" t="s">
        <v>1444</v>
      </c>
      <c r="F538" s="2">
        <v>56.56</v>
      </c>
      <c r="G538" s="2" t="s">
        <v>1445</v>
      </c>
      <c r="H538" s="2">
        <v>53</v>
      </c>
      <c r="I538" s="2">
        <v>97</v>
      </c>
      <c r="J538" s="2" t="s">
        <v>1416</v>
      </c>
      <c r="K538" s="2" t="s">
        <v>1431</v>
      </c>
    </row>
    <row r="539" spans="1:11" x14ac:dyDescent="0.2">
      <c r="A539" s="3" t="s">
        <v>500</v>
      </c>
      <c r="B539" s="3" t="s">
        <v>501</v>
      </c>
      <c r="C539" s="3" t="s">
        <v>502</v>
      </c>
      <c r="D539" s="3" t="s">
        <v>1427</v>
      </c>
      <c r="E539" s="3" t="s">
        <v>1428</v>
      </c>
      <c r="F539" s="3">
        <v>17.100000000000001</v>
      </c>
      <c r="G539" s="3" t="s">
        <v>1429</v>
      </c>
      <c r="H539" s="3">
        <v>4</v>
      </c>
      <c r="I539" s="3">
        <v>11</v>
      </c>
      <c r="J539" s="5" t="s">
        <v>1426</v>
      </c>
      <c r="K539" s="3" t="s">
        <v>1420</v>
      </c>
    </row>
    <row r="540" spans="1:11" x14ac:dyDescent="0.2">
      <c r="A540" s="2" t="s">
        <v>500</v>
      </c>
      <c r="B540" s="2" t="s">
        <v>501</v>
      </c>
      <c r="C540" s="2" t="s">
        <v>502</v>
      </c>
      <c r="D540" s="2" t="s">
        <v>1421</v>
      </c>
      <c r="E540" s="2" t="s">
        <v>1422</v>
      </c>
      <c r="F540" s="2">
        <v>7.21</v>
      </c>
      <c r="G540" s="2" t="s">
        <v>1415</v>
      </c>
      <c r="H540" s="2">
        <v>0</v>
      </c>
      <c r="I540" s="2">
        <v>5</v>
      </c>
      <c r="J540" s="5" t="s">
        <v>1426</v>
      </c>
      <c r="K540" s="2" t="s">
        <v>1420</v>
      </c>
    </row>
    <row r="541" spans="1:11" x14ac:dyDescent="0.2">
      <c r="A541" s="3" t="s">
        <v>500</v>
      </c>
      <c r="B541" s="3" t="s">
        <v>501</v>
      </c>
      <c r="C541" s="3" t="s">
        <v>502</v>
      </c>
      <c r="D541" s="3" t="s">
        <v>1413</v>
      </c>
      <c r="E541" s="3" t="s">
        <v>1414</v>
      </c>
      <c r="F541" s="3">
        <v>2.0099999999999998</v>
      </c>
      <c r="G541" s="3" t="s">
        <v>1415</v>
      </c>
      <c r="H541" s="3">
        <v>1</v>
      </c>
      <c r="I541" s="3">
        <v>5</v>
      </c>
      <c r="J541" s="3" t="s">
        <v>1416</v>
      </c>
      <c r="K541" s="3" t="s">
        <v>1434</v>
      </c>
    </row>
    <row r="542" spans="1:11" x14ac:dyDescent="0.2">
      <c r="A542" s="2" t="s">
        <v>500</v>
      </c>
      <c r="B542" s="2" t="s">
        <v>507</v>
      </c>
      <c r="C542" s="2" t="s">
        <v>508</v>
      </c>
      <c r="D542" s="2" t="s">
        <v>1421</v>
      </c>
      <c r="E542" s="2" t="s">
        <v>1422</v>
      </c>
      <c r="F542" s="2">
        <v>4.8</v>
      </c>
      <c r="G542" s="2" t="s">
        <v>1415</v>
      </c>
      <c r="H542" s="2">
        <v>0</v>
      </c>
      <c r="I542" s="2">
        <v>5</v>
      </c>
      <c r="J542" s="2" t="s">
        <v>1416</v>
      </c>
      <c r="K542" s="2" t="s">
        <v>1420</v>
      </c>
    </row>
    <row r="543" spans="1:11" x14ac:dyDescent="0.2">
      <c r="A543" s="3" t="s">
        <v>500</v>
      </c>
      <c r="B543" s="3" t="s">
        <v>507</v>
      </c>
      <c r="C543" s="3" t="s">
        <v>508</v>
      </c>
      <c r="D543" s="3" t="s">
        <v>1446</v>
      </c>
      <c r="E543" s="3" t="s">
        <v>1447</v>
      </c>
      <c r="F543" s="3">
        <v>2.67</v>
      </c>
      <c r="G543" s="3" t="s">
        <v>1415</v>
      </c>
      <c r="H543" s="3">
        <v>2.1</v>
      </c>
      <c r="I543" s="3">
        <v>2.6</v>
      </c>
      <c r="J543" s="5" t="s">
        <v>1426</v>
      </c>
      <c r="K543" s="3" t="s">
        <v>1417</v>
      </c>
    </row>
    <row r="544" spans="1:11" x14ac:dyDescent="0.2">
      <c r="A544" s="2" t="s">
        <v>500</v>
      </c>
      <c r="B544" s="2" t="s">
        <v>507</v>
      </c>
      <c r="C544" s="2" t="s">
        <v>508</v>
      </c>
      <c r="D544" s="2" t="s">
        <v>1455</v>
      </c>
      <c r="E544" s="2" t="s">
        <v>1456</v>
      </c>
      <c r="F544" s="2">
        <v>317.47000000000003</v>
      </c>
      <c r="G544" s="2" t="s">
        <v>1457</v>
      </c>
      <c r="H544" s="2">
        <v>40</v>
      </c>
      <c r="I544" s="2">
        <v>130</v>
      </c>
      <c r="J544" s="5" t="s">
        <v>1426</v>
      </c>
      <c r="K544" s="2" t="s">
        <v>1420</v>
      </c>
    </row>
    <row r="545" spans="1:11" x14ac:dyDescent="0.2">
      <c r="A545" s="3" t="s">
        <v>500</v>
      </c>
      <c r="B545" s="3" t="s">
        <v>507</v>
      </c>
      <c r="C545" s="3" t="s">
        <v>508</v>
      </c>
      <c r="D545" s="3" t="s">
        <v>1427</v>
      </c>
      <c r="E545" s="3" t="s">
        <v>1428</v>
      </c>
      <c r="F545" s="3">
        <v>7.53</v>
      </c>
      <c r="G545" s="3" t="s">
        <v>1429</v>
      </c>
      <c r="H545" s="3">
        <v>4</v>
      </c>
      <c r="I545" s="3">
        <v>11</v>
      </c>
      <c r="J545" s="3" t="s">
        <v>1416</v>
      </c>
      <c r="K545" s="3" t="s">
        <v>1434</v>
      </c>
    </row>
    <row r="546" spans="1:11" x14ac:dyDescent="0.2">
      <c r="A546" s="2" t="s">
        <v>500</v>
      </c>
      <c r="B546" s="2" t="s">
        <v>507</v>
      </c>
      <c r="C546" s="2" t="s">
        <v>508</v>
      </c>
      <c r="D546" s="2" t="s">
        <v>1453</v>
      </c>
      <c r="E546" s="2" t="s">
        <v>1454</v>
      </c>
      <c r="F546" s="2">
        <v>7.13</v>
      </c>
      <c r="G546" s="2" t="s">
        <v>1415</v>
      </c>
      <c r="H546" s="2">
        <v>3.9</v>
      </c>
      <c r="I546" s="2">
        <v>5.5</v>
      </c>
      <c r="J546" s="5" t="s">
        <v>1426</v>
      </c>
      <c r="K546" s="2" t="s">
        <v>1434</v>
      </c>
    </row>
    <row r="547" spans="1:11" x14ac:dyDescent="0.2">
      <c r="A547" s="3" t="s">
        <v>500</v>
      </c>
      <c r="B547" s="3" t="s">
        <v>507</v>
      </c>
      <c r="C547" s="3" t="s">
        <v>508</v>
      </c>
      <c r="D547" s="3" t="s">
        <v>1443</v>
      </c>
      <c r="E547" s="3" t="s">
        <v>1444</v>
      </c>
      <c r="F547" s="3">
        <v>87.96</v>
      </c>
      <c r="G547" s="3" t="s">
        <v>1445</v>
      </c>
      <c r="H547" s="3">
        <v>53</v>
      </c>
      <c r="I547" s="3">
        <v>97</v>
      </c>
      <c r="J547" s="3" t="s">
        <v>1416</v>
      </c>
      <c r="K547" s="3" t="s">
        <v>1431</v>
      </c>
    </row>
    <row r="548" spans="1:11" x14ac:dyDescent="0.2">
      <c r="A548" s="2" t="s">
        <v>500</v>
      </c>
      <c r="B548" s="2" t="s">
        <v>507</v>
      </c>
      <c r="C548" s="2" t="s">
        <v>508</v>
      </c>
      <c r="D548" s="2" t="s">
        <v>1432</v>
      </c>
      <c r="E548" s="2" t="s">
        <v>1433</v>
      </c>
      <c r="F548" s="2">
        <v>3.98</v>
      </c>
      <c r="G548" s="2" t="s">
        <v>1415</v>
      </c>
      <c r="H548" s="2">
        <v>0</v>
      </c>
      <c r="I548" s="2">
        <v>3</v>
      </c>
      <c r="J548" s="5" t="s">
        <v>1426</v>
      </c>
      <c r="K548" s="2" t="s">
        <v>1420</v>
      </c>
    </row>
    <row r="549" spans="1:11" x14ac:dyDescent="0.2">
      <c r="A549" s="3" t="s">
        <v>500</v>
      </c>
      <c r="B549" s="3" t="s">
        <v>507</v>
      </c>
      <c r="C549" s="3" t="s">
        <v>508</v>
      </c>
      <c r="D549" s="3" t="s">
        <v>1435</v>
      </c>
      <c r="E549" s="3" t="s">
        <v>1436</v>
      </c>
      <c r="F549" s="3">
        <v>0.73</v>
      </c>
      <c r="G549" s="3" t="s">
        <v>1415</v>
      </c>
      <c r="H549" s="3">
        <v>0.8</v>
      </c>
      <c r="I549" s="3">
        <v>1.5</v>
      </c>
      <c r="J549" s="5" t="s">
        <v>1430</v>
      </c>
      <c r="K549" s="3" t="s">
        <v>1434</v>
      </c>
    </row>
    <row r="550" spans="1:11" x14ac:dyDescent="0.2">
      <c r="A550" s="2" t="s">
        <v>500</v>
      </c>
      <c r="B550" s="2" t="s">
        <v>510</v>
      </c>
      <c r="C550" s="2" t="s">
        <v>511</v>
      </c>
      <c r="D550" s="2" t="s">
        <v>1437</v>
      </c>
      <c r="E550" s="2" t="s">
        <v>1438</v>
      </c>
      <c r="F550" s="2">
        <v>17.309999999999999</v>
      </c>
      <c r="G550" s="2" t="s">
        <v>1439</v>
      </c>
      <c r="H550" s="2">
        <v>12</v>
      </c>
      <c r="I550" s="2">
        <v>17.5</v>
      </c>
      <c r="J550" s="2" t="s">
        <v>1416</v>
      </c>
      <c r="K550" s="2" t="s">
        <v>1431</v>
      </c>
    </row>
    <row r="551" spans="1:11" x14ac:dyDescent="0.2">
      <c r="A551" s="3" t="s">
        <v>500</v>
      </c>
      <c r="B551" s="3" t="s">
        <v>510</v>
      </c>
      <c r="C551" s="3" t="s">
        <v>511</v>
      </c>
      <c r="D551" s="3" t="s">
        <v>1446</v>
      </c>
      <c r="E551" s="3" t="s">
        <v>1447</v>
      </c>
      <c r="F551" s="3">
        <v>2.78</v>
      </c>
      <c r="G551" s="3" t="s">
        <v>1415</v>
      </c>
      <c r="H551" s="3">
        <v>2.1</v>
      </c>
      <c r="I551" s="3">
        <v>2.6</v>
      </c>
      <c r="J551" s="5" t="s">
        <v>1426</v>
      </c>
      <c r="K551" s="3" t="s">
        <v>1431</v>
      </c>
    </row>
    <row r="552" spans="1:11" x14ac:dyDescent="0.2">
      <c r="A552" s="2" t="s">
        <v>500</v>
      </c>
      <c r="B552" s="2" t="s">
        <v>510</v>
      </c>
      <c r="C552" s="2" t="s">
        <v>511</v>
      </c>
      <c r="D552" s="2" t="s">
        <v>1450</v>
      </c>
      <c r="E552" s="2" t="s">
        <v>1451</v>
      </c>
      <c r="F552" s="2">
        <v>52.29</v>
      </c>
      <c r="G552" s="2" t="s">
        <v>1452</v>
      </c>
      <c r="H552" s="2">
        <v>60</v>
      </c>
      <c r="I552" s="2">
        <v>120</v>
      </c>
      <c r="J552" s="5" t="s">
        <v>1430</v>
      </c>
      <c r="K552" s="2" t="s">
        <v>1431</v>
      </c>
    </row>
    <row r="553" spans="1:11" x14ac:dyDescent="0.2">
      <c r="A553" s="3" t="s">
        <v>500</v>
      </c>
      <c r="B553" s="3" t="s">
        <v>510</v>
      </c>
      <c r="C553" s="3" t="s">
        <v>511</v>
      </c>
      <c r="D553" s="3" t="s">
        <v>1423</v>
      </c>
      <c r="E553" s="3" t="s">
        <v>1424</v>
      </c>
      <c r="F553" s="3">
        <v>4.74</v>
      </c>
      <c r="G553" s="3" t="s">
        <v>1425</v>
      </c>
      <c r="H553" s="3">
        <v>4.5</v>
      </c>
      <c r="I553" s="3">
        <v>5.5</v>
      </c>
      <c r="J553" s="3" t="s">
        <v>1416</v>
      </c>
      <c r="K553" s="3" t="s">
        <v>1417</v>
      </c>
    </row>
    <row r="554" spans="1:11" x14ac:dyDescent="0.2">
      <c r="A554" s="2" t="s">
        <v>500</v>
      </c>
      <c r="B554" s="2" t="s">
        <v>510</v>
      </c>
      <c r="C554" s="2" t="s">
        <v>511</v>
      </c>
      <c r="D554" s="2" t="s">
        <v>1453</v>
      </c>
      <c r="E554" s="2" t="s">
        <v>1454</v>
      </c>
      <c r="F554" s="2">
        <v>4.78</v>
      </c>
      <c r="G554" s="2" t="s">
        <v>1415</v>
      </c>
      <c r="H554" s="2">
        <v>3.9</v>
      </c>
      <c r="I554" s="2">
        <v>5.5</v>
      </c>
      <c r="J554" s="2" t="s">
        <v>1416</v>
      </c>
      <c r="K554" s="2" t="s">
        <v>1431</v>
      </c>
    </row>
    <row r="555" spans="1:11" x14ac:dyDescent="0.2">
      <c r="A555" s="3" t="s">
        <v>500</v>
      </c>
      <c r="B555" s="3" t="s">
        <v>510</v>
      </c>
      <c r="C555" s="3" t="s">
        <v>511</v>
      </c>
      <c r="D555" s="3" t="s">
        <v>1418</v>
      </c>
      <c r="E555" s="3" t="s">
        <v>1419</v>
      </c>
      <c r="F555" s="3">
        <v>4.88</v>
      </c>
      <c r="G555" s="3" t="s">
        <v>1415</v>
      </c>
      <c r="H555" s="3">
        <v>3.5</v>
      </c>
      <c r="I555" s="3">
        <v>5</v>
      </c>
      <c r="J555" s="3" t="s">
        <v>1416</v>
      </c>
      <c r="K555" s="3" t="s">
        <v>1417</v>
      </c>
    </row>
    <row r="556" spans="1:11" x14ac:dyDescent="0.2">
      <c r="A556" s="2" t="s">
        <v>500</v>
      </c>
      <c r="B556" s="2" t="s">
        <v>510</v>
      </c>
      <c r="C556" s="2" t="s">
        <v>511</v>
      </c>
      <c r="D556" s="2" t="s">
        <v>1413</v>
      </c>
      <c r="E556" s="2" t="s">
        <v>1414</v>
      </c>
      <c r="F556" s="2">
        <v>1.25</v>
      </c>
      <c r="G556" s="2" t="s">
        <v>1415</v>
      </c>
      <c r="H556" s="2">
        <v>1</v>
      </c>
      <c r="I556" s="2">
        <v>5</v>
      </c>
      <c r="J556" s="2" t="s">
        <v>1416</v>
      </c>
      <c r="K556" s="2" t="s">
        <v>1417</v>
      </c>
    </row>
    <row r="557" spans="1:11" x14ac:dyDescent="0.2">
      <c r="A557" s="3" t="s">
        <v>500</v>
      </c>
      <c r="B557" s="3" t="s">
        <v>513</v>
      </c>
      <c r="C557" s="3" t="s">
        <v>514</v>
      </c>
      <c r="D557" s="3" t="s">
        <v>1448</v>
      </c>
      <c r="E557" s="3" t="s">
        <v>1449</v>
      </c>
      <c r="F557" s="3">
        <v>135.78</v>
      </c>
      <c r="G557" s="3" t="s">
        <v>1415</v>
      </c>
      <c r="H557" s="3">
        <v>136</v>
      </c>
      <c r="I557" s="3">
        <v>145</v>
      </c>
      <c r="J557" s="5" t="s">
        <v>1430</v>
      </c>
      <c r="K557" s="3" t="s">
        <v>1431</v>
      </c>
    </row>
    <row r="558" spans="1:11" x14ac:dyDescent="0.2">
      <c r="A558" s="2" t="s">
        <v>500</v>
      </c>
      <c r="B558" s="2" t="s">
        <v>513</v>
      </c>
      <c r="C558" s="2" t="s">
        <v>514</v>
      </c>
      <c r="D558" s="2" t="s">
        <v>1440</v>
      </c>
      <c r="E558" s="2" t="s">
        <v>1441</v>
      </c>
      <c r="F558" s="2">
        <v>6.23</v>
      </c>
      <c r="G558" s="2" t="s">
        <v>1442</v>
      </c>
      <c r="H558" s="2">
        <v>4</v>
      </c>
      <c r="I558" s="2">
        <v>5.6</v>
      </c>
      <c r="J558" s="5" t="s">
        <v>1426</v>
      </c>
      <c r="K558" s="2" t="s">
        <v>1417</v>
      </c>
    </row>
    <row r="559" spans="1:11" x14ac:dyDescent="0.2">
      <c r="A559" s="3" t="s">
        <v>500</v>
      </c>
      <c r="B559" s="3" t="s">
        <v>513</v>
      </c>
      <c r="C559" s="3" t="s">
        <v>514</v>
      </c>
      <c r="D559" s="3" t="s">
        <v>1455</v>
      </c>
      <c r="E559" s="3" t="s">
        <v>1456</v>
      </c>
      <c r="F559" s="3">
        <v>331.87</v>
      </c>
      <c r="G559" s="3" t="s">
        <v>1457</v>
      </c>
      <c r="H559" s="3">
        <v>40</v>
      </c>
      <c r="I559" s="3">
        <v>130</v>
      </c>
      <c r="J559" s="5" t="s">
        <v>1426</v>
      </c>
      <c r="K559" s="3" t="s">
        <v>1431</v>
      </c>
    </row>
    <row r="560" spans="1:11" x14ac:dyDescent="0.2">
      <c r="A560" s="2" t="s">
        <v>500</v>
      </c>
      <c r="B560" s="2" t="s">
        <v>516</v>
      </c>
      <c r="C560" s="2" t="s">
        <v>517</v>
      </c>
      <c r="D560" s="2" t="s">
        <v>1413</v>
      </c>
      <c r="E560" s="2" t="s">
        <v>1414</v>
      </c>
      <c r="F560" s="2">
        <v>0.92</v>
      </c>
      <c r="G560" s="2" t="s">
        <v>1415</v>
      </c>
      <c r="H560" s="2">
        <v>1</v>
      </c>
      <c r="I560" s="2">
        <v>5</v>
      </c>
      <c r="J560" s="5" t="s">
        <v>1430</v>
      </c>
      <c r="K560" s="2" t="s">
        <v>1417</v>
      </c>
    </row>
    <row r="561" spans="1:11" x14ac:dyDescent="0.2">
      <c r="A561" s="3" t="s">
        <v>500</v>
      </c>
      <c r="B561" s="3" t="s">
        <v>516</v>
      </c>
      <c r="C561" s="3" t="s">
        <v>517</v>
      </c>
      <c r="D561" s="3" t="s">
        <v>1443</v>
      </c>
      <c r="E561" s="3" t="s">
        <v>1444</v>
      </c>
      <c r="F561" s="3">
        <v>64.81</v>
      </c>
      <c r="G561" s="3" t="s">
        <v>1445</v>
      </c>
      <c r="H561" s="3">
        <v>53</v>
      </c>
      <c r="I561" s="3">
        <v>97</v>
      </c>
      <c r="J561" s="3" t="s">
        <v>1416</v>
      </c>
      <c r="K561" s="3" t="s">
        <v>1417</v>
      </c>
    </row>
    <row r="562" spans="1:11" x14ac:dyDescent="0.2">
      <c r="A562" s="2" t="s">
        <v>500</v>
      </c>
      <c r="B562" s="2" t="s">
        <v>516</v>
      </c>
      <c r="C562" s="2" t="s">
        <v>517</v>
      </c>
      <c r="D562" s="2" t="s">
        <v>1455</v>
      </c>
      <c r="E562" s="2" t="s">
        <v>1456</v>
      </c>
      <c r="F562" s="2">
        <v>62.07</v>
      </c>
      <c r="G562" s="2" t="s">
        <v>1457</v>
      </c>
      <c r="H562" s="2">
        <v>40</v>
      </c>
      <c r="I562" s="2">
        <v>130</v>
      </c>
      <c r="J562" s="2" t="s">
        <v>1416</v>
      </c>
      <c r="K562" s="2" t="s">
        <v>1431</v>
      </c>
    </row>
    <row r="563" spans="1:11" x14ac:dyDescent="0.2">
      <c r="A563" s="3" t="s">
        <v>500</v>
      </c>
      <c r="B563" s="3" t="s">
        <v>516</v>
      </c>
      <c r="C563" s="3" t="s">
        <v>517</v>
      </c>
      <c r="D563" s="3" t="s">
        <v>1440</v>
      </c>
      <c r="E563" s="3" t="s">
        <v>1441</v>
      </c>
      <c r="F563" s="3">
        <v>9.7200000000000006</v>
      </c>
      <c r="G563" s="3" t="s">
        <v>1442</v>
      </c>
      <c r="H563" s="3">
        <v>4</v>
      </c>
      <c r="I563" s="3">
        <v>5.6</v>
      </c>
      <c r="J563" s="5" t="s">
        <v>1426</v>
      </c>
      <c r="K563" s="3" t="s">
        <v>1434</v>
      </c>
    </row>
    <row r="564" spans="1:11" x14ac:dyDescent="0.2">
      <c r="A564" s="2" t="s">
        <v>500</v>
      </c>
      <c r="B564" s="2" t="s">
        <v>516</v>
      </c>
      <c r="C564" s="2" t="s">
        <v>517</v>
      </c>
      <c r="D564" s="2" t="s">
        <v>1435</v>
      </c>
      <c r="E564" s="2" t="s">
        <v>1436</v>
      </c>
      <c r="F564" s="2">
        <v>1.28</v>
      </c>
      <c r="G564" s="2" t="s">
        <v>1415</v>
      </c>
      <c r="H564" s="2">
        <v>0.8</v>
      </c>
      <c r="I564" s="2">
        <v>1.5</v>
      </c>
      <c r="J564" s="2" t="s">
        <v>1416</v>
      </c>
      <c r="K564" s="2" t="s">
        <v>1417</v>
      </c>
    </row>
    <row r="565" spans="1:11" x14ac:dyDescent="0.2">
      <c r="A565" s="3" t="s">
        <v>500</v>
      </c>
      <c r="B565" s="3" t="s">
        <v>516</v>
      </c>
      <c r="C565" s="3" t="s">
        <v>517</v>
      </c>
      <c r="D565" s="3" t="s">
        <v>1418</v>
      </c>
      <c r="E565" s="3" t="s">
        <v>1419</v>
      </c>
      <c r="F565" s="3">
        <v>4.08</v>
      </c>
      <c r="G565" s="3" t="s">
        <v>1415</v>
      </c>
      <c r="H565" s="3">
        <v>3.5</v>
      </c>
      <c r="I565" s="3">
        <v>5</v>
      </c>
      <c r="J565" s="3" t="s">
        <v>1416</v>
      </c>
      <c r="K565" s="3" t="s">
        <v>1434</v>
      </c>
    </row>
    <row r="566" spans="1:11" x14ac:dyDescent="0.2">
      <c r="A566" s="2" t="s">
        <v>500</v>
      </c>
      <c r="B566" s="2" t="s">
        <v>516</v>
      </c>
      <c r="C566" s="2" t="s">
        <v>517</v>
      </c>
      <c r="D566" s="2" t="s">
        <v>1421</v>
      </c>
      <c r="E566" s="2" t="s">
        <v>1422</v>
      </c>
      <c r="F566" s="2">
        <v>6.81</v>
      </c>
      <c r="G566" s="2" t="s">
        <v>1415</v>
      </c>
      <c r="H566" s="2">
        <v>0</v>
      </c>
      <c r="I566" s="2">
        <v>5</v>
      </c>
      <c r="J566" s="5" t="s">
        <v>1426</v>
      </c>
      <c r="K566" s="2" t="s">
        <v>1434</v>
      </c>
    </row>
    <row r="567" spans="1:11" x14ac:dyDescent="0.2">
      <c r="A567" s="3" t="s">
        <v>500</v>
      </c>
      <c r="B567" s="3" t="s">
        <v>516</v>
      </c>
      <c r="C567" s="3" t="s">
        <v>517</v>
      </c>
      <c r="D567" s="3" t="s">
        <v>1453</v>
      </c>
      <c r="E567" s="3" t="s">
        <v>1454</v>
      </c>
      <c r="F567" s="3">
        <v>4.66</v>
      </c>
      <c r="G567" s="3" t="s">
        <v>1415</v>
      </c>
      <c r="H567" s="3">
        <v>3.9</v>
      </c>
      <c r="I567" s="3">
        <v>5.5</v>
      </c>
      <c r="J567" s="3" t="s">
        <v>1416</v>
      </c>
      <c r="K567" s="3" t="s">
        <v>1434</v>
      </c>
    </row>
    <row r="568" spans="1:11" x14ac:dyDescent="0.2">
      <c r="A568" s="2" t="s">
        <v>500</v>
      </c>
      <c r="B568" s="2" t="s">
        <v>519</v>
      </c>
      <c r="C568" s="2" t="s">
        <v>520</v>
      </c>
      <c r="D568" s="2" t="s">
        <v>1440</v>
      </c>
      <c r="E568" s="2" t="s">
        <v>1441</v>
      </c>
      <c r="F568" s="2">
        <v>11.22</v>
      </c>
      <c r="G568" s="2" t="s">
        <v>1442</v>
      </c>
      <c r="H568" s="2">
        <v>4</v>
      </c>
      <c r="I568" s="2">
        <v>5.6</v>
      </c>
      <c r="J568" s="5" t="s">
        <v>1426</v>
      </c>
      <c r="K568" s="2" t="s">
        <v>1434</v>
      </c>
    </row>
    <row r="569" spans="1:11" x14ac:dyDescent="0.2">
      <c r="A569" s="3" t="s">
        <v>500</v>
      </c>
      <c r="B569" s="3" t="s">
        <v>519</v>
      </c>
      <c r="C569" s="3" t="s">
        <v>520</v>
      </c>
      <c r="D569" s="3" t="s">
        <v>1437</v>
      </c>
      <c r="E569" s="3" t="s">
        <v>1438</v>
      </c>
      <c r="F569" s="3">
        <v>13.05</v>
      </c>
      <c r="G569" s="3" t="s">
        <v>1439</v>
      </c>
      <c r="H569" s="3">
        <v>12</v>
      </c>
      <c r="I569" s="3">
        <v>17.5</v>
      </c>
      <c r="J569" s="3" t="s">
        <v>1416</v>
      </c>
      <c r="K569" s="3" t="s">
        <v>1420</v>
      </c>
    </row>
    <row r="570" spans="1:11" x14ac:dyDescent="0.2">
      <c r="A570" s="2" t="s">
        <v>500</v>
      </c>
      <c r="B570" s="2" t="s">
        <v>519</v>
      </c>
      <c r="C570" s="2" t="s">
        <v>520</v>
      </c>
      <c r="D570" s="2" t="s">
        <v>1423</v>
      </c>
      <c r="E570" s="2" t="s">
        <v>1424</v>
      </c>
      <c r="F570" s="2">
        <v>5.56</v>
      </c>
      <c r="G570" s="2" t="s">
        <v>1425</v>
      </c>
      <c r="H570" s="2">
        <v>4.5</v>
      </c>
      <c r="I570" s="2">
        <v>5.5</v>
      </c>
      <c r="J570" s="5" t="s">
        <v>1426</v>
      </c>
      <c r="K570" s="2" t="s">
        <v>1434</v>
      </c>
    </row>
    <row r="571" spans="1:11" x14ac:dyDescent="0.2">
      <c r="A571" s="3" t="s">
        <v>500</v>
      </c>
      <c r="B571" s="3" t="s">
        <v>519</v>
      </c>
      <c r="C571" s="3" t="s">
        <v>520</v>
      </c>
      <c r="D571" s="3" t="s">
        <v>1443</v>
      </c>
      <c r="E571" s="3" t="s">
        <v>1444</v>
      </c>
      <c r="F571" s="3">
        <v>63.09</v>
      </c>
      <c r="G571" s="3" t="s">
        <v>1445</v>
      </c>
      <c r="H571" s="3">
        <v>53</v>
      </c>
      <c r="I571" s="3">
        <v>97</v>
      </c>
      <c r="J571" s="3" t="s">
        <v>1416</v>
      </c>
      <c r="K571" s="3" t="s">
        <v>1417</v>
      </c>
    </row>
    <row r="572" spans="1:11" x14ac:dyDescent="0.2">
      <c r="A572" s="2" t="s">
        <v>500</v>
      </c>
      <c r="B572" s="2" t="s">
        <v>519</v>
      </c>
      <c r="C572" s="2" t="s">
        <v>520</v>
      </c>
      <c r="D572" s="2" t="s">
        <v>1435</v>
      </c>
      <c r="E572" s="2" t="s">
        <v>1436</v>
      </c>
      <c r="F572" s="2">
        <v>1.49</v>
      </c>
      <c r="G572" s="2" t="s">
        <v>1415</v>
      </c>
      <c r="H572" s="2">
        <v>0.8</v>
      </c>
      <c r="I572" s="2">
        <v>1.5</v>
      </c>
      <c r="J572" s="2" t="s">
        <v>1416</v>
      </c>
      <c r="K572" s="2" t="s">
        <v>1417</v>
      </c>
    </row>
    <row r="573" spans="1:11" x14ac:dyDescent="0.2">
      <c r="A573" s="3" t="s">
        <v>522</v>
      </c>
      <c r="B573" s="3" t="s">
        <v>523</v>
      </c>
      <c r="C573" s="3" t="s">
        <v>524</v>
      </c>
      <c r="D573" s="3" t="s">
        <v>1413</v>
      </c>
      <c r="E573" s="3" t="s">
        <v>1414</v>
      </c>
      <c r="F573" s="3">
        <v>1.07</v>
      </c>
      <c r="G573" s="3" t="s">
        <v>1415</v>
      </c>
      <c r="H573" s="3">
        <v>1</v>
      </c>
      <c r="I573" s="3">
        <v>5</v>
      </c>
      <c r="J573" s="3" t="s">
        <v>1416</v>
      </c>
      <c r="K573" s="3" t="s">
        <v>1420</v>
      </c>
    </row>
    <row r="574" spans="1:11" x14ac:dyDescent="0.2">
      <c r="A574" s="2" t="s">
        <v>522</v>
      </c>
      <c r="B574" s="2" t="s">
        <v>523</v>
      </c>
      <c r="C574" s="2" t="s">
        <v>524</v>
      </c>
      <c r="D574" s="2" t="s">
        <v>1432</v>
      </c>
      <c r="E574" s="2" t="s">
        <v>1433</v>
      </c>
      <c r="F574" s="2">
        <v>3.58</v>
      </c>
      <c r="G574" s="2" t="s">
        <v>1415</v>
      </c>
      <c r="H574" s="2">
        <v>0</v>
      </c>
      <c r="I574" s="2">
        <v>3</v>
      </c>
      <c r="J574" s="5" t="s">
        <v>1426</v>
      </c>
      <c r="K574" s="2" t="s">
        <v>1434</v>
      </c>
    </row>
    <row r="575" spans="1:11" x14ac:dyDescent="0.2">
      <c r="A575" s="3" t="s">
        <v>522</v>
      </c>
      <c r="B575" s="3" t="s">
        <v>523</v>
      </c>
      <c r="C575" s="3" t="s">
        <v>524</v>
      </c>
      <c r="D575" s="3" t="s">
        <v>1448</v>
      </c>
      <c r="E575" s="3" t="s">
        <v>1449</v>
      </c>
      <c r="F575" s="3">
        <v>133.32</v>
      </c>
      <c r="G575" s="3" t="s">
        <v>1415</v>
      </c>
      <c r="H575" s="3">
        <v>136</v>
      </c>
      <c r="I575" s="3">
        <v>145</v>
      </c>
      <c r="J575" s="5" t="s">
        <v>1430</v>
      </c>
      <c r="K575" s="3" t="s">
        <v>1434</v>
      </c>
    </row>
    <row r="576" spans="1:11" x14ac:dyDescent="0.2">
      <c r="A576" s="2" t="s">
        <v>522</v>
      </c>
      <c r="B576" s="2" t="s">
        <v>523</v>
      </c>
      <c r="C576" s="2" t="s">
        <v>524</v>
      </c>
      <c r="D576" s="2" t="s">
        <v>1440</v>
      </c>
      <c r="E576" s="2" t="s">
        <v>1441</v>
      </c>
      <c r="F576" s="2">
        <v>5.67</v>
      </c>
      <c r="G576" s="2" t="s">
        <v>1442</v>
      </c>
      <c r="H576" s="2">
        <v>4</v>
      </c>
      <c r="I576" s="2">
        <v>5.6</v>
      </c>
      <c r="J576" s="5" t="s">
        <v>1426</v>
      </c>
      <c r="K576" s="2" t="s">
        <v>1420</v>
      </c>
    </row>
    <row r="577" spans="1:11" x14ac:dyDescent="0.2">
      <c r="A577" s="3" t="s">
        <v>522</v>
      </c>
      <c r="B577" s="3" t="s">
        <v>527</v>
      </c>
      <c r="C577" s="3" t="s">
        <v>438</v>
      </c>
      <c r="D577" s="3" t="s">
        <v>1427</v>
      </c>
      <c r="E577" s="3" t="s">
        <v>1428</v>
      </c>
      <c r="F577" s="3">
        <v>4.7</v>
      </c>
      <c r="G577" s="3" t="s">
        <v>1429</v>
      </c>
      <c r="H577" s="3">
        <v>4</v>
      </c>
      <c r="I577" s="3">
        <v>11</v>
      </c>
      <c r="J577" s="3" t="s">
        <v>1416</v>
      </c>
      <c r="K577" s="3" t="s">
        <v>1431</v>
      </c>
    </row>
    <row r="578" spans="1:11" x14ac:dyDescent="0.2">
      <c r="A578" s="2" t="s">
        <v>522</v>
      </c>
      <c r="B578" s="2" t="s">
        <v>527</v>
      </c>
      <c r="C578" s="2" t="s">
        <v>438</v>
      </c>
      <c r="D578" s="2" t="s">
        <v>1446</v>
      </c>
      <c r="E578" s="2" t="s">
        <v>1447</v>
      </c>
      <c r="F578" s="2">
        <v>1.83</v>
      </c>
      <c r="G578" s="2" t="s">
        <v>1415</v>
      </c>
      <c r="H578" s="2">
        <v>2.1</v>
      </c>
      <c r="I578" s="2">
        <v>2.6</v>
      </c>
      <c r="J578" s="5" t="s">
        <v>1430</v>
      </c>
      <c r="K578" s="2" t="s">
        <v>1417</v>
      </c>
    </row>
    <row r="579" spans="1:11" x14ac:dyDescent="0.2">
      <c r="A579" s="3" t="s">
        <v>522</v>
      </c>
      <c r="B579" s="3" t="s">
        <v>527</v>
      </c>
      <c r="C579" s="3" t="s">
        <v>438</v>
      </c>
      <c r="D579" s="3" t="s">
        <v>1418</v>
      </c>
      <c r="E579" s="3" t="s">
        <v>1419</v>
      </c>
      <c r="F579" s="3">
        <v>4.09</v>
      </c>
      <c r="G579" s="3" t="s">
        <v>1415</v>
      </c>
      <c r="H579" s="3">
        <v>3.5</v>
      </c>
      <c r="I579" s="3">
        <v>5</v>
      </c>
      <c r="J579" s="3" t="s">
        <v>1416</v>
      </c>
      <c r="K579" s="3" t="s">
        <v>1420</v>
      </c>
    </row>
    <row r="580" spans="1:11" x14ac:dyDescent="0.2">
      <c r="A580" s="2" t="s">
        <v>522</v>
      </c>
      <c r="B580" s="2" t="s">
        <v>529</v>
      </c>
      <c r="C580" s="2" t="s">
        <v>530</v>
      </c>
      <c r="D580" s="2" t="s">
        <v>1413</v>
      </c>
      <c r="E580" s="2" t="s">
        <v>1414</v>
      </c>
      <c r="F580" s="2">
        <v>2.19</v>
      </c>
      <c r="G580" s="2" t="s">
        <v>1415</v>
      </c>
      <c r="H580" s="2">
        <v>1</v>
      </c>
      <c r="I580" s="2">
        <v>5</v>
      </c>
      <c r="J580" s="2" t="s">
        <v>1416</v>
      </c>
      <c r="K580" s="2" t="s">
        <v>1431</v>
      </c>
    </row>
    <row r="581" spans="1:11" x14ac:dyDescent="0.2">
      <c r="A581" s="3" t="s">
        <v>522</v>
      </c>
      <c r="B581" s="3" t="s">
        <v>529</v>
      </c>
      <c r="C581" s="3" t="s">
        <v>530</v>
      </c>
      <c r="D581" s="3" t="s">
        <v>1421</v>
      </c>
      <c r="E581" s="3" t="s">
        <v>1422</v>
      </c>
      <c r="F581" s="3">
        <v>3.91</v>
      </c>
      <c r="G581" s="3" t="s">
        <v>1415</v>
      </c>
      <c r="H581" s="3">
        <v>0</v>
      </c>
      <c r="I581" s="3">
        <v>5</v>
      </c>
      <c r="J581" s="3" t="s">
        <v>1416</v>
      </c>
      <c r="K581" s="3" t="s">
        <v>1420</v>
      </c>
    </row>
    <row r="582" spans="1:11" x14ac:dyDescent="0.2">
      <c r="A582" s="2" t="s">
        <v>522</v>
      </c>
      <c r="B582" s="2" t="s">
        <v>529</v>
      </c>
      <c r="C582" s="2" t="s">
        <v>530</v>
      </c>
      <c r="D582" s="2" t="s">
        <v>1437</v>
      </c>
      <c r="E582" s="2" t="s">
        <v>1438</v>
      </c>
      <c r="F582" s="2">
        <v>10.65</v>
      </c>
      <c r="G582" s="2" t="s">
        <v>1439</v>
      </c>
      <c r="H582" s="2">
        <v>12</v>
      </c>
      <c r="I582" s="2">
        <v>17.5</v>
      </c>
      <c r="J582" s="5" t="s">
        <v>1430</v>
      </c>
      <c r="K582" s="2" t="s">
        <v>1420</v>
      </c>
    </row>
    <row r="583" spans="1:11" x14ac:dyDescent="0.2">
      <c r="A583" s="3" t="s">
        <v>522</v>
      </c>
      <c r="B583" s="3" t="s">
        <v>529</v>
      </c>
      <c r="C583" s="3" t="s">
        <v>530</v>
      </c>
      <c r="D583" s="3" t="s">
        <v>1418</v>
      </c>
      <c r="E583" s="3" t="s">
        <v>1419</v>
      </c>
      <c r="F583" s="3">
        <v>3.47</v>
      </c>
      <c r="G583" s="3" t="s">
        <v>1415</v>
      </c>
      <c r="H583" s="3">
        <v>3.5</v>
      </c>
      <c r="I583" s="3">
        <v>5</v>
      </c>
      <c r="J583" s="5" t="s">
        <v>1430</v>
      </c>
      <c r="K583" s="3" t="s">
        <v>1434</v>
      </c>
    </row>
    <row r="584" spans="1:11" x14ac:dyDescent="0.2">
      <c r="A584" s="2" t="s">
        <v>522</v>
      </c>
      <c r="B584" s="2" t="s">
        <v>529</v>
      </c>
      <c r="C584" s="2" t="s">
        <v>530</v>
      </c>
      <c r="D584" s="2" t="s">
        <v>1450</v>
      </c>
      <c r="E584" s="2" t="s">
        <v>1451</v>
      </c>
      <c r="F584" s="2">
        <v>117.99</v>
      </c>
      <c r="G584" s="2" t="s">
        <v>1452</v>
      </c>
      <c r="H584" s="2">
        <v>60</v>
      </c>
      <c r="I584" s="2">
        <v>120</v>
      </c>
      <c r="J584" s="2" t="s">
        <v>1416</v>
      </c>
      <c r="K584" s="2" t="s">
        <v>1431</v>
      </c>
    </row>
    <row r="585" spans="1:11" x14ac:dyDescent="0.2">
      <c r="A585" s="3" t="s">
        <v>522</v>
      </c>
      <c r="B585" s="3" t="s">
        <v>529</v>
      </c>
      <c r="C585" s="3" t="s">
        <v>530</v>
      </c>
      <c r="D585" s="3" t="s">
        <v>1453</v>
      </c>
      <c r="E585" s="3" t="s">
        <v>1454</v>
      </c>
      <c r="F585" s="3">
        <v>4.8899999999999997</v>
      </c>
      <c r="G585" s="3" t="s">
        <v>1415</v>
      </c>
      <c r="H585" s="3">
        <v>3.9</v>
      </c>
      <c r="I585" s="3">
        <v>5.5</v>
      </c>
      <c r="J585" s="3" t="s">
        <v>1416</v>
      </c>
      <c r="K585" s="3" t="s">
        <v>1420</v>
      </c>
    </row>
    <row r="586" spans="1:11" x14ac:dyDescent="0.2">
      <c r="A586" s="2" t="s">
        <v>522</v>
      </c>
      <c r="B586" s="2" t="s">
        <v>529</v>
      </c>
      <c r="C586" s="2" t="s">
        <v>530</v>
      </c>
      <c r="D586" s="2" t="s">
        <v>1448</v>
      </c>
      <c r="E586" s="2" t="s">
        <v>1449</v>
      </c>
      <c r="F586" s="2">
        <v>141.99</v>
      </c>
      <c r="G586" s="2" t="s">
        <v>1415</v>
      </c>
      <c r="H586" s="2">
        <v>136</v>
      </c>
      <c r="I586" s="2">
        <v>145</v>
      </c>
      <c r="J586" s="2" t="s">
        <v>1416</v>
      </c>
      <c r="K586" s="2" t="s">
        <v>1417</v>
      </c>
    </row>
    <row r="587" spans="1:11" x14ac:dyDescent="0.2">
      <c r="A587" s="3" t="s">
        <v>522</v>
      </c>
      <c r="B587" s="3" t="s">
        <v>529</v>
      </c>
      <c r="C587" s="3" t="s">
        <v>530</v>
      </c>
      <c r="D587" s="3" t="s">
        <v>1440</v>
      </c>
      <c r="E587" s="3" t="s">
        <v>1441</v>
      </c>
      <c r="F587" s="3">
        <v>5.98</v>
      </c>
      <c r="G587" s="3" t="s">
        <v>1442</v>
      </c>
      <c r="H587" s="3">
        <v>4</v>
      </c>
      <c r="I587" s="3">
        <v>5.6</v>
      </c>
      <c r="J587" s="5" t="s">
        <v>1426</v>
      </c>
      <c r="K587" s="3" t="s">
        <v>1420</v>
      </c>
    </row>
    <row r="588" spans="1:11" x14ac:dyDescent="0.2">
      <c r="A588" s="2" t="s">
        <v>522</v>
      </c>
      <c r="B588" s="2" t="s">
        <v>532</v>
      </c>
      <c r="C588" s="2" t="s">
        <v>533</v>
      </c>
      <c r="D588" s="2" t="s">
        <v>1446</v>
      </c>
      <c r="E588" s="2" t="s">
        <v>1447</v>
      </c>
      <c r="F588" s="2">
        <v>2.92</v>
      </c>
      <c r="G588" s="2" t="s">
        <v>1415</v>
      </c>
      <c r="H588" s="2">
        <v>2.1</v>
      </c>
      <c r="I588" s="2">
        <v>2.6</v>
      </c>
      <c r="J588" s="5" t="s">
        <v>1426</v>
      </c>
      <c r="K588" s="2" t="s">
        <v>1434</v>
      </c>
    </row>
    <row r="589" spans="1:11" x14ac:dyDescent="0.2">
      <c r="A589" s="3" t="s">
        <v>522</v>
      </c>
      <c r="B589" s="3" t="s">
        <v>532</v>
      </c>
      <c r="C589" s="3" t="s">
        <v>533</v>
      </c>
      <c r="D589" s="3" t="s">
        <v>1413</v>
      </c>
      <c r="E589" s="3" t="s">
        <v>1414</v>
      </c>
      <c r="F589" s="3">
        <v>1.88</v>
      </c>
      <c r="G589" s="3" t="s">
        <v>1415</v>
      </c>
      <c r="H589" s="3">
        <v>1</v>
      </c>
      <c r="I589" s="3">
        <v>5</v>
      </c>
      <c r="J589" s="3" t="s">
        <v>1416</v>
      </c>
      <c r="K589" s="3" t="s">
        <v>1431</v>
      </c>
    </row>
    <row r="590" spans="1:11" x14ac:dyDescent="0.2">
      <c r="A590" s="2" t="s">
        <v>522</v>
      </c>
      <c r="B590" s="2" t="s">
        <v>532</v>
      </c>
      <c r="C590" s="2" t="s">
        <v>533</v>
      </c>
      <c r="D590" s="2" t="s">
        <v>1432</v>
      </c>
      <c r="E590" s="2" t="s">
        <v>1433</v>
      </c>
      <c r="F590" s="2">
        <v>4.16</v>
      </c>
      <c r="G590" s="2" t="s">
        <v>1415</v>
      </c>
      <c r="H590" s="2">
        <v>0</v>
      </c>
      <c r="I590" s="2">
        <v>3</v>
      </c>
      <c r="J590" s="5" t="s">
        <v>1426</v>
      </c>
      <c r="K590" s="2" t="s">
        <v>1431</v>
      </c>
    </row>
    <row r="591" spans="1:11" x14ac:dyDescent="0.2">
      <c r="A591" s="3" t="s">
        <v>522</v>
      </c>
      <c r="B591" s="3" t="s">
        <v>532</v>
      </c>
      <c r="C591" s="3" t="s">
        <v>533</v>
      </c>
      <c r="D591" s="3" t="s">
        <v>1453</v>
      </c>
      <c r="E591" s="3" t="s">
        <v>1454</v>
      </c>
      <c r="F591" s="3">
        <v>5.6</v>
      </c>
      <c r="G591" s="3" t="s">
        <v>1415</v>
      </c>
      <c r="H591" s="3">
        <v>3.9</v>
      </c>
      <c r="I591" s="3">
        <v>5.5</v>
      </c>
      <c r="J591" s="5" t="s">
        <v>1426</v>
      </c>
      <c r="K591" s="3" t="s">
        <v>1417</v>
      </c>
    </row>
    <row r="592" spans="1:11" x14ac:dyDescent="0.2">
      <c r="A592" s="2" t="s">
        <v>522</v>
      </c>
      <c r="B592" s="2" t="s">
        <v>532</v>
      </c>
      <c r="C592" s="2" t="s">
        <v>533</v>
      </c>
      <c r="D592" s="2" t="s">
        <v>1455</v>
      </c>
      <c r="E592" s="2" t="s">
        <v>1456</v>
      </c>
      <c r="F592" s="2">
        <v>172.94</v>
      </c>
      <c r="G592" s="2" t="s">
        <v>1457</v>
      </c>
      <c r="H592" s="2">
        <v>40</v>
      </c>
      <c r="I592" s="2">
        <v>130</v>
      </c>
      <c r="J592" s="5" t="s">
        <v>1426</v>
      </c>
      <c r="K592" s="2" t="s">
        <v>1417</v>
      </c>
    </row>
    <row r="593" spans="1:11" x14ac:dyDescent="0.2">
      <c r="A593" s="3" t="s">
        <v>522</v>
      </c>
      <c r="B593" s="3" t="s">
        <v>532</v>
      </c>
      <c r="C593" s="3" t="s">
        <v>533</v>
      </c>
      <c r="D593" s="3" t="s">
        <v>1448</v>
      </c>
      <c r="E593" s="3" t="s">
        <v>1449</v>
      </c>
      <c r="F593" s="3">
        <v>145.22</v>
      </c>
      <c r="G593" s="3" t="s">
        <v>1415</v>
      </c>
      <c r="H593" s="3">
        <v>136</v>
      </c>
      <c r="I593" s="3">
        <v>145</v>
      </c>
      <c r="J593" s="5" t="s">
        <v>1426</v>
      </c>
      <c r="K593" s="3" t="s">
        <v>1434</v>
      </c>
    </row>
    <row r="594" spans="1:11" x14ac:dyDescent="0.2">
      <c r="A594" s="2" t="s">
        <v>522</v>
      </c>
      <c r="B594" s="2" t="s">
        <v>532</v>
      </c>
      <c r="C594" s="2" t="s">
        <v>533</v>
      </c>
      <c r="D594" s="2" t="s">
        <v>1450</v>
      </c>
      <c r="E594" s="2" t="s">
        <v>1451</v>
      </c>
      <c r="F594" s="2">
        <v>81.45</v>
      </c>
      <c r="G594" s="2" t="s">
        <v>1452</v>
      </c>
      <c r="H594" s="2">
        <v>60</v>
      </c>
      <c r="I594" s="2">
        <v>120</v>
      </c>
      <c r="J594" s="2" t="s">
        <v>1416</v>
      </c>
      <c r="K594" s="2" t="s">
        <v>1420</v>
      </c>
    </row>
    <row r="595" spans="1:11" x14ac:dyDescent="0.2">
      <c r="A595" s="3" t="s">
        <v>522</v>
      </c>
      <c r="B595" s="3" t="s">
        <v>535</v>
      </c>
      <c r="C595" s="3" t="s">
        <v>293</v>
      </c>
      <c r="D595" s="3" t="s">
        <v>1453</v>
      </c>
      <c r="E595" s="3" t="s">
        <v>1454</v>
      </c>
      <c r="F595" s="3">
        <v>7.84</v>
      </c>
      <c r="G595" s="3" t="s">
        <v>1415</v>
      </c>
      <c r="H595" s="3">
        <v>3.9</v>
      </c>
      <c r="I595" s="3">
        <v>5.5</v>
      </c>
      <c r="J595" s="5" t="s">
        <v>1426</v>
      </c>
      <c r="K595" s="3" t="s">
        <v>1420</v>
      </c>
    </row>
    <row r="596" spans="1:11" x14ac:dyDescent="0.2">
      <c r="A596" s="2" t="s">
        <v>522</v>
      </c>
      <c r="B596" s="2" t="s">
        <v>535</v>
      </c>
      <c r="C596" s="2" t="s">
        <v>293</v>
      </c>
      <c r="D596" s="2" t="s">
        <v>1432</v>
      </c>
      <c r="E596" s="2" t="s">
        <v>1433</v>
      </c>
      <c r="F596" s="2">
        <v>2.41</v>
      </c>
      <c r="G596" s="2" t="s">
        <v>1415</v>
      </c>
      <c r="H596" s="2">
        <v>0</v>
      </c>
      <c r="I596" s="2">
        <v>3</v>
      </c>
      <c r="J596" s="2" t="s">
        <v>1416</v>
      </c>
      <c r="K596" s="2" t="s">
        <v>1417</v>
      </c>
    </row>
    <row r="597" spans="1:11" x14ac:dyDescent="0.2">
      <c r="A597" s="3" t="s">
        <v>522</v>
      </c>
      <c r="B597" s="3" t="s">
        <v>535</v>
      </c>
      <c r="C597" s="3" t="s">
        <v>293</v>
      </c>
      <c r="D597" s="3" t="s">
        <v>1440</v>
      </c>
      <c r="E597" s="3" t="s">
        <v>1441</v>
      </c>
      <c r="F597" s="3">
        <v>8.1300000000000008</v>
      </c>
      <c r="G597" s="3" t="s">
        <v>1442</v>
      </c>
      <c r="H597" s="3">
        <v>4</v>
      </c>
      <c r="I597" s="3">
        <v>5.6</v>
      </c>
      <c r="J597" s="5" t="s">
        <v>1426</v>
      </c>
      <c r="K597" s="3" t="s">
        <v>1417</v>
      </c>
    </row>
    <row r="598" spans="1:11" x14ac:dyDescent="0.2">
      <c r="A598" s="2" t="s">
        <v>522</v>
      </c>
      <c r="B598" s="2" t="s">
        <v>535</v>
      </c>
      <c r="C598" s="2" t="s">
        <v>293</v>
      </c>
      <c r="D598" s="2" t="s">
        <v>1450</v>
      </c>
      <c r="E598" s="2" t="s">
        <v>1451</v>
      </c>
      <c r="F598" s="2">
        <v>84.2</v>
      </c>
      <c r="G598" s="2" t="s">
        <v>1452</v>
      </c>
      <c r="H598" s="2">
        <v>60</v>
      </c>
      <c r="I598" s="2">
        <v>120</v>
      </c>
      <c r="J598" s="2" t="s">
        <v>1416</v>
      </c>
      <c r="K598" s="2" t="s">
        <v>1420</v>
      </c>
    </row>
    <row r="599" spans="1:11" x14ac:dyDescent="0.2">
      <c r="A599" s="3" t="s">
        <v>536</v>
      </c>
      <c r="B599" s="3" t="s">
        <v>537</v>
      </c>
      <c r="C599" s="3" t="s">
        <v>538</v>
      </c>
      <c r="D599" s="3" t="s">
        <v>1450</v>
      </c>
      <c r="E599" s="3" t="s">
        <v>1451</v>
      </c>
      <c r="F599" s="3">
        <v>63.15</v>
      </c>
      <c r="G599" s="3" t="s">
        <v>1452</v>
      </c>
      <c r="H599" s="3">
        <v>60</v>
      </c>
      <c r="I599" s="3">
        <v>120</v>
      </c>
      <c r="J599" s="3" t="s">
        <v>1416</v>
      </c>
      <c r="K599" s="3" t="s">
        <v>1417</v>
      </c>
    </row>
    <row r="600" spans="1:11" x14ac:dyDescent="0.2">
      <c r="A600" s="2" t="s">
        <v>536</v>
      </c>
      <c r="B600" s="2" t="s">
        <v>537</v>
      </c>
      <c r="C600" s="2" t="s">
        <v>538</v>
      </c>
      <c r="D600" s="2" t="s">
        <v>1437</v>
      </c>
      <c r="E600" s="2" t="s">
        <v>1438</v>
      </c>
      <c r="F600" s="2">
        <v>13</v>
      </c>
      <c r="G600" s="2" t="s">
        <v>1439</v>
      </c>
      <c r="H600" s="2">
        <v>12</v>
      </c>
      <c r="I600" s="2">
        <v>17.5</v>
      </c>
      <c r="J600" s="2" t="s">
        <v>1416</v>
      </c>
      <c r="K600" s="2" t="s">
        <v>1417</v>
      </c>
    </row>
    <row r="601" spans="1:11" x14ac:dyDescent="0.2">
      <c r="A601" s="3" t="s">
        <v>536</v>
      </c>
      <c r="B601" s="3" t="s">
        <v>537</v>
      </c>
      <c r="C601" s="3" t="s">
        <v>538</v>
      </c>
      <c r="D601" s="3" t="s">
        <v>1421</v>
      </c>
      <c r="E601" s="3" t="s">
        <v>1422</v>
      </c>
      <c r="F601" s="3">
        <v>5.63</v>
      </c>
      <c r="G601" s="3" t="s">
        <v>1415</v>
      </c>
      <c r="H601" s="3">
        <v>0</v>
      </c>
      <c r="I601" s="3">
        <v>5</v>
      </c>
      <c r="J601" s="5" t="s">
        <v>1426</v>
      </c>
      <c r="K601" s="3" t="s">
        <v>1431</v>
      </c>
    </row>
    <row r="602" spans="1:11" x14ac:dyDescent="0.2">
      <c r="A602" s="2" t="s">
        <v>536</v>
      </c>
      <c r="B602" s="2" t="s">
        <v>537</v>
      </c>
      <c r="C602" s="2" t="s">
        <v>538</v>
      </c>
      <c r="D602" s="2" t="s">
        <v>1418</v>
      </c>
      <c r="E602" s="2" t="s">
        <v>1419</v>
      </c>
      <c r="F602" s="2">
        <v>4.08</v>
      </c>
      <c r="G602" s="2" t="s">
        <v>1415</v>
      </c>
      <c r="H602" s="2">
        <v>3.5</v>
      </c>
      <c r="I602" s="2">
        <v>5</v>
      </c>
      <c r="J602" s="2" t="s">
        <v>1416</v>
      </c>
      <c r="K602" s="2" t="s">
        <v>1417</v>
      </c>
    </row>
    <row r="603" spans="1:11" x14ac:dyDescent="0.2">
      <c r="A603" s="3" t="s">
        <v>540</v>
      </c>
      <c r="B603" s="3" t="s">
        <v>541</v>
      </c>
      <c r="C603" s="3" t="s">
        <v>542</v>
      </c>
      <c r="D603" s="3" t="s">
        <v>1423</v>
      </c>
      <c r="E603" s="3" t="s">
        <v>1424</v>
      </c>
      <c r="F603" s="3">
        <v>4.09</v>
      </c>
      <c r="G603" s="3" t="s">
        <v>1425</v>
      </c>
      <c r="H603" s="3">
        <v>4.5</v>
      </c>
      <c r="I603" s="3">
        <v>5.5</v>
      </c>
      <c r="J603" s="5" t="s">
        <v>1430</v>
      </c>
      <c r="K603" s="3" t="s">
        <v>1431</v>
      </c>
    </row>
    <row r="604" spans="1:11" x14ac:dyDescent="0.2">
      <c r="A604" s="2" t="s">
        <v>540</v>
      </c>
      <c r="B604" s="2" t="s">
        <v>541</v>
      </c>
      <c r="C604" s="2" t="s">
        <v>542</v>
      </c>
      <c r="D604" s="2" t="s">
        <v>1450</v>
      </c>
      <c r="E604" s="2" t="s">
        <v>1451</v>
      </c>
      <c r="F604" s="2">
        <v>129.30000000000001</v>
      </c>
      <c r="G604" s="2" t="s">
        <v>1452</v>
      </c>
      <c r="H604" s="2">
        <v>60</v>
      </c>
      <c r="I604" s="2">
        <v>120</v>
      </c>
      <c r="J604" s="5" t="s">
        <v>1426</v>
      </c>
      <c r="K604" s="2" t="s">
        <v>1434</v>
      </c>
    </row>
    <row r="605" spans="1:11" x14ac:dyDescent="0.2">
      <c r="A605" s="3" t="s">
        <v>540</v>
      </c>
      <c r="B605" s="3" t="s">
        <v>541</v>
      </c>
      <c r="C605" s="3" t="s">
        <v>542</v>
      </c>
      <c r="D605" s="3" t="s">
        <v>1435</v>
      </c>
      <c r="E605" s="3" t="s">
        <v>1436</v>
      </c>
      <c r="F605" s="3">
        <v>0.97</v>
      </c>
      <c r="G605" s="3" t="s">
        <v>1415</v>
      </c>
      <c r="H605" s="3">
        <v>0.8</v>
      </c>
      <c r="I605" s="3">
        <v>1.5</v>
      </c>
      <c r="J605" s="3" t="s">
        <v>1416</v>
      </c>
      <c r="K605" s="3" t="s">
        <v>1417</v>
      </c>
    </row>
    <row r="606" spans="1:11" x14ac:dyDescent="0.2">
      <c r="A606" s="2" t="s">
        <v>540</v>
      </c>
      <c r="B606" s="2" t="s">
        <v>541</v>
      </c>
      <c r="C606" s="2" t="s">
        <v>542</v>
      </c>
      <c r="D606" s="2" t="s">
        <v>1446</v>
      </c>
      <c r="E606" s="2" t="s">
        <v>1447</v>
      </c>
      <c r="F606" s="2">
        <v>2.95</v>
      </c>
      <c r="G606" s="2" t="s">
        <v>1415</v>
      </c>
      <c r="H606" s="2">
        <v>2.1</v>
      </c>
      <c r="I606" s="2">
        <v>2.6</v>
      </c>
      <c r="J606" s="5" t="s">
        <v>1426</v>
      </c>
      <c r="K606" s="2" t="s">
        <v>1434</v>
      </c>
    </row>
    <row r="607" spans="1:11" x14ac:dyDescent="0.2">
      <c r="A607" s="3" t="s">
        <v>540</v>
      </c>
      <c r="B607" s="3" t="s">
        <v>541</v>
      </c>
      <c r="C607" s="3" t="s">
        <v>542</v>
      </c>
      <c r="D607" s="3" t="s">
        <v>1421</v>
      </c>
      <c r="E607" s="3" t="s">
        <v>1422</v>
      </c>
      <c r="F607" s="3">
        <v>3.74</v>
      </c>
      <c r="G607" s="3" t="s">
        <v>1415</v>
      </c>
      <c r="H607" s="3">
        <v>0</v>
      </c>
      <c r="I607" s="3">
        <v>5</v>
      </c>
      <c r="J607" s="3" t="s">
        <v>1416</v>
      </c>
      <c r="K607" s="3" t="s">
        <v>1420</v>
      </c>
    </row>
    <row r="608" spans="1:11" x14ac:dyDescent="0.2">
      <c r="A608" s="2" t="s">
        <v>540</v>
      </c>
      <c r="B608" s="2" t="s">
        <v>541</v>
      </c>
      <c r="C608" s="2" t="s">
        <v>542</v>
      </c>
      <c r="D608" s="2" t="s">
        <v>1453</v>
      </c>
      <c r="E608" s="2" t="s">
        <v>1454</v>
      </c>
      <c r="F608" s="2">
        <v>5.8</v>
      </c>
      <c r="G608" s="2" t="s">
        <v>1415</v>
      </c>
      <c r="H608" s="2">
        <v>3.9</v>
      </c>
      <c r="I608" s="2">
        <v>5.5</v>
      </c>
      <c r="J608" s="5" t="s">
        <v>1426</v>
      </c>
      <c r="K608" s="2" t="s">
        <v>1431</v>
      </c>
    </row>
    <row r="609" spans="1:11" x14ac:dyDescent="0.2">
      <c r="A609" s="3" t="s">
        <v>540</v>
      </c>
      <c r="B609" s="3" t="s">
        <v>541</v>
      </c>
      <c r="C609" s="3" t="s">
        <v>542</v>
      </c>
      <c r="D609" s="3" t="s">
        <v>1437</v>
      </c>
      <c r="E609" s="3" t="s">
        <v>1438</v>
      </c>
      <c r="F609" s="3">
        <v>9.83</v>
      </c>
      <c r="G609" s="3" t="s">
        <v>1439</v>
      </c>
      <c r="H609" s="3">
        <v>12</v>
      </c>
      <c r="I609" s="3">
        <v>17.5</v>
      </c>
      <c r="J609" s="5" t="s">
        <v>1430</v>
      </c>
      <c r="K609" s="3" t="s">
        <v>1431</v>
      </c>
    </row>
    <row r="610" spans="1:11" x14ac:dyDescent="0.2">
      <c r="A610" s="2" t="s">
        <v>540</v>
      </c>
      <c r="B610" s="2" t="s">
        <v>545</v>
      </c>
      <c r="C610" s="2" t="s">
        <v>264</v>
      </c>
      <c r="D610" s="2" t="s">
        <v>1455</v>
      </c>
      <c r="E610" s="2" t="s">
        <v>1456</v>
      </c>
      <c r="F610" s="2">
        <v>67.52</v>
      </c>
      <c r="G610" s="2" t="s">
        <v>1457</v>
      </c>
      <c r="H610" s="2">
        <v>40</v>
      </c>
      <c r="I610" s="2">
        <v>130</v>
      </c>
      <c r="J610" s="2" t="s">
        <v>1416</v>
      </c>
      <c r="K610" s="2" t="s">
        <v>1431</v>
      </c>
    </row>
    <row r="611" spans="1:11" x14ac:dyDescent="0.2">
      <c r="A611" s="3" t="s">
        <v>540</v>
      </c>
      <c r="B611" s="3" t="s">
        <v>545</v>
      </c>
      <c r="C611" s="3" t="s">
        <v>264</v>
      </c>
      <c r="D611" s="3" t="s">
        <v>1418</v>
      </c>
      <c r="E611" s="3" t="s">
        <v>1419</v>
      </c>
      <c r="F611" s="3">
        <v>4.07</v>
      </c>
      <c r="G611" s="3" t="s">
        <v>1415</v>
      </c>
      <c r="H611" s="3">
        <v>3.5</v>
      </c>
      <c r="I611" s="3">
        <v>5</v>
      </c>
      <c r="J611" s="3" t="s">
        <v>1416</v>
      </c>
      <c r="K611" s="3" t="s">
        <v>1434</v>
      </c>
    </row>
    <row r="612" spans="1:11" x14ac:dyDescent="0.2">
      <c r="A612" s="2" t="s">
        <v>540</v>
      </c>
      <c r="B612" s="2" t="s">
        <v>545</v>
      </c>
      <c r="C612" s="2" t="s">
        <v>264</v>
      </c>
      <c r="D612" s="2" t="s">
        <v>1421</v>
      </c>
      <c r="E612" s="2" t="s">
        <v>1422</v>
      </c>
      <c r="F612" s="2">
        <v>6.28</v>
      </c>
      <c r="G612" s="2" t="s">
        <v>1415</v>
      </c>
      <c r="H612" s="2">
        <v>0</v>
      </c>
      <c r="I612" s="2">
        <v>5</v>
      </c>
      <c r="J612" s="5" t="s">
        <v>1426</v>
      </c>
      <c r="K612" s="2" t="s">
        <v>1417</v>
      </c>
    </row>
    <row r="613" spans="1:11" x14ac:dyDescent="0.2">
      <c r="A613" s="3" t="s">
        <v>540</v>
      </c>
      <c r="B613" s="3" t="s">
        <v>545</v>
      </c>
      <c r="C613" s="3" t="s">
        <v>264</v>
      </c>
      <c r="D613" s="3" t="s">
        <v>1450</v>
      </c>
      <c r="E613" s="3" t="s">
        <v>1451</v>
      </c>
      <c r="F613" s="3">
        <v>57.74</v>
      </c>
      <c r="G613" s="3" t="s">
        <v>1452</v>
      </c>
      <c r="H613" s="3">
        <v>60</v>
      </c>
      <c r="I613" s="3">
        <v>120</v>
      </c>
      <c r="J613" s="5" t="s">
        <v>1430</v>
      </c>
      <c r="K613" s="3" t="s">
        <v>1434</v>
      </c>
    </row>
    <row r="614" spans="1:11" x14ac:dyDescent="0.2">
      <c r="A614" s="2" t="s">
        <v>540</v>
      </c>
      <c r="B614" s="2" t="s">
        <v>545</v>
      </c>
      <c r="C614" s="2" t="s">
        <v>264</v>
      </c>
      <c r="D614" s="2" t="s">
        <v>1435</v>
      </c>
      <c r="E614" s="2" t="s">
        <v>1436</v>
      </c>
      <c r="F614" s="2">
        <v>1.36</v>
      </c>
      <c r="G614" s="2" t="s">
        <v>1415</v>
      </c>
      <c r="H614" s="2">
        <v>0.8</v>
      </c>
      <c r="I614" s="2">
        <v>1.5</v>
      </c>
      <c r="J614" s="2" t="s">
        <v>1416</v>
      </c>
      <c r="K614" s="2" t="s">
        <v>1434</v>
      </c>
    </row>
    <row r="615" spans="1:11" x14ac:dyDescent="0.2">
      <c r="A615" s="3" t="s">
        <v>540</v>
      </c>
      <c r="B615" s="3" t="s">
        <v>545</v>
      </c>
      <c r="C615" s="3" t="s">
        <v>264</v>
      </c>
      <c r="D615" s="3" t="s">
        <v>1443</v>
      </c>
      <c r="E615" s="3" t="s">
        <v>1444</v>
      </c>
      <c r="F615" s="3">
        <v>74.069999999999993</v>
      </c>
      <c r="G615" s="3" t="s">
        <v>1445</v>
      </c>
      <c r="H615" s="3">
        <v>53</v>
      </c>
      <c r="I615" s="3">
        <v>97</v>
      </c>
      <c r="J615" s="3" t="s">
        <v>1416</v>
      </c>
      <c r="K615" s="3" t="s">
        <v>1431</v>
      </c>
    </row>
    <row r="616" spans="1:11" x14ac:dyDescent="0.2">
      <c r="A616" s="2" t="s">
        <v>540</v>
      </c>
      <c r="B616" s="2" t="s">
        <v>545</v>
      </c>
      <c r="C616" s="2" t="s">
        <v>264</v>
      </c>
      <c r="D616" s="2" t="s">
        <v>1440</v>
      </c>
      <c r="E616" s="2" t="s">
        <v>1441</v>
      </c>
      <c r="F616" s="2">
        <v>5.2</v>
      </c>
      <c r="G616" s="2" t="s">
        <v>1442</v>
      </c>
      <c r="H616" s="2">
        <v>4</v>
      </c>
      <c r="I616" s="2">
        <v>5.6</v>
      </c>
      <c r="J616" s="2" t="s">
        <v>1416</v>
      </c>
      <c r="K616" s="2" t="s">
        <v>1420</v>
      </c>
    </row>
    <row r="617" spans="1:11" x14ac:dyDescent="0.2">
      <c r="A617" s="3" t="s">
        <v>540</v>
      </c>
      <c r="B617" s="3" t="s">
        <v>547</v>
      </c>
      <c r="C617" s="3" t="s">
        <v>548</v>
      </c>
      <c r="D617" s="3" t="s">
        <v>1453</v>
      </c>
      <c r="E617" s="3" t="s">
        <v>1454</v>
      </c>
      <c r="F617" s="3">
        <v>6.85</v>
      </c>
      <c r="G617" s="3" t="s">
        <v>1415</v>
      </c>
      <c r="H617" s="3">
        <v>3.9</v>
      </c>
      <c r="I617" s="3">
        <v>5.5</v>
      </c>
      <c r="J617" s="5" t="s">
        <v>1426</v>
      </c>
      <c r="K617" s="3" t="s">
        <v>1417</v>
      </c>
    </row>
    <row r="618" spans="1:11" x14ac:dyDescent="0.2">
      <c r="A618" s="2" t="s">
        <v>540</v>
      </c>
      <c r="B618" s="2" t="s">
        <v>547</v>
      </c>
      <c r="C618" s="2" t="s">
        <v>548</v>
      </c>
      <c r="D618" s="2" t="s">
        <v>1421</v>
      </c>
      <c r="E618" s="2" t="s">
        <v>1422</v>
      </c>
      <c r="F618" s="2">
        <v>4.0999999999999996</v>
      </c>
      <c r="G618" s="2" t="s">
        <v>1415</v>
      </c>
      <c r="H618" s="2">
        <v>0</v>
      </c>
      <c r="I618" s="2">
        <v>5</v>
      </c>
      <c r="J618" s="2" t="s">
        <v>1416</v>
      </c>
      <c r="K618" s="2" t="s">
        <v>1431</v>
      </c>
    </row>
    <row r="619" spans="1:11" x14ac:dyDescent="0.2">
      <c r="A619" s="3" t="s">
        <v>540</v>
      </c>
      <c r="B619" s="3" t="s">
        <v>547</v>
      </c>
      <c r="C619" s="3" t="s">
        <v>548</v>
      </c>
      <c r="D619" s="3" t="s">
        <v>1455</v>
      </c>
      <c r="E619" s="3" t="s">
        <v>1456</v>
      </c>
      <c r="F619" s="3">
        <v>180.32</v>
      </c>
      <c r="G619" s="3" t="s">
        <v>1457</v>
      </c>
      <c r="H619" s="3">
        <v>40</v>
      </c>
      <c r="I619" s="3">
        <v>130</v>
      </c>
      <c r="J619" s="5" t="s">
        <v>1426</v>
      </c>
      <c r="K619" s="3" t="s">
        <v>1431</v>
      </c>
    </row>
    <row r="620" spans="1:11" x14ac:dyDescent="0.2">
      <c r="A620" s="2" t="s">
        <v>540</v>
      </c>
      <c r="B620" s="2" t="s">
        <v>547</v>
      </c>
      <c r="C620" s="2" t="s">
        <v>548</v>
      </c>
      <c r="D620" s="2" t="s">
        <v>1443</v>
      </c>
      <c r="E620" s="2" t="s">
        <v>1444</v>
      </c>
      <c r="F620" s="2">
        <v>84.92</v>
      </c>
      <c r="G620" s="2" t="s">
        <v>1445</v>
      </c>
      <c r="H620" s="2">
        <v>53</v>
      </c>
      <c r="I620" s="2">
        <v>97</v>
      </c>
      <c r="J620" s="2" t="s">
        <v>1416</v>
      </c>
      <c r="K620" s="2" t="s">
        <v>1420</v>
      </c>
    </row>
    <row r="621" spans="1:11" x14ac:dyDescent="0.2">
      <c r="A621" s="3" t="s">
        <v>549</v>
      </c>
      <c r="B621" s="3" t="s">
        <v>550</v>
      </c>
      <c r="C621" s="3" t="s">
        <v>551</v>
      </c>
      <c r="D621" s="3" t="s">
        <v>1418</v>
      </c>
      <c r="E621" s="3" t="s">
        <v>1419</v>
      </c>
      <c r="F621" s="3">
        <v>3.86</v>
      </c>
      <c r="G621" s="3" t="s">
        <v>1415</v>
      </c>
      <c r="H621" s="3">
        <v>3.5</v>
      </c>
      <c r="I621" s="3">
        <v>5</v>
      </c>
      <c r="J621" s="3" t="s">
        <v>1416</v>
      </c>
      <c r="K621" s="3" t="s">
        <v>1431</v>
      </c>
    </row>
    <row r="622" spans="1:11" x14ac:dyDescent="0.2">
      <c r="A622" s="2" t="s">
        <v>549</v>
      </c>
      <c r="B622" s="2" t="s">
        <v>550</v>
      </c>
      <c r="C622" s="2" t="s">
        <v>551</v>
      </c>
      <c r="D622" s="2" t="s">
        <v>1435</v>
      </c>
      <c r="E622" s="2" t="s">
        <v>1436</v>
      </c>
      <c r="F622" s="2">
        <v>0.57999999999999996</v>
      </c>
      <c r="G622" s="2" t="s">
        <v>1415</v>
      </c>
      <c r="H622" s="2">
        <v>0.8</v>
      </c>
      <c r="I622" s="2">
        <v>1.5</v>
      </c>
      <c r="J622" s="5" t="s">
        <v>1430</v>
      </c>
      <c r="K622" s="2" t="s">
        <v>1434</v>
      </c>
    </row>
    <row r="623" spans="1:11" x14ac:dyDescent="0.2">
      <c r="A623" s="3" t="s">
        <v>549</v>
      </c>
      <c r="B623" s="3" t="s">
        <v>550</v>
      </c>
      <c r="C623" s="3" t="s">
        <v>551</v>
      </c>
      <c r="D623" s="3" t="s">
        <v>1432</v>
      </c>
      <c r="E623" s="3" t="s">
        <v>1433</v>
      </c>
      <c r="F623" s="3">
        <v>3.5</v>
      </c>
      <c r="G623" s="3" t="s">
        <v>1415</v>
      </c>
      <c r="H623" s="3">
        <v>0</v>
      </c>
      <c r="I623" s="3">
        <v>3</v>
      </c>
      <c r="J623" s="5" t="s">
        <v>1426</v>
      </c>
      <c r="K623" s="3" t="s">
        <v>1431</v>
      </c>
    </row>
    <row r="624" spans="1:11" x14ac:dyDescent="0.2">
      <c r="A624" s="2" t="s">
        <v>549</v>
      </c>
      <c r="B624" s="2" t="s">
        <v>550</v>
      </c>
      <c r="C624" s="2" t="s">
        <v>551</v>
      </c>
      <c r="D624" s="2" t="s">
        <v>1448</v>
      </c>
      <c r="E624" s="2" t="s">
        <v>1449</v>
      </c>
      <c r="F624" s="2">
        <v>140.55000000000001</v>
      </c>
      <c r="G624" s="2" t="s">
        <v>1415</v>
      </c>
      <c r="H624" s="2">
        <v>136</v>
      </c>
      <c r="I624" s="2">
        <v>145</v>
      </c>
      <c r="J624" s="2" t="s">
        <v>1416</v>
      </c>
      <c r="K624" s="2" t="s">
        <v>1434</v>
      </c>
    </row>
    <row r="625" spans="1:11" x14ac:dyDescent="0.2">
      <c r="A625" s="3" t="s">
        <v>549</v>
      </c>
      <c r="B625" s="3" t="s">
        <v>550</v>
      </c>
      <c r="C625" s="3" t="s">
        <v>551</v>
      </c>
      <c r="D625" s="3" t="s">
        <v>1437</v>
      </c>
      <c r="E625" s="3" t="s">
        <v>1438</v>
      </c>
      <c r="F625" s="3">
        <v>11.15</v>
      </c>
      <c r="G625" s="3" t="s">
        <v>1439</v>
      </c>
      <c r="H625" s="3">
        <v>12</v>
      </c>
      <c r="I625" s="3">
        <v>17.5</v>
      </c>
      <c r="J625" s="5" t="s">
        <v>1430</v>
      </c>
      <c r="K625" s="3" t="s">
        <v>1417</v>
      </c>
    </row>
    <row r="626" spans="1:11" x14ac:dyDescent="0.2">
      <c r="A626" s="2" t="s">
        <v>549</v>
      </c>
      <c r="B626" s="2" t="s">
        <v>550</v>
      </c>
      <c r="C626" s="2" t="s">
        <v>551</v>
      </c>
      <c r="D626" s="2" t="s">
        <v>1443</v>
      </c>
      <c r="E626" s="2" t="s">
        <v>1444</v>
      </c>
      <c r="F626" s="2">
        <v>82.2</v>
      </c>
      <c r="G626" s="2" t="s">
        <v>1445</v>
      </c>
      <c r="H626" s="2">
        <v>53</v>
      </c>
      <c r="I626" s="2">
        <v>97</v>
      </c>
      <c r="J626" s="2" t="s">
        <v>1416</v>
      </c>
      <c r="K626" s="2" t="s">
        <v>1417</v>
      </c>
    </row>
    <row r="627" spans="1:11" x14ac:dyDescent="0.2">
      <c r="A627" s="3" t="s">
        <v>549</v>
      </c>
      <c r="B627" s="3" t="s">
        <v>554</v>
      </c>
      <c r="C627" s="3" t="s">
        <v>555</v>
      </c>
      <c r="D627" s="3" t="s">
        <v>1435</v>
      </c>
      <c r="E627" s="3" t="s">
        <v>1436</v>
      </c>
      <c r="F627" s="3">
        <v>1.05</v>
      </c>
      <c r="G627" s="3" t="s">
        <v>1415</v>
      </c>
      <c r="H627" s="3">
        <v>0.8</v>
      </c>
      <c r="I627" s="3">
        <v>1.5</v>
      </c>
      <c r="J627" s="3" t="s">
        <v>1416</v>
      </c>
      <c r="K627" s="3" t="s">
        <v>1431</v>
      </c>
    </row>
    <row r="628" spans="1:11" x14ac:dyDescent="0.2">
      <c r="A628" s="2" t="s">
        <v>549</v>
      </c>
      <c r="B628" s="2" t="s">
        <v>554</v>
      </c>
      <c r="C628" s="2" t="s">
        <v>555</v>
      </c>
      <c r="D628" s="2" t="s">
        <v>1446</v>
      </c>
      <c r="E628" s="2" t="s">
        <v>1447</v>
      </c>
      <c r="F628" s="2">
        <v>2.13</v>
      </c>
      <c r="G628" s="2" t="s">
        <v>1415</v>
      </c>
      <c r="H628" s="2">
        <v>2.1</v>
      </c>
      <c r="I628" s="2">
        <v>2.6</v>
      </c>
      <c r="J628" s="2" t="s">
        <v>1416</v>
      </c>
      <c r="K628" s="2" t="s">
        <v>1434</v>
      </c>
    </row>
    <row r="629" spans="1:11" x14ac:dyDescent="0.2">
      <c r="A629" s="3" t="s">
        <v>549</v>
      </c>
      <c r="B629" s="3" t="s">
        <v>554</v>
      </c>
      <c r="C629" s="3" t="s">
        <v>555</v>
      </c>
      <c r="D629" s="3" t="s">
        <v>1413</v>
      </c>
      <c r="E629" s="3" t="s">
        <v>1414</v>
      </c>
      <c r="F629" s="3">
        <v>1.48</v>
      </c>
      <c r="G629" s="3" t="s">
        <v>1415</v>
      </c>
      <c r="H629" s="3">
        <v>1</v>
      </c>
      <c r="I629" s="3">
        <v>5</v>
      </c>
      <c r="J629" s="3" t="s">
        <v>1416</v>
      </c>
      <c r="K629" s="3" t="s">
        <v>1431</v>
      </c>
    </row>
    <row r="630" spans="1:11" x14ac:dyDescent="0.2">
      <c r="A630" s="2" t="s">
        <v>549</v>
      </c>
      <c r="B630" s="2" t="s">
        <v>554</v>
      </c>
      <c r="C630" s="2" t="s">
        <v>555</v>
      </c>
      <c r="D630" s="2" t="s">
        <v>1423</v>
      </c>
      <c r="E630" s="2" t="s">
        <v>1424</v>
      </c>
      <c r="F630" s="2">
        <v>5.23</v>
      </c>
      <c r="G630" s="2" t="s">
        <v>1425</v>
      </c>
      <c r="H630" s="2">
        <v>4.5</v>
      </c>
      <c r="I630" s="2">
        <v>5.5</v>
      </c>
      <c r="J630" s="2" t="s">
        <v>1416</v>
      </c>
      <c r="K630" s="2" t="s">
        <v>1417</v>
      </c>
    </row>
    <row r="631" spans="1:11" x14ac:dyDescent="0.2">
      <c r="A631" s="3" t="s">
        <v>549</v>
      </c>
      <c r="B631" s="3" t="s">
        <v>554</v>
      </c>
      <c r="C631" s="3" t="s">
        <v>555</v>
      </c>
      <c r="D631" s="3" t="s">
        <v>1427</v>
      </c>
      <c r="E631" s="3" t="s">
        <v>1428</v>
      </c>
      <c r="F631" s="3">
        <v>12.1</v>
      </c>
      <c r="G631" s="3" t="s">
        <v>1429</v>
      </c>
      <c r="H631" s="3">
        <v>4</v>
      </c>
      <c r="I631" s="3">
        <v>11</v>
      </c>
      <c r="J631" s="5" t="s">
        <v>1426</v>
      </c>
      <c r="K631" s="3" t="s">
        <v>1431</v>
      </c>
    </row>
    <row r="632" spans="1:11" x14ac:dyDescent="0.2">
      <c r="A632" s="2" t="s">
        <v>549</v>
      </c>
      <c r="B632" s="2" t="s">
        <v>554</v>
      </c>
      <c r="C632" s="2" t="s">
        <v>555</v>
      </c>
      <c r="D632" s="2" t="s">
        <v>1450</v>
      </c>
      <c r="E632" s="2" t="s">
        <v>1451</v>
      </c>
      <c r="F632" s="2">
        <v>60.11</v>
      </c>
      <c r="G632" s="2" t="s">
        <v>1452</v>
      </c>
      <c r="H632" s="2">
        <v>60</v>
      </c>
      <c r="I632" s="2">
        <v>120</v>
      </c>
      <c r="J632" s="2" t="s">
        <v>1416</v>
      </c>
      <c r="K632" s="2" t="s">
        <v>1434</v>
      </c>
    </row>
    <row r="633" spans="1:11" x14ac:dyDescent="0.2">
      <c r="A633" s="3" t="s">
        <v>549</v>
      </c>
      <c r="B633" s="3" t="s">
        <v>554</v>
      </c>
      <c r="C633" s="3" t="s">
        <v>555</v>
      </c>
      <c r="D633" s="3" t="s">
        <v>1421</v>
      </c>
      <c r="E633" s="3" t="s">
        <v>1422</v>
      </c>
      <c r="F633" s="3">
        <v>6.77</v>
      </c>
      <c r="G633" s="3" t="s">
        <v>1415</v>
      </c>
      <c r="H633" s="3">
        <v>0</v>
      </c>
      <c r="I633" s="3">
        <v>5</v>
      </c>
      <c r="J633" s="5" t="s">
        <v>1426</v>
      </c>
      <c r="K633" s="3" t="s">
        <v>1417</v>
      </c>
    </row>
    <row r="634" spans="1:11" x14ac:dyDescent="0.2">
      <c r="A634" s="2" t="s">
        <v>549</v>
      </c>
      <c r="B634" s="2" t="s">
        <v>557</v>
      </c>
      <c r="C634" s="2" t="s">
        <v>558</v>
      </c>
      <c r="D634" s="2" t="s">
        <v>1432</v>
      </c>
      <c r="E634" s="2" t="s">
        <v>1433</v>
      </c>
      <c r="F634" s="2">
        <v>1.41</v>
      </c>
      <c r="G634" s="2" t="s">
        <v>1415</v>
      </c>
      <c r="H634" s="2">
        <v>0</v>
      </c>
      <c r="I634" s="2">
        <v>3</v>
      </c>
      <c r="J634" s="2" t="s">
        <v>1416</v>
      </c>
      <c r="K634" s="2" t="s">
        <v>1420</v>
      </c>
    </row>
    <row r="635" spans="1:11" x14ac:dyDescent="0.2">
      <c r="A635" s="3" t="s">
        <v>549</v>
      </c>
      <c r="B635" s="3" t="s">
        <v>557</v>
      </c>
      <c r="C635" s="3" t="s">
        <v>558</v>
      </c>
      <c r="D635" s="3" t="s">
        <v>1437</v>
      </c>
      <c r="E635" s="3" t="s">
        <v>1438</v>
      </c>
      <c r="F635" s="3">
        <v>14.41</v>
      </c>
      <c r="G635" s="3" t="s">
        <v>1439</v>
      </c>
      <c r="H635" s="3">
        <v>12</v>
      </c>
      <c r="I635" s="3">
        <v>17.5</v>
      </c>
      <c r="J635" s="3" t="s">
        <v>1416</v>
      </c>
      <c r="K635" s="3" t="s">
        <v>1431</v>
      </c>
    </row>
    <row r="636" spans="1:11" x14ac:dyDescent="0.2">
      <c r="A636" s="2" t="s">
        <v>549</v>
      </c>
      <c r="B636" s="2" t="s">
        <v>557</v>
      </c>
      <c r="C636" s="2" t="s">
        <v>558</v>
      </c>
      <c r="D636" s="2" t="s">
        <v>1446</v>
      </c>
      <c r="E636" s="2" t="s">
        <v>1447</v>
      </c>
      <c r="F636" s="2">
        <v>2.12</v>
      </c>
      <c r="G636" s="2" t="s">
        <v>1415</v>
      </c>
      <c r="H636" s="2">
        <v>2.1</v>
      </c>
      <c r="I636" s="2">
        <v>2.6</v>
      </c>
      <c r="J636" s="2" t="s">
        <v>1416</v>
      </c>
      <c r="K636" s="2" t="s">
        <v>1434</v>
      </c>
    </row>
    <row r="637" spans="1:11" x14ac:dyDescent="0.2">
      <c r="A637" s="3" t="s">
        <v>549</v>
      </c>
      <c r="B637" s="3" t="s">
        <v>557</v>
      </c>
      <c r="C637" s="3" t="s">
        <v>558</v>
      </c>
      <c r="D637" s="3" t="s">
        <v>1418</v>
      </c>
      <c r="E637" s="3" t="s">
        <v>1419</v>
      </c>
      <c r="F637" s="3">
        <v>3.38</v>
      </c>
      <c r="G637" s="3" t="s">
        <v>1415</v>
      </c>
      <c r="H637" s="3">
        <v>3.5</v>
      </c>
      <c r="I637" s="3">
        <v>5</v>
      </c>
      <c r="J637" s="5" t="s">
        <v>1430</v>
      </c>
      <c r="K637" s="3" t="s">
        <v>1420</v>
      </c>
    </row>
    <row r="638" spans="1:11" x14ac:dyDescent="0.2">
      <c r="A638" s="2" t="s">
        <v>549</v>
      </c>
      <c r="B638" s="2" t="s">
        <v>557</v>
      </c>
      <c r="C638" s="2" t="s">
        <v>558</v>
      </c>
      <c r="D638" s="2" t="s">
        <v>1435</v>
      </c>
      <c r="E638" s="2" t="s">
        <v>1436</v>
      </c>
      <c r="F638" s="2">
        <v>0.54</v>
      </c>
      <c r="G638" s="2" t="s">
        <v>1415</v>
      </c>
      <c r="H638" s="2">
        <v>0.8</v>
      </c>
      <c r="I638" s="2">
        <v>1.5</v>
      </c>
      <c r="J638" s="5" t="s">
        <v>1430</v>
      </c>
      <c r="K638" s="2" t="s">
        <v>1420</v>
      </c>
    </row>
    <row r="639" spans="1:11" x14ac:dyDescent="0.2">
      <c r="A639" s="3" t="s">
        <v>549</v>
      </c>
      <c r="B639" s="3" t="s">
        <v>557</v>
      </c>
      <c r="C639" s="3" t="s">
        <v>558</v>
      </c>
      <c r="D639" s="3" t="s">
        <v>1440</v>
      </c>
      <c r="E639" s="3" t="s">
        <v>1441</v>
      </c>
      <c r="F639" s="3">
        <v>6.06</v>
      </c>
      <c r="G639" s="3" t="s">
        <v>1442</v>
      </c>
      <c r="H639" s="3">
        <v>4</v>
      </c>
      <c r="I639" s="3">
        <v>5.6</v>
      </c>
      <c r="J639" s="5" t="s">
        <v>1426</v>
      </c>
      <c r="K639" s="3" t="s">
        <v>1434</v>
      </c>
    </row>
    <row r="640" spans="1:11" x14ac:dyDescent="0.2">
      <c r="A640" s="2" t="s">
        <v>560</v>
      </c>
      <c r="B640" s="2" t="s">
        <v>561</v>
      </c>
      <c r="C640" s="2" t="s">
        <v>548</v>
      </c>
      <c r="D640" s="2" t="s">
        <v>1421</v>
      </c>
      <c r="E640" s="2" t="s">
        <v>1422</v>
      </c>
      <c r="F640" s="2">
        <v>6.53</v>
      </c>
      <c r="G640" s="2" t="s">
        <v>1415</v>
      </c>
      <c r="H640" s="2">
        <v>0</v>
      </c>
      <c r="I640" s="2">
        <v>5</v>
      </c>
      <c r="J640" s="5" t="s">
        <v>1426</v>
      </c>
      <c r="K640" s="2" t="s">
        <v>1420</v>
      </c>
    </row>
    <row r="641" spans="1:11" x14ac:dyDescent="0.2">
      <c r="A641" s="3" t="s">
        <v>560</v>
      </c>
      <c r="B641" s="3" t="s">
        <v>561</v>
      </c>
      <c r="C641" s="3" t="s">
        <v>548</v>
      </c>
      <c r="D641" s="3" t="s">
        <v>1423</v>
      </c>
      <c r="E641" s="3" t="s">
        <v>1424</v>
      </c>
      <c r="F641" s="3">
        <v>3.56</v>
      </c>
      <c r="G641" s="3" t="s">
        <v>1425</v>
      </c>
      <c r="H641" s="3">
        <v>4.5</v>
      </c>
      <c r="I641" s="3">
        <v>5.5</v>
      </c>
      <c r="J641" s="5" t="s">
        <v>1430</v>
      </c>
      <c r="K641" s="3" t="s">
        <v>1431</v>
      </c>
    </row>
    <row r="642" spans="1:11" x14ac:dyDescent="0.2">
      <c r="A642" s="2" t="s">
        <v>560</v>
      </c>
      <c r="B642" s="2" t="s">
        <v>561</v>
      </c>
      <c r="C642" s="2" t="s">
        <v>548</v>
      </c>
      <c r="D642" s="2" t="s">
        <v>1443</v>
      </c>
      <c r="E642" s="2" t="s">
        <v>1444</v>
      </c>
      <c r="F642" s="2">
        <v>80.540000000000006</v>
      </c>
      <c r="G642" s="2" t="s">
        <v>1445</v>
      </c>
      <c r="H642" s="2">
        <v>53</v>
      </c>
      <c r="I642" s="2">
        <v>97</v>
      </c>
      <c r="J642" s="2" t="s">
        <v>1416</v>
      </c>
      <c r="K642" s="2" t="s">
        <v>1434</v>
      </c>
    </row>
    <row r="643" spans="1:11" x14ac:dyDescent="0.2">
      <c r="A643" s="3" t="s">
        <v>560</v>
      </c>
      <c r="B643" s="3" t="s">
        <v>563</v>
      </c>
      <c r="C643" s="3" t="s">
        <v>564</v>
      </c>
      <c r="D643" s="3" t="s">
        <v>1413</v>
      </c>
      <c r="E643" s="3" t="s">
        <v>1414</v>
      </c>
      <c r="F643" s="3">
        <v>0.77</v>
      </c>
      <c r="G643" s="3" t="s">
        <v>1415</v>
      </c>
      <c r="H643" s="3">
        <v>1</v>
      </c>
      <c r="I643" s="3">
        <v>5</v>
      </c>
      <c r="J643" s="5" t="s">
        <v>1430</v>
      </c>
      <c r="K643" s="3" t="s">
        <v>1417</v>
      </c>
    </row>
    <row r="644" spans="1:11" x14ac:dyDescent="0.2">
      <c r="A644" s="2" t="s">
        <v>560</v>
      </c>
      <c r="B644" s="2" t="s">
        <v>563</v>
      </c>
      <c r="C644" s="2" t="s">
        <v>564</v>
      </c>
      <c r="D644" s="2" t="s">
        <v>1453</v>
      </c>
      <c r="E644" s="2" t="s">
        <v>1454</v>
      </c>
      <c r="F644" s="2">
        <v>4.2300000000000004</v>
      </c>
      <c r="G644" s="2" t="s">
        <v>1415</v>
      </c>
      <c r="H644" s="2">
        <v>3.9</v>
      </c>
      <c r="I644" s="2">
        <v>5.5</v>
      </c>
      <c r="J644" s="2" t="s">
        <v>1416</v>
      </c>
      <c r="K644" s="2" t="s">
        <v>1420</v>
      </c>
    </row>
    <row r="645" spans="1:11" x14ac:dyDescent="0.2">
      <c r="A645" s="3" t="s">
        <v>560</v>
      </c>
      <c r="B645" s="3" t="s">
        <v>563</v>
      </c>
      <c r="C645" s="3" t="s">
        <v>564</v>
      </c>
      <c r="D645" s="3" t="s">
        <v>1423</v>
      </c>
      <c r="E645" s="3" t="s">
        <v>1424</v>
      </c>
      <c r="F645" s="3">
        <v>3.28</v>
      </c>
      <c r="G645" s="3" t="s">
        <v>1425</v>
      </c>
      <c r="H645" s="3">
        <v>4.5</v>
      </c>
      <c r="I645" s="3">
        <v>5.5</v>
      </c>
      <c r="J645" s="5" t="s">
        <v>1430</v>
      </c>
      <c r="K645" s="3" t="s">
        <v>1420</v>
      </c>
    </row>
    <row r="646" spans="1:11" x14ac:dyDescent="0.2">
      <c r="A646" s="2" t="s">
        <v>560</v>
      </c>
      <c r="B646" s="2" t="s">
        <v>563</v>
      </c>
      <c r="C646" s="2" t="s">
        <v>564</v>
      </c>
      <c r="D646" s="2" t="s">
        <v>1450</v>
      </c>
      <c r="E646" s="2" t="s">
        <v>1451</v>
      </c>
      <c r="F646" s="2">
        <v>15.98</v>
      </c>
      <c r="G646" s="2" t="s">
        <v>1452</v>
      </c>
      <c r="H646" s="2">
        <v>60</v>
      </c>
      <c r="I646" s="2">
        <v>120</v>
      </c>
      <c r="J646" s="5" t="s">
        <v>1430</v>
      </c>
      <c r="K646" s="2" t="s">
        <v>1420</v>
      </c>
    </row>
    <row r="647" spans="1:11" x14ac:dyDescent="0.2">
      <c r="A647" s="3" t="s">
        <v>560</v>
      </c>
      <c r="B647" s="3" t="s">
        <v>566</v>
      </c>
      <c r="C647" s="3" t="s">
        <v>405</v>
      </c>
      <c r="D647" s="3" t="s">
        <v>1418</v>
      </c>
      <c r="E647" s="3" t="s">
        <v>1419</v>
      </c>
      <c r="F647" s="3">
        <v>4.87</v>
      </c>
      <c r="G647" s="3" t="s">
        <v>1415</v>
      </c>
      <c r="H647" s="3">
        <v>3.5</v>
      </c>
      <c r="I647" s="3">
        <v>5</v>
      </c>
      <c r="J647" s="3" t="s">
        <v>1416</v>
      </c>
      <c r="K647" s="3" t="s">
        <v>1431</v>
      </c>
    </row>
    <row r="648" spans="1:11" x14ac:dyDescent="0.2">
      <c r="A648" s="2" t="s">
        <v>560</v>
      </c>
      <c r="B648" s="2" t="s">
        <v>566</v>
      </c>
      <c r="C648" s="2" t="s">
        <v>405</v>
      </c>
      <c r="D648" s="2" t="s">
        <v>1427</v>
      </c>
      <c r="E648" s="2" t="s">
        <v>1428</v>
      </c>
      <c r="F648" s="2">
        <v>13.39</v>
      </c>
      <c r="G648" s="2" t="s">
        <v>1429</v>
      </c>
      <c r="H648" s="2">
        <v>4</v>
      </c>
      <c r="I648" s="2">
        <v>11</v>
      </c>
      <c r="J648" s="5" t="s">
        <v>1426</v>
      </c>
      <c r="K648" s="2" t="s">
        <v>1434</v>
      </c>
    </row>
    <row r="649" spans="1:11" x14ac:dyDescent="0.2">
      <c r="A649" s="3" t="s">
        <v>560</v>
      </c>
      <c r="B649" s="3" t="s">
        <v>566</v>
      </c>
      <c r="C649" s="3" t="s">
        <v>405</v>
      </c>
      <c r="D649" s="3" t="s">
        <v>1421</v>
      </c>
      <c r="E649" s="3" t="s">
        <v>1422</v>
      </c>
      <c r="F649" s="3">
        <v>4.83</v>
      </c>
      <c r="G649" s="3" t="s">
        <v>1415</v>
      </c>
      <c r="H649" s="3">
        <v>0</v>
      </c>
      <c r="I649" s="3">
        <v>5</v>
      </c>
      <c r="J649" s="3" t="s">
        <v>1416</v>
      </c>
      <c r="K649" s="3" t="s">
        <v>1434</v>
      </c>
    </row>
    <row r="650" spans="1:11" x14ac:dyDescent="0.2">
      <c r="A650" s="2" t="s">
        <v>560</v>
      </c>
      <c r="B650" s="2" t="s">
        <v>566</v>
      </c>
      <c r="C650" s="2" t="s">
        <v>405</v>
      </c>
      <c r="D650" s="2" t="s">
        <v>1432</v>
      </c>
      <c r="E650" s="2" t="s">
        <v>1433</v>
      </c>
      <c r="F650" s="2">
        <v>3.11</v>
      </c>
      <c r="G650" s="2" t="s">
        <v>1415</v>
      </c>
      <c r="H650" s="2">
        <v>0</v>
      </c>
      <c r="I650" s="2">
        <v>3</v>
      </c>
      <c r="J650" s="5" t="s">
        <v>1426</v>
      </c>
      <c r="K650" s="2" t="s">
        <v>1431</v>
      </c>
    </row>
    <row r="651" spans="1:11" x14ac:dyDescent="0.2">
      <c r="A651" s="3" t="s">
        <v>560</v>
      </c>
      <c r="B651" s="3" t="s">
        <v>566</v>
      </c>
      <c r="C651" s="3" t="s">
        <v>405</v>
      </c>
      <c r="D651" s="3" t="s">
        <v>1455</v>
      </c>
      <c r="E651" s="3" t="s">
        <v>1456</v>
      </c>
      <c r="F651" s="3">
        <v>37.58</v>
      </c>
      <c r="G651" s="3" t="s">
        <v>1457</v>
      </c>
      <c r="H651" s="3">
        <v>40</v>
      </c>
      <c r="I651" s="3">
        <v>130</v>
      </c>
      <c r="J651" s="5" t="s">
        <v>1430</v>
      </c>
      <c r="K651" s="3" t="s">
        <v>1417</v>
      </c>
    </row>
    <row r="652" spans="1:11" x14ac:dyDescent="0.2">
      <c r="A652" s="2" t="s">
        <v>568</v>
      </c>
      <c r="B652" s="2" t="s">
        <v>569</v>
      </c>
      <c r="C652" s="2" t="s">
        <v>570</v>
      </c>
      <c r="D652" s="2" t="s">
        <v>1423</v>
      </c>
      <c r="E652" s="2" t="s">
        <v>1424</v>
      </c>
      <c r="F652" s="2">
        <v>5.05</v>
      </c>
      <c r="G652" s="2" t="s">
        <v>1425</v>
      </c>
      <c r="H652" s="2">
        <v>4.5</v>
      </c>
      <c r="I652" s="2">
        <v>5.5</v>
      </c>
      <c r="J652" s="2" t="s">
        <v>1416</v>
      </c>
      <c r="K652" s="2" t="s">
        <v>1434</v>
      </c>
    </row>
    <row r="653" spans="1:11" x14ac:dyDescent="0.2">
      <c r="A653" s="3" t="s">
        <v>568</v>
      </c>
      <c r="B653" s="3" t="s">
        <v>569</v>
      </c>
      <c r="C653" s="3" t="s">
        <v>570</v>
      </c>
      <c r="D653" s="3" t="s">
        <v>1446</v>
      </c>
      <c r="E653" s="3" t="s">
        <v>1447</v>
      </c>
      <c r="F653" s="3">
        <v>2.86</v>
      </c>
      <c r="G653" s="3" t="s">
        <v>1415</v>
      </c>
      <c r="H653" s="3">
        <v>2.1</v>
      </c>
      <c r="I653" s="3">
        <v>2.6</v>
      </c>
      <c r="J653" s="5" t="s">
        <v>1426</v>
      </c>
      <c r="K653" s="3" t="s">
        <v>1434</v>
      </c>
    </row>
    <row r="654" spans="1:11" x14ac:dyDescent="0.2">
      <c r="A654" s="2" t="s">
        <v>568</v>
      </c>
      <c r="B654" s="2" t="s">
        <v>569</v>
      </c>
      <c r="C654" s="2" t="s">
        <v>570</v>
      </c>
      <c r="D654" s="2" t="s">
        <v>1443</v>
      </c>
      <c r="E654" s="2" t="s">
        <v>1444</v>
      </c>
      <c r="F654" s="2">
        <v>93.11</v>
      </c>
      <c r="G654" s="2" t="s">
        <v>1445</v>
      </c>
      <c r="H654" s="2">
        <v>53</v>
      </c>
      <c r="I654" s="2">
        <v>97</v>
      </c>
      <c r="J654" s="2" t="s">
        <v>1416</v>
      </c>
      <c r="K654" s="2" t="s">
        <v>1431</v>
      </c>
    </row>
    <row r="655" spans="1:11" x14ac:dyDescent="0.2">
      <c r="A655" s="3" t="s">
        <v>568</v>
      </c>
      <c r="B655" s="3" t="s">
        <v>569</v>
      </c>
      <c r="C655" s="3" t="s">
        <v>570</v>
      </c>
      <c r="D655" s="3" t="s">
        <v>1413</v>
      </c>
      <c r="E655" s="3" t="s">
        <v>1414</v>
      </c>
      <c r="F655" s="3">
        <v>2.0299999999999998</v>
      </c>
      <c r="G655" s="3" t="s">
        <v>1415</v>
      </c>
      <c r="H655" s="3">
        <v>1</v>
      </c>
      <c r="I655" s="3">
        <v>5</v>
      </c>
      <c r="J655" s="3" t="s">
        <v>1416</v>
      </c>
      <c r="K655" s="3" t="s">
        <v>1431</v>
      </c>
    </row>
    <row r="656" spans="1:11" x14ac:dyDescent="0.2">
      <c r="A656" s="2" t="s">
        <v>568</v>
      </c>
      <c r="B656" s="2" t="s">
        <v>569</v>
      </c>
      <c r="C656" s="2" t="s">
        <v>570</v>
      </c>
      <c r="D656" s="2" t="s">
        <v>1440</v>
      </c>
      <c r="E656" s="2" t="s">
        <v>1441</v>
      </c>
      <c r="F656" s="2">
        <v>10</v>
      </c>
      <c r="G656" s="2" t="s">
        <v>1442</v>
      </c>
      <c r="H656" s="2">
        <v>4</v>
      </c>
      <c r="I656" s="2">
        <v>5.6</v>
      </c>
      <c r="J656" s="5" t="s">
        <v>1426</v>
      </c>
      <c r="K656" s="2" t="s">
        <v>1431</v>
      </c>
    </row>
    <row r="657" spans="1:11" x14ac:dyDescent="0.2">
      <c r="A657" s="3" t="s">
        <v>568</v>
      </c>
      <c r="B657" s="3" t="s">
        <v>569</v>
      </c>
      <c r="C657" s="3" t="s">
        <v>570</v>
      </c>
      <c r="D657" s="3" t="s">
        <v>1437</v>
      </c>
      <c r="E657" s="3" t="s">
        <v>1438</v>
      </c>
      <c r="F657" s="3">
        <v>18.91</v>
      </c>
      <c r="G657" s="3" t="s">
        <v>1439</v>
      </c>
      <c r="H657" s="3">
        <v>12</v>
      </c>
      <c r="I657" s="3">
        <v>17.5</v>
      </c>
      <c r="J657" s="5" t="s">
        <v>1426</v>
      </c>
      <c r="K657" s="3" t="s">
        <v>1420</v>
      </c>
    </row>
    <row r="658" spans="1:11" x14ac:dyDescent="0.2">
      <c r="A658" s="2" t="s">
        <v>568</v>
      </c>
      <c r="B658" s="2" t="s">
        <v>573</v>
      </c>
      <c r="C658" s="2" t="s">
        <v>574</v>
      </c>
      <c r="D658" s="2" t="s">
        <v>1450</v>
      </c>
      <c r="E658" s="2" t="s">
        <v>1451</v>
      </c>
      <c r="F658" s="2">
        <v>113.43</v>
      </c>
      <c r="G658" s="2" t="s">
        <v>1452</v>
      </c>
      <c r="H658" s="2">
        <v>60</v>
      </c>
      <c r="I658" s="2">
        <v>120</v>
      </c>
      <c r="J658" s="2" t="s">
        <v>1416</v>
      </c>
      <c r="K658" s="2" t="s">
        <v>1417</v>
      </c>
    </row>
    <row r="659" spans="1:11" x14ac:dyDescent="0.2">
      <c r="A659" s="3" t="s">
        <v>568</v>
      </c>
      <c r="B659" s="3" t="s">
        <v>573</v>
      </c>
      <c r="C659" s="3" t="s">
        <v>574</v>
      </c>
      <c r="D659" s="3" t="s">
        <v>1440</v>
      </c>
      <c r="E659" s="3" t="s">
        <v>1441</v>
      </c>
      <c r="F659" s="3">
        <v>5.26</v>
      </c>
      <c r="G659" s="3" t="s">
        <v>1442</v>
      </c>
      <c r="H659" s="3">
        <v>4</v>
      </c>
      <c r="I659" s="3">
        <v>5.6</v>
      </c>
      <c r="J659" s="3" t="s">
        <v>1416</v>
      </c>
      <c r="K659" s="3" t="s">
        <v>1417</v>
      </c>
    </row>
    <row r="660" spans="1:11" x14ac:dyDescent="0.2">
      <c r="A660" s="2" t="s">
        <v>568</v>
      </c>
      <c r="B660" s="2" t="s">
        <v>573</v>
      </c>
      <c r="C660" s="2" t="s">
        <v>574</v>
      </c>
      <c r="D660" s="2" t="s">
        <v>1432</v>
      </c>
      <c r="E660" s="2" t="s">
        <v>1433</v>
      </c>
      <c r="F660" s="2">
        <v>2.11</v>
      </c>
      <c r="G660" s="2" t="s">
        <v>1415</v>
      </c>
      <c r="H660" s="2">
        <v>0</v>
      </c>
      <c r="I660" s="2">
        <v>3</v>
      </c>
      <c r="J660" s="2" t="s">
        <v>1416</v>
      </c>
      <c r="K660" s="2" t="s">
        <v>1434</v>
      </c>
    </row>
    <row r="661" spans="1:11" x14ac:dyDescent="0.2">
      <c r="A661" s="3" t="s">
        <v>568</v>
      </c>
      <c r="B661" s="3" t="s">
        <v>573</v>
      </c>
      <c r="C661" s="3" t="s">
        <v>574</v>
      </c>
      <c r="D661" s="3" t="s">
        <v>1413</v>
      </c>
      <c r="E661" s="3" t="s">
        <v>1414</v>
      </c>
      <c r="F661" s="3">
        <v>2.14</v>
      </c>
      <c r="G661" s="3" t="s">
        <v>1415</v>
      </c>
      <c r="H661" s="3">
        <v>1</v>
      </c>
      <c r="I661" s="3">
        <v>5</v>
      </c>
      <c r="J661" s="3" t="s">
        <v>1416</v>
      </c>
      <c r="K661" s="3" t="s">
        <v>1417</v>
      </c>
    </row>
    <row r="662" spans="1:11" x14ac:dyDescent="0.2">
      <c r="A662" s="2" t="s">
        <v>568</v>
      </c>
      <c r="B662" s="2" t="s">
        <v>573</v>
      </c>
      <c r="C662" s="2" t="s">
        <v>574</v>
      </c>
      <c r="D662" s="2" t="s">
        <v>1455</v>
      </c>
      <c r="E662" s="2" t="s">
        <v>1456</v>
      </c>
      <c r="F662" s="2">
        <v>61.17</v>
      </c>
      <c r="G662" s="2" t="s">
        <v>1457</v>
      </c>
      <c r="H662" s="2">
        <v>40</v>
      </c>
      <c r="I662" s="2">
        <v>130</v>
      </c>
      <c r="J662" s="2" t="s">
        <v>1416</v>
      </c>
      <c r="K662" s="2" t="s">
        <v>1434</v>
      </c>
    </row>
    <row r="663" spans="1:11" x14ac:dyDescent="0.2">
      <c r="A663" s="3" t="s">
        <v>568</v>
      </c>
      <c r="B663" s="3" t="s">
        <v>573</v>
      </c>
      <c r="C663" s="3" t="s">
        <v>574</v>
      </c>
      <c r="D663" s="3" t="s">
        <v>1423</v>
      </c>
      <c r="E663" s="3" t="s">
        <v>1424</v>
      </c>
      <c r="F663" s="3">
        <v>3.43</v>
      </c>
      <c r="G663" s="3" t="s">
        <v>1425</v>
      </c>
      <c r="H663" s="3">
        <v>4.5</v>
      </c>
      <c r="I663" s="3">
        <v>5.5</v>
      </c>
      <c r="J663" s="5" t="s">
        <v>1430</v>
      </c>
      <c r="K663" s="3" t="s">
        <v>1420</v>
      </c>
    </row>
    <row r="664" spans="1:11" x14ac:dyDescent="0.2">
      <c r="A664" s="2" t="s">
        <v>568</v>
      </c>
      <c r="B664" s="2" t="s">
        <v>576</v>
      </c>
      <c r="C664" s="2" t="s">
        <v>577</v>
      </c>
      <c r="D664" s="2" t="s">
        <v>1446</v>
      </c>
      <c r="E664" s="2" t="s">
        <v>1447</v>
      </c>
      <c r="F664" s="2">
        <v>2.1800000000000002</v>
      </c>
      <c r="G664" s="2" t="s">
        <v>1415</v>
      </c>
      <c r="H664" s="2">
        <v>2.1</v>
      </c>
      <c r="I664" s="2">
        <v>2.6</v>
      </c>
      <c r="J664" s="2" t="s">
        <v>1416</v>
      </c>
      <c r="K664" s="2" t="s">
        <v>1420</v>
      </c>
    </row>
    <row r="665" spans="1:11" x14ac:dyDescent="0.2">
      <c r="A665" s="3" t="s">
        <v>568</v>
      </c>
      <c r="B665" s="3" t="s">
        <v>576</v>
      </c>
      <c r="C665" s="3" t="s">
        <v>577</v>
      </c>
      <c r="D665" s="3" t="s">
        <v>1450</v>
      </c>
      <c r="E665" s="3" t="s">
        <v>1451</v>
      </c>
      <c r="F665" s="3">
        <v>33.57</v>
      </c>
      <c r="G665" s="3" t="s">
        <v>1452</v>
      </c>
      <c r="H665" s="3">
        <v>60</v>
      </c>
      <c r="I665" s="3">
        <v>120</v>
      </c>
      <c r="J665" s="5" t="s">
        <v>1430</v>
      </c>
      <c r="K665" s="3" t="s">
        <v>1420</v>
      </c>
    </row>
    <row r="666" spans="1:11" x14ac:dyDescent="0.2">
      <c r="A666" s="2" t="s">
        <v>568</v>
      </c>
      <c r="B666" s="2" t="s">
        <v>576</v>
      </c>
      <c r="C666" s="2" t="s">
        <v>577</v>
      </c>
      <c r="D666" s="2" t="s">
        <v>1455</v>
      </c>
      <c r="E666" s="2" t="s">
        <v>1456</v>
      </c>
      <c r="F666" s="2">
        <v>214.48</v>
      </c>
      <c r="G666" s="2" t="s">
        <v>1457</v>
      </c>
      <c r="H666" s="2">
        <v>40</v>
      </c>
      <c r="I666" s="2">
        <v>130</v>
      </c>
      <c r="J666" s="5" t="s">
        <v>1426</v>
      </c>
      <c r="K666" s="2" t="s">
        <v>1420</v>
      </c>
    </row>
    <row r="667" spans="1:11" x14ac:dyDescent="0.2">
      <c r="A667" s="3" t="s">
        <v>568</v>
      </c>
      <c r="B667" s="3" t="s">
        <v>576</v>
      </c>
      <c r="C667" s="3" t="s">
        <v>577</v>
      </c>
      <c r="D667" s="3" t="s">
        <v>1453</v>
      </c>
      <c r="E667" s="3" t="s">
        <v>1454</v>
      </c>
      <c r="F667" s="3">
        <v>4.45</v>
      </c>
      <c r="G667" s="3" t="s">
        <v>1415</v>
      </c>
      <c r="H667" s="3">
        <v>3.9</v>
      </c>
      <c r="I667" s="3">
        <v>5.5</v>
      </c>
      <c r="J667" s="3" t="s">
        <v>1416</v>
      </c>
      <c r="K667" s="3" t="s">
        <v>1431</v>
      </c>
    </row>
    <row r="668" spans="1:11" x14ac:dyDescent="0.2">
      <c r="A668" s="2" t="s">
        <v>568</v>
      </c>
      <c r="B668" s="2" t="s">
        <v>576</v>
      </c>
      <c r="C668" s="2" t="s">
        <v>577</v>
      </c>
      <c r="D668" s="2" t="s">
        <v>1448</v>
      </c>
      <c r="E668" s="2" t="s">
        <v>1449</v>
      </c>
      <c r="F668" s="2">
        <v>143.66</v>
      </c>
      <c r="G668" s="2" t="s">
        <v>1415</v>
      </c>
      <c r="H668" s="2">
        <v>136</v>
      </c>
      <c r="I668" s="2">
        <v>145</v>
      </c>
      <c r="J668" s="2" t="s">
        <v>1416</v>
      </c>
      <c r="K668" s="2" t="s">
        <v>1417</v>
      </c>
    </row>
    <row r="669" spans="1:11" x14ac:dyDescent="0.2">
      <c r="A669" s="3" t="s">
        <v>568</v>
      </c>
      <c r="B669" s="3" t="s">
        <v>576</v>
      </c>
      <c r="C669" s="3" t="s">
        <v>577</v>
      </c>
      <c r="D669" s="3" t="s">
        <v>1435</v>
      </c>
      <c r="E669" s="3" t="s">
        <v>1436</v>
      </c>
      <c r="F669" s="3">
        <v>0.84</v>
      </c>
      <c r="G669" s="3" t="s">
        <v>1415</v>
      </c>
      <c r="H669" s="3">
        <v>0.8</v>
      </c>
      <c r="I669" s="3">
        <v>1.5</v>
      </c>
      <c r="J669" s="3" t="s">
        <v>1416</v>
      </c>
      <c r="K669" s="3" t="s">
        <v>1417</v>
      </c>
    </row>
    <row r="670" spans="1:11" x14ac:dyDescent="0.2">
      <c r="A670" s="2" t="s">
        <v>568</v>
      </c>
      <c r="B670" s="2" t="s">
        <v>576</v>
      </c>
      <c r="C670" s="2" t="s">
        <v>577</v>
      </c>
      <c r="D670" s="2" t="s">
        <v>1437</v>
      </c>
      <c r="E670" s="2" t="s">
        <v>1438</v>
      </c>
      <c r="F670" s="2">
        <v>18.72</v>
      </c>
      <c r="G670" s="2" t="s">
        <v>1439</v>
      </c>
      <c r="H670" s="2">
        <v>12</v>
      </c>
      <c r="I670" s="2">
        <v>17.5</v>
      </c>
      <c r="J670" s="5" t="s">
        <v>1426</v>
      </c>
      <c r="K670" s="2" t="s">
        <v>1417</v>
      </c>
    </row>
    <row r="671" spans="1:11" x14ac:dyDescent="0.2">
      <c r="A671" s="3" t="s">
        <v>568</v>
      </c>
      <c r="B671" s="3" t="s">
        <v>579</v>
      </c>
      <c r="C671" s="3" t="s">
        <v>580</v>
      </c>
      <c r="D671" s="3" t="s">
        <v>1455</v>
      </c>
      <c r="E671" s="3" t="s">
        <v>1456</v>
      </c>
      <c r="F671" s="3">
        <v>158.30000000000001</v>
      </c>
      <c r="G671" s="3" t="s">
        <v>1457</v>
      </c>
      <c r="H671" s="3">
        <v>40</v>
      </c>
      <c r="I671" s="3">
        <v>130</v>
      </c>
      <c r="J671" s="5" t="s">
        <v>1426</v>
      </c>
      <c r="K671" s="3" t="s">
        <v>1431</v>
      </c>
    </row>
    <row r="672" spans="1:11" x14ac:dyDescent="0.2">
      <c r="A672" s="2" t="s">
        <v>568</v>
      </c>
      <c r="B672" s="2" t="s">
        <v>579</v>
      </c>
      <c r="C672" s="2" t="s">
        <v>580</v>
      </c>
      <c r="D672" s="2" t="s">
        <v>1440</v>
      </c>
      <c r="E672" s="2" t="s">
        <v>1441</v>
      </c>
      <c r="F672" s="2">
        <v>7.87</v>
      </c>
      <c r="G672" s="2" t="s">
        <v>1442</v>
      </c>
      <c r="H672" s="2">
        <v>4</v>
      </c>
      <c r="I672" s="2">
        <v>5.6</v>
      </c>
      <c r="J672" s="5" t="s">
        <v>1426</v>
      </c>
      <c r="K672" s="2" t="s">
        <v>1420</v>
      </c>
    </row>
    <row r="673" spans="1:11" x14ac:dyDescent="0.2">
      <c r="A673" s="3" t="s">
        <v>568</v>
      </c>
      <c r="B673" s="3" t="s">
        <v>579</v>
      </c>
      <c r="C673" s="3" t="s">
        <v>580</v>
      </c>
      <c r="D673" s="3" t="s">
        <v>1453</v>
      </c>
      <c r="E673" s="3" t="s">
        <v>1454</v>
      </c>
      <c r="F673" s="3">
        <v>5.87</v>
      </c>
      <c r="G673" s="3" t="s">
        <v>1415</v>
      </c>
      <c r="H673" s="3">
        <v>3.9</v>
      </c>
      <c r="I673" s="3">
        <v>5.5</v>
      </c>
      <c r="J673" s="5" t="s">
        <v>1426</v>
      </c>
      <c r="K673" s="3" t="s">
        <v>1417</v>
      </c>
    </row>
    <row r="674" spans="1:11" x14ac:dyDescent="0.2">
      <c r="A674" s="2" t="s">
        <v>568</v>
      </c>
      <c r="B674" s="2" t="s">
        <v>579</v>
      </c>
      <c r="C674" s="2" t="s">
        <v>580</v>
      </c>
      <c r="D674" s="2" t="s">
        <v>1423</v>
      </c>
      <c r="E674" s="2" t="s">
        <v>1424</v>
      </c>
      <c r="F674" s="2">
        <v>4.5199999999999996</v>
      </c>
      <c r="G674" s="2" t="s">
        <v>1425</v>
      </c>
      <c r="H674" s="2">
        <v>4.5</v>
      </c>
      <c r="I674" s="2">
        <v>5.5</v>
      </c>
      <c r="J674" s="2" t="s">
        <v>1416</v>
      </c>
      <c r="K674" s="2" t="s">
        <v>1420</v>
      </c>
    </row>
    <row r="675" spans="1:11" x14ac:dyDescent="0.2">
      <c r="A675" s="3" t="s">
        <v>568</v>
      </c>
      <c r="B675" s="3" t="s">
        <v>579</v>
      </c>
      <c r="C675" s="3" t="s">
        <v>580</v>
      </c>
      <c r="D675" s="3" t="s">
        <v>1448</v>
      </c>
      <c r="E675" s="3" t="s">
        <v>1449</v>
      </c>
      <c r="F675" s="3">
        <v>146.16</v>
      </c>
      <c r="G675" s="3" t="s">
        <v>1415</v>
      </c>
      <c r="H675" s="3">
        <v>136</v>
      </c>
      <c r="I675" s="3">
        <v>145</v>
      </c>
      <c r="J675" s="5" t="s">
        <v>1426</v>
      </c>
      <c r="K675" s="3" t="s">
        <v>1434</v>
      </c>
    </row>
    <row r="676" spans="1:11" x14ac:dyDescent="0.2">
      <c r="A676" s="2" t="s">
        <v>568</v>
      </c>
      <c r="B676" s="2" t="s">
        <v>579</v>
      </c>
      <c r="C676" s="2" t="s">
        <v>580</v>
      </c>
      <c r="D676" s="2" t="s">
        <v>1443</v>
      </c>
      <c r="E676" s="2" t="s">
        <v>1444</v>
      </c>
      <c r="F676" s="2">
        <v>79.819999999999993</v>
      </c>
      <c r="G676" s="2" t="s">
        <v>1445</v>
      </c>
      <c r="H676" s="2">
        <v>53</v>
      </c>
      <c r="I676" s="2">
        <v>97</v>
      </c>
      <c r="J676" s="2" t="s">
        <v>1416</v>
      </c>
      <c r="K676" s="2" t="s">
        <v>1434</v>
      </c>
    </row>
    <row r="677" spans="1:11" x14ac:dyDescent="0.2">
      <c r="A677" s="3" t="s">
        <v>568</v>
      </c>
      <c r="B677" s="3" t="s">
        <v>579</v>
      </c>
      <c r="C677" s="3" t="s">
        <v>580</v>
      </c>
      <c r="D677" s="3" t="s">
        <v>1432</v>
      </c>
      <c r="E677" s="3" t="s">
        <v>1433</v>
      </c>
      <c r="F677" s="3">
        <v>4.0199999999999996</v>
      </c>
      <c r="G677" s="3" t="s">
        <v>1415</v>
      </c>
      <c r="H677" s="3">
        <v>0</v>
      </c>
      <c r="I677" s="3">
        <v>3</v>
      </c>
      <c r="J677" s="5" t="s">
        <v>1426</v>
      </c>
      <c r="K677" s="3" t="s">
        <v>1431</v>
      </c>
    </row>
    <row r="678" spans="1:11" x14ac:dyDescent="0.2">
      <c r="A678" s="2" t="s">
        <v>568</v>
      </c>
      <c r="B678" s="2" t="s">
        <v>579</v>
      </c>
      <c r="C678" s="2" t="s">
        <v>580</v>
      </c>
      <c r="D678" s="2" t="s">
        <v>1413</v>
      </c>
      <c r="E678" s="2" t="s">
        <v>1414</v>
      </c>
      <c r="F678" s="2">
        <v>1.75</v>
      </c>
      <c r="G678" s="2" t="s">
        <v>1415</v>
      </c>
      <c r="H678" s="2">
        <v>1</v>
      </c>
      <c r="I678" s="2">
        <v>5</v>
      </c>
      <c r="J678" s="2" t="s">
        <v>1416</v>
      </c>
      <c r="K678" s="2" t="s">
        <v>1434</v>
      </c>
    </row>
    <row r="679" spans="1:11" x14ac:dyDescent="0.2">
      <c r="A679" s="3" t="s">
        <v>568</v>
      </c>
      <c r="B679" s="3" t="s">
        <v>581</v>
      </c>
      <c r="C679" s="3" t="s">
        <v>582</v>
      </c>
      <c r="D679" s="3" t="s">
        <v>1446</v>
      </c>
      <c r="E679" s="3" t="s">
        <v>1447</v>
      </c>
      <c r="F679" s="3">
        <v>1.99</v>
      </c>
      <c r="G679" s="3" t="s">
        <v>1415</v>
      </c>
      <c r="H679" s="3">
        <v>2.1</v>
      </c>
      <c r="I679" s="3">
        <v>2.6</v>
      </c>
      <c r="J679" s="5" t="s">
        <v>1430</v>
      </c>
      <c r="K679" s="3" t="s">
        <v>1417</v>
      </c>
    </row>
    <row r="680" spans="1:11" x14ac:dyDescent="0.2">
      <c r="A680" s="2" t="s">
        <v>568</v>
      </c>
      <c r="B680" s="2" t="s">
        <v>581</v>
      </c>
      <c r="C680" s="2" t="s">
        <v>582</v>
      </c>
      <c r="D680" s="2" t="s">
        <v>1453</v>
      </c>
      <c r="E680" s="2" t="s">
        <v>1454</v>
      </c>
      <c r="F680" s="2">
        <v>8.27</v>
      </c>
      <c r="G680" s="2" t="s">
        <v>1415</v>
      </c>
      <c r="H680" s="2">
        <v>3.9</v>
      </c>
      <c r="I680" s="2">
        <v>5.5</v>
      </c>
      <c r="J680" s="5" t="s">
        <v>1426</v>
      </c>
      <c r="K680" s="2" t="s">
        <v>1431</v>
      </c>
    </row>
    <row r="681" spans="1:11" x14ac:dyDescent="0.2">
      <c r="A681" s="3" t="s">
        <v>568</v>
      </c>
      <c r="B681" s="3" t="s">
        <v>581</v>
      </c>
      <c r="C681" s="3" t="s">
        <v>582</v>
      </c>
      <c r="D681" s="3" t="s">
        <v>1413</v>
      </c>
      <c r="E681" s="3" t="s">
        <v>1414</v>
      </c>
      <c r="F681" s="3">
        <v>1.28</v>
      </c>
      <c r="G681" s="3" t="s">
        <v>1415</v>
      </c>
      <c r="H681" s="3">
        <v>1</v>
      </c>
      <c r="I681" s="3">
        <v>5</v>
      </c>
      <c r="J681" s="3" t="s">
        <v>1416</v>
      </c>
      <c r="K681" s="3" t="s">
        <v>1417</v>
      </c>
    </row>
    <row r="682" spans="1:11" x14ac:dyDescent="0.2">
      <c r="A682" s="2" t="s">
        <v>568</v>
      </c>
      <c r="B682" s="2" t="s">
        <v>581</v>
      </c>
      <c r="C682" s="2" t="s">
        <v>582</v>
      </c>
      <c r="D682" s="2" t="s">
        <v>1418</v>
      </c>
      <c r="E682" s="2" t="s">
        <v>1419</v>
      </c>
      <c r="F682" s="2">
        <v>4.74</v>
      </c>
      <c r="G682" s="2" t="s">
        <v>1415</v>
      </c>
      <c r="H682" s="2">
        <v>3.5</v>
      </c>
      <c r="I682" s="2">
        <v>5</v>
      </c>
      <c r="J682" s="2" t="s">
        <v>1416</v>
      </c>
      <c r="K682" s="2" t="s">
        <v>1420</v>
      </c>
    </row>
    <row r="683" spans="1:11" x14ac:dyDescent="0.2">
      <c r="A683" s="3" t="s">
        <v>584</v>
      </c>
      <c r="B683" s="3" t="s">
        <v>585</v>
      </c>
      <c r="C683" s="3" t="s">
        <v>586</v>
      </c>
      <c r="D683" s="3" t="s">
        <v>1448</v>
      </c>
      <c r="E683" s="3" t="s">
        <v>1449</v>
      </c>
      <c r="F683" s="3">
        <v>135.69999999999999</v>
      </c>
      <c r="G683" s="3" t="s">
        <v>1415</v>
      </c>
      <c r="H683" s="3">
        <v>136</v>
      </c>
      <c r="I683" s="3">
        <v>145</v>
      </c>
      <c r="J683" s="5" t="s">
        <v>1430</v>
      </c>
      <c r="K683" s="3" t="s">
        <v>1434</v>
      </c>
    </row>
    <row r="684" spans="1:11" x14ac:dyDescent="0.2">
      <c r="A684" s="2" t="s">
        <v>584</v>
      </c>
      <c r="B684" s="2" t="s">
        <v>585</v>
      </c>
      <c r="C684" s="2" t="s">
        <v>586</v>
      </c>
      <c r="D684" s="2" t="s">
        <v>1437</v>
      </c>
      <c r="E684" s="2" t="s">
        <v>1438</v>
      </c>
      <c r="F684" s="2">
        <v>17.93</v>
      </c>
      <c r="G684" s="2" t="s">
        <v>1439</v>
      </c>
      <c r="H684" s="2">
        <v>12</v>
      </c>
      <c r="I684" s="2">
        <v>17.5</v>
      </c>
      <c r="J684" s="5" t="s">
        <v>1426</v>
      </c>
      <c r="K684" s="2" t="s">
        <v>1417</v>
      </c>
    </row>
    <row r="685" spans="1:11" x14ac:dyDescent="0.2">
      <c r="A685" s="3" t="s">
        <v>584</v>
      </c>
      <c r="B685" s="3" t="s">
        <v>585</v>
      </c>
      <c r="C685" s="3" t="s">
        <v>586</v>
      </c>
      <c r="D685" s="3" t="s">
        <v>1427</v>
      </c>
      <c r="E685" s="3" t="s">
        <v>1428</v>
      </c>
      <c r="F685" s="3">
        <v>14.41</v>
      </c>
      <c r="G685" s="3" t="s">
        <v>1429</v>
      </c>
      <c r="H685" s="3">
        <v>4</v>
      </c>
      <c r="I685" s="3">
        <v>11</v>
      </c>
      <c r="J685" s="5" t="s">
        <v>1426</v>
      </c>
      <c r="K685" s="3" t="s">
        <v>1431</v>
      </c>
    </row>
    <row r="686" spans="1:11" x14ac:dyDescent="0.2">
      <c r="A686" s="2" t="s">
        <v>584</v>
      </c>
      <c r="B686" s="2" t="s">
        <v>585</v>
      </c>
      <c r="C686" s="2" t="s">
        <v>586</v>
      </c>
      <c r="D686" s="2" t="s">
        <v>1455</v>
      </c>
      <c r="E686" s="2" t="s">
        <v>1456</v>
      </c>
      <c r="F686" s="2">
        <v>158.49</v>
      </c>
      <c r="G686" s="2" t="s">
        <v>1457</v>
      </c>
      <c r="H686" s="2">
        <v>40</v>
      </c>
      <c r="I686" s="2">
        <v>130</v>
      </c>
      <c r="J686" s="5" t="s">
        <v>1426</v>
      </c>
      <c r="K686" s="2" t="s">
        <v>1434</v>
      </c>
    </row>
    <row r="687" spans="1:11" x14ac:dyDescent="0.2">
      <c r="A687" s="3" t="s">
        <v>584</v>
      </c>
      <c r="B687" s="3" t="s">
        <v>585</v>
      </c>
      <c r="C687" s="3" t="s">
        <v>586</v>
      </c>
      <c r="D687" s="3" t="s">
        <v>1453</v>
      </c>
      <c r="E687" s="3" t="s">
        <v>1454</v>
      </c>
      <c r="F687" s="3">
        <v>5.59</v>
      </c>
      <c r="G687" s="3" t="s">
        <v>1415</v>
      </c>
      <c r="H687" s="3">
        <v>3.9</v>
      </c>
      <c r="I687" s="3">
        <v>5.5</v>
      </c>
      <c r="J687" s="5" t="s">
        <v>1426</v>
      </c>
      <c r="K687" s="3" t="s">
        <v>1417</v>
      </c>
    </row>
    <row r="688" spans="1:11" x14ac:dyDescent="0.2">
      <c r="A688" s="2" t="s">
        <v>584</v>
      </c>
      <c r="B688" s="2" t="s">
        <v>585</v>
      </c>
      <c r="C688" s="2" t="s">
        <v>586</v>
      </c>
      <c r="D688" s="2" t="s">
        <v>1446</v>
      </c>
      <c r="E688" s="2" t="s">
        <v>1447</v>
      </c>
      <c r="F688" s="2">
        <v>2.06</v>
      </c>
      <c r="G688" s="2" t="s">
        <v>1415</v>
      </c>
      <c r="H688" s="2">
        <v>2.1</v>
      </c>
      <c r="I688" s="2">
        <v>2.6</v>
      </c>
      <c r="J688" s="5" t="s">
        <v>1430</v>
      </c>
      <c r="K688" s="2" t="s">
        <v>1417</v>
      </c>
    </row>
    <row r="689" spans="1:11" x14ac:dyDescent="0.2">
      <c r="A689" s="3" t="s">
        <v>584</v>
      </c>
      <c r="B689" s="3" t="s">
        <v>589</v>
      </c>
      <c r="C689" s="3" t="s">
        <v>590</v>
      </c>
      <c r="D689" s="3" t="s">
        <v>1413</v>
      </c>
      <c r="E689" s="3" t="s">
        <v>1414</v>
      </c>
      <c r="F689" s="3">
        <v>1.52</v>
      </c>
      <c r="G689" s="3" t="s">
        <v>1415</v>
      </c>
      <c r="H689" s="3">
        <v>1</v>
      </c>
      <c r="I689" s="3">
        <v>5</v>
      </c>
      <c r="J689" s="3" t="s">
        <v>1416</v>
      </c>
      <c r="K689" s="3" t="s">
        <v>1417</v>
      </c>
    </row>
    <row r="690" spans="1:11" x14ac:dyDescent="0.2">
      <c r="A690" s="2" t="s">
        <v>584</v>
      </c>
      <c r="B690" s="2" t="s">
        <v>589</v>
      </c>
      <c r="C690" s="2" t="s">
        <v>590</v>
      </c>
      <c r="D690" s="2" t="s">
        <v>1448</v>
      </c>
      <c r="E690" s="2" t="s">
        <v>1449</v>
      </c>
      <c r="F690" s="2">
        <v>135.18</v>
      </c>
      <c r="G690" s="2" t="s">
        <v>1415</v>
      </c>
      <c r="H690" s="2">
        <v>136</v>
      </c>
      <c r="I690" s="2">
        <v>145</v>
      </c>
      <c r="J690" s="5" t="s">
        <v>1430</v>
      </c>
      <c r="K690" s="2" t="s">
        <v>1431</v>
      </c>
    </row>
    <row r="691" spans="1:11" x14ac:dyDescent="0.2">
      <c r="A691" s="3" t="s">
        <v>584</v>
      </c>
      <c r="B691" s="3" t="s">
        <v>589</v>
      </c>
      <c r="C691" s="3" t="s">
        <v>590</v>
      </c>
      <c r="D691" s="3" t="s">
        <v>1443</v>
      </c>
      <c r="E691" s="3" t="s">
        <v>1444</v>
      </c>
      <c r="F691" s="3">
        <v>67.81</v>
      </c>
      <c r="G691" s="3" t="s">
        <v>1445</v>
      </c>
      <c r="H691" s="3">
        <v>53</v>
      </c>
      <c r="I691" s="3">
        <v>97</v>
      </c>
      <c r="J691" s="3" t="s">
        <v>1416</v>
      </c>
      <c r="K691" s="3" t="s">
        <v>1434</v>
      </c>
    </row>
    <row r="692" spans="1:11" x14ac:dyDescent="0.2">
      <c r="A692" s="2" t="s">
        <v>584</v>
      </c>
      <c r="B692" s="2" t="s">
        <v>592</v>
      </c>
      <c r="C692" s="2" t="s">
        <v>593</v>
      </c>
      <c r="D692" s="2" t="s">
        <v>1450</v>
      </c>
      <c r="E692" s="2" t="s">
        <v>1451</v>
      </c>
      <c r="F692" s="2">
        <v>21.22</v>
      </c>
      <c r="G692" s="2" t="s">
        <v>1452</v>
      </c>
      <c r="H692" s="2">
        <v>60</v>
      </c>
      <c r="I692" s="2">
        <v>120</v>
      </c>
      <c r="J692" s="5" t="s">
        <v>1430</v>
      </c>
      <c r="K692" s="2" t="s">
        <v>1434</v>
      </c>
    </row>
    <row r="693" spans="1:11" x14ac:dyDescent="0.2">
      <c r="A693" s="3" t="s">
        <v>584</v>
      </c>
      <c r="B693" s="3" t="s">
        <v>592</v>
      </c>
      <c r="C693" s="3" t="s">
        <v>593</v>
      </c>
      <c r="D693" s="3" t="s">
        <v>1418</v>
      </c>
      <c r="E693" s="3" t="s">
        <v>1419</v>
      </c>
      <c r="F693" s="3">
        <v>5.39</v>
      </c>
      <c r="G693" s="3" t="s">
        <v>1415</v>
      </c>
      <c r="H693" s="3">
        <v>3.5</v>
      </c>
      <c r="I693" s="3">
        <v>5</v>
      </c>
      <c r="J693" s="5" t="s">
        <v>1426</v>
      </c>
      <c r="K693" s="3" t="s">
        <v>1417</v>
      </c>
    </row>
    <row r="694" spans="1:11" x14ac:dyDescent="0.2">
      <c r="A694" s="2" t="s">
        <v>584</v>
      </c>
      <c r="B694" s="2" t="s">
        <v>592</v>
      </c>
      <c r="C694" s="2" t="s">
        <v>593</v>
      </c>
      <c r="D694" s="2" t="s">
        <v>1443</v>
      </c>
      <c r="E694" s="2" t="s">
        <v>1444</v>
      </c>
      <c r="F694" s="2">
        <v>65.790000000000006</v>
      </c>
      <c r="G694" s="2" t="s">
        <v>1445</v>
      </c>
      <c r="H694" s="2">
        <v>53</v>
      </c>
      <c r="I694" s="2">
        <v>97</v>
      </c>
      <c r="J694" s="2" t="s">
        <v>1416</v>
      </c>
      <c r="K694" s="2" t="s">
        <v>1431</v>
      </c>
    </row>
    <row r="695" spans="1:11" x14ac:dyDescent="0.2">
      <c r="A695" s="3" t="s">
        <v>584</v>
      </c>
      <c r="B695" s="3" t="s">
        <v>592</v>
      </c>
      <c r="C695" s="3" t="s">
        <v>593</v>
      </c>
      <c r="D695" s="3" t="s">
        <v>1432</v>
      </c>
      <c r="E695" s="3" t="s">
        <v>1433</v>
      </c>
      <c r="F695" s="3">
        <v>1.52</v>
      </c>
      <c r="G695" s="3" t="s">
        <v>1415</v>
      </c>
      <c r="H695" s="3">
        <v>0</v>
      </c>
      <c r="I695" s="3">
        <v>3</v>
      </c>
      <c r="J695" s="3" t="s">
        <v>1416</v>
      </c>
      <c r="K695" s="3" t="s">
        <v>1434</v>
      </c>
    </row>
    <row r="696" spans="1:11" x14ac:dyDescent="0.2">
      <c r="A696" s="2" t="s">
        <v>584</v>
      </c>
      <c r="B696" s="2" t="s">
        <v>592</v>
      </c>
      <c r="C696" s="2" t="s">
        <v>593</v>
      </c>
      <c r="D696" s="2" t="s">
        <v>1446</v>
      </c>
      <c r="E696" s="2" t="s">
        <v>1447</v>
      </c>
      <c r="F696" s="2">
        <v>2.13</v>
      </c>
      <c r="G696" s="2" t="s">
        <v>1415</v>
      </c>
      <c r="H696" s="2">
        <v>2.1</v>
      </c>
      <c r="I696" s="2">
        <v>2.6</v>
      </c>
      <c r="J696" s="2" t="s">
        <v>1416</v>
      </c>
      <c r="K696" s="2" t="s">
        <v>1434</v>
      </c>
    </row>
    <row r="697" spans="1:11" x14ac:dyDescent="0.2">
      <c r="A697" s="3" t="s">
        <v>584</v>
      </c>
      <c r="B697" s="3" t="s">
        <v>592</v>
      </c>
      <c r="C697" s="3" t="s">
        <v>593</v>
      </c>
      <c r="D697" s="3" t="s">
        <v>1448</v>
      </c>
      <c r="E697" s="3" t="s">
        <v>1449</v>
      </c>
      <c r="F697" s="3">
        <v>137.47999999999999</v>
      </c>
      <c r="G697" s="3" t="s">
        <v>1415</v>
      </c>
      <c r="H697" s="3">
        <v>136</v>
      </c>
      <c r="I697" s="3">
        <v>145</v>
      </c>
      <c r="J697" s="3" t="s">
        <v>1416</v>
      </c>
      <c r="K697" s="3" t="s">
        <v>1417</v>
      </c>
    </row>
    <row r="698" spans="1:11" x14ac:dyDescent="0.2">
      <c r="A698" s="2" t="s">
        <v>584</v>
      </c>
      <c r="B698" s="2" t="s">
        <v>592</v>
      </c>
      <c r="C698" s="2" t="s">
        <v>593</v>
      </c>
      <c r="D698" s="2" t="s">
        <v>1421</v>
      </c>
      <c r="E698" s="2" t="s">
        <v>1422</v>
      </c>
      <c r="F698" s="2">
        <v>6.99</v>
      </c>
      <c r="G698" s="2" t="s">
        <v>1415</v>
      </c>
      <c r="H698" s="2">
        <v>0</v>
      </c>
      <c r="I698" s="2">
        <v>5</v>
      </c>
      <c r="J698" s="5" t="s">
        <v>1426</v>
      </c>
      <c r="K698" s="2" t="s">
        <v>1431</v>
      </c>
    </row>
    <row r="699" spans="1:11" x14ac:dyDescent="0.2">
      <c r="A699" s="3" t="s">
        <v>584</v>
      </c>
      <c r="B699" s="3" t="s">
        <v>594</v>
      </c>
      <c r="C699" s="3" t="s">
        <v>595</v>
      </c>
      <c r="D699" s="3" t="s">
        <v>1455</v>
      </c>
      <c r="E699" s="3" t="s">
        <v>1456</v>
      </c>
      <c r="F699" s="3">
        <v>82.65</v>
      </c>
      <c r="G699" s="3" t="s">
        <v>1457</v>
      </c>
      <c r="H699" s="3">
        <v>40</v>
      </c>
      <c r="I699" s="3">
        <v>130</v>
      </c>
      <c r="J699" s="3" t="s">
        <v>1416</v>
      </c>
      <c r="K699" s="3" t="s">
        <v>1420</v>
      </c>
    </row>
    <row r="700" spans="1:11" x14ac:dyDescent="0.2">
      <c r="A700" s="2" t="s">
        <v>584</v>
      </c>
      <c r="B700" s="2" t="s">
        <v>594</v>
      </c>
      <c r="C700" s="2" t="s">
        <v>595</v>
      </c>
      <c r="D700" s="2" t="s">
        <v>1413</v>
      </c>
      <c r="E700" s="2" t="s">
        <v>1414</v>
      </c>
      <c r="F700" s="2">
        <v>2.11</v>
      </c>
      <c r="G700" s="2" t="s">
        <v>1415</v>
      </c>
      <c r="H700" s="2">
        <v>1</v>
      </c>
      <c r="I700" s="2">
        <v>5</v>
      </c>
      <c r="J700" s="2" t="s">
        <v>1416</v>
      </c>
      <c r="K700" s="2" t="s">
        <v>1417</v>
      </c>
    </row>
    <row r="701" spans="1:11" x14ac:dyDescent="0.2">
      <c r="A701" s="3" t="s">
        <v>584</v>
      </c>
      <c r="B701" s="3" t="s">
        <v>594</v>
      </c>
      <c r="C701" s="3" t="s">
        <v>595</v>
      </c>
      <c r="D701" s="3" t="s">
        <v>1440</v>
      </c>
      <c r="E701" s="3" t="s">
        <v>1441</v>
      </c>
      <c r="F701" s="3">
        <v>8.09</v>
      </c>
      <c r="G701" s="3" t="s">
        <v>1442</v>
      </c>
      <c r="H701" s="3">
        <v>4</v>
      </c>
      <c r="I701" s="3">
        <v>5.6</v>
      </c>
      <c r="J701" s="5" t="s">
        <v>1426</v>
      </c>
      <c r="K701" s="3" t="s">
        <v>1431</v>
      </c>
    </row>
    <row r="702" spans="1:11" x14ac:dyDescent="0.2">
      <c r="A702" s="2" t="s">
        <v>584</v>
      </c>
      <c r="B702" s="2" t="s">
        <v>594</v>
      </c>
      <c r="C702" s="2" t="s">
        <v>595</v>
      </c>
      <c r="D702" s="2" t="s">
        <v>1443</v>
      </c>
      <c r="E702" s="2" t="s">
        <v>1444</v>
      </c>
      <c r="F702" s="2">
        <v>93.62</v>
      </c>
      <c r="G702" s="2" t="s">
        <v>1445</v>
      </c>
      <c r="H702" s="2">
        <v>53</v>
      </c>
      <c r="I702" s="2">
        <v>97</v>
      </c>
      <c r="J702" s="2" t="s">
        <v>1416</v>
      </c>
      <c r="K702" s="2" t="s">
        <v>1417</v>
      </c>
    </row>
    <row r="703" spans="1:11" x14ac:dyDescent="0.2">
      <c r="A703" s="3" t="s">
        <v>584</v>
      </c>
      <c r="B703" s="3" t="s">
        <v>594</v>
      </c>
      <c r="C703" s="3" t="s">
        <v>595</v>
      </c>
      <c r="D703" s="3" t="s">
        <v>1453</v>
      </c>
      <c r="E703" s="3" t="s">
        <v>1454</v>
      </c>
      <c r="F703" s="3">
        <v>5.77</v>
      </c>
      <c r="G703" s="3" t="s">
        <v>1415</v>
      </c>
      <c r="H703" s="3">
        <v>3.9</v>
      </c>
      <c r="I703" s="3">
        <v>5.5</v>
      </c>
      <c r="J703" s="5" t="s">
        <v>1426</v>
      </c>
      <c r="K703" s="3" t="s">
        <v>1417</v>
      </c>
    </row>
    <row r="704" spans="1:11" x14ac:dyDescent="0.2">
      <c r="A704" s="2" t="s">
        <v>584</v>
      </c>
      <c r="B704" s="2" t="s">
        <v>594</v>
      </c>
      <c r="C704" s="2" t="s">
        <v>595</v>
      </c>
      <c r="D704" s="2" t="s">
        <v>1418</v>
      </c>
      <c r="E704" s="2" t="s">
        <v>1419</v>
      </c>
      <c r="F704" s="2">
        <v>5.09</v>
      </c>
      <c r="G704" s="2" t="s">
        <v>1415</v>
      </c>
      <c r="H704" s="2">
        <v>3.5</v>
      </c>
      <c r="I704" s="2">
        <v>5</v>
      </c>
      <c r="J704" s="5" t="s">
        <v>1426</v>
      </c>
      <c r="K704" s="2" t="s">
        <v>1431</v>
      </c>
    </row>
    <row r="705" spans="1:11" x14ac:dyDescent="0.2">
      <c r="A705" s="3" t="s">
        <v>584</v>
      </c>
      <c r="B705" s="3" t="s">
        <v>594</v>
      </c>
      <c r="C705" s="3" t="s">
        <v>595</v>
      </c>
      <c r="D705" s="3" t="s">
        <v>1432</v>
      </c>
      <c r="E705" s="3" t="s">
        <v>1433</v>
      </c>
      <c r="F705" s="3">
        <v>1.5</v>
      </c>
      <c r="G705" s="3" t="s">
        <v>1415</v>
      </c>
      <c r="H705" s="3">
        <v>0</v>
      </c>
      <c r="I705" s="3">
        <v>3</v>
      </c>
      <c r="J705" s="3" t="s">
        <v>1416</v>
      </c>
      <c r="K705" s="3" t="s">
        <v>1431</v>
      </c>
    </row>
    <row r="706" spans="1:11" x14ac:dyDescent="0.2">
      <c r="A706" s="2" t="s">
        <v>584</v>
      </c>
      <c r="B706" s="2" t="s">
        <v>594</v>
      </c>
      <c r="C706" s="2" t="s">
        <v>595</v>
      </c>
      <c r="D706" s="2" t="s">
        <v>1446</v>
      </c>
      <c r="E706" s="2" t="s">
        <v>1447</v>
      </c>
      <c r="F706" s="2">
        <v>2.19</v>
      </c>
      <c r="G706" s="2" t="s">
        <v>1415</v>
      </c>
      <c r="H706" s="2">
        <v>2.1</v>
      </c>
      <c r="I706" s="2">
        <v>2.6</v>
      </c>
      <c r="J706" s="2" t="s">
        <v>1416</v>
      </c>
      <c r="K706" s="2" t="s">
        <v>1420</v>
      </c>
    </row>
    <row r="707" spans="1:11" x14ac:dyDescent="0.2">
      <c r="A707" s="3" t="s">
        <v>584</v>
      </c>
      <c r="B707" s="3" t="s">
        <v>597</v>
      </c>
      <c r="C707" s="3" t="s">
        <v>598</v>
      </c>
      <c r="D707" s="3" t="s">
        <v>1440</v>
      </c>
      <c r="E707" s="3" t="s">
        <v>1441</v>
      </c>
      <c r="F707" s="3">
        <v>8.25</v>
      </c>
      <c r="G707" s="3" t="s">
        <v>1442</v>
      </c>
      <c r="H707" s="3">
        <v>4</v>
      </c>
      <c r="I707" s="3">
        <v>5.6</v>
      </c>
      <c r="J707" s="5" t="s">
        <v>1426</v>
      </c>
      <c r="K707" s="3" t="s">
        <v>1420</v>
      </c>
    </row>
    <row r="708" spans="1:11" x14ac:dyDescent="0.2">
      <c r="A708" s="2" t="s">
        <v>584</v>
      </c>
      <c r="B708" s="2" t="s">
        <v>597</v>
      </c>
      <c r="C708" s="2" t="s">
        <v>598</v>
      </c>
      <c r="D708" s="2" t="s">
        <v>1448</v>
      </c>
      <c r="E708" s="2" t="s">
        <v>1449</v>
      </c>
      <c r="F708" s="2">
        <v>134.69999999999999</v>
      </c>
      <c r="G708" s="2" t="s">
        <v>1415</v>
      </c>
      <c r="H708" s="2">
        <v>136</v>
      </c>
      <c r="I708" s="2">
        <v>145</v>
      </c>
      <c r="J708" s="5" t="s">
        <v>1430</v>
      </c>
      <c r="K708" s="2" t="s">
        <v>1417</v>
      </c>
    </row>
    <row r="709" spans="1:11" x14ac:dyDescent="0.2">
      <c r="A709" s="3" t="s">
        <v>584</v>
      </c>
      <c r="B709" s="3" t="s">
        <v>597</v>
      </c>
      <c r="C709" s="3" t="s">
        <v>598</v>
      </c>
      <c r="D709" s="3" t="s">
        <v>1455</v>
      </c>
      <c r="E709" s="3" t="s">
        <v>1456</v>
      </c>
      <c r="F709" s="3">
        <v>114.1</v>
      </c>
      <c r="G709" s="3" t="s">
        <v>1457</v>
      </c>
      <c r="H709" s="3">
        <v>40</v>
      </c>
      <c r="I709" s="3">
        <v>130</v>
      </c>
      <c r="J709" s="3" t="s">
        <v>1416</v>
      </c>
      <c r="K709" s="3" t="s">
        <v>1434</v>
      </c>
    </row>
    <row r="710" spans="1:11" x14ac:dyDescent="0.2">
      <c r="A710" s="2" t="s">
        <v>584</v>
      </c>
      <c r="B710" s="2" t="s">
        <v>599</v>
      </c>
      <c r="C710" s="2" t="s">
        <v>600</v>
      </c>
      <c r="D710" s="2" t="s">
        <v>1446</v>
      </c>
      <c r="E710" s="2" t="s">
        <v>1447</v>
      </c>
      <c r="F710" s="2">
        <v>1.92</v>
      </c>
      <c r="G710" s="2" t="s">
        <v>1415</v>
      </c>
      <c r="H710" s="2">
        <v>2.1</v>
      </c>
      <c r="I710" s="2">
        <v>2.6</v>
      </c>
      <c r="J710" s="5" t="s">
        <v>1430</v>
      </c>
      <c r="K710" s="2" t="s">
        <v>1431</v>
      </c>
    </row>
    <row r="711" spans="1:11" x14ac:dyDescent="0.2">
      <c r="A711" s="3" t="s">
        <v>584</v>
      </c>
      <c r="B711" s="3" t="s">
        <v>599</v>
      </c>
      <c r="C711" s="3" t="s">
        <v>600</v>
      </c>
      <c r="D711" s="3" t="s">
        <v>1455</v>
      </c>
      <c r="E711" s="3" t="s">
        <v>1456</v>
      </c>
      <c r="F711" s="3">
        <v>268.63</v>
      </c>
      <c r="G711" s="3" t="s">
        <v>1457</v>
      </c>
      <c r="H711" s="3">
        <v>40</v>
      </c>
      <c r="I711" s="3">
        <v>130</v>
      </c>
      <c r="J711" s="5" t="s">
        <v>1426</v>
      </c>
      <c r="K711" s="3" t="s">
        <v>1431</v>
      </c>
    </row>
    <row r="712" spans="1:11" x14ac:dyDescent="0.2">
      <c r="A712" s="2" t="s">
        <v>584</v>
      </c>
      <c r="B712" s="2" t="s">
        <v>599</v>
      </c>
      <c r="C712" s="2" t="s">
        <v>600</v>
      </c>
      <c r="D712" s="2" t="s">
        <v>1440</v>
      </c>
      <c r="E712" s="2" t="s">
        <v>1441</v>
      </c>
      <c r="F712" s="2">
        <v>7.73</v>
      </c>
      <c r="G712" s="2" t="s">
        <v>1442</v>
      </c>
      <c r="H712" s="2">
        <v>4</v>
      </c>
      <c r="I712" s="2">
        <v>5.6</v>
      </c>
      <c r="J712" s="5" t="s">
        <v>1426</v>
      </c>
      <c r="K712" s="2" t="s">
        <v>1431</v>
      </c>
    </row>
    <row r="713" spans="1:11" x14ac:dyDescent="0.2">
      <c r="A713" s="3" t="s">
        <v>584</v>
      </c>
      <c r="B713" s="3" t="s">
        <v>599</v>
      </c>
      <c r="C713" s="3" t="s">
        <v>600</v>
      </c>
      <c r="D713" s="3" t="s">
        <v>1437</v>
      </c>
      <c r="E713" s="3" t="s">
        <v>1438</v>
      </c>
      <c r="F713" s="3">
        <v>13.81</v>
      </c>
      <c r="G713" s="3" t="s">
        <v>1439</v>
      </c>
      <c r="H713" s="3">
        <v>12</v>
      </c>
      <c r="I713" s="3">
        <v>17.5</v>
      </c>
      <c r="J713" s="3" t="s">
        <v>1416</v>
      </c>
      <c r="K713" s="3" t="s">
        <v>1431</v>
      </c>
    </row>
    <row r="714" spans="1:11" x14ac:dyDescent="0.2">
      <c r="A714" s="2" t="s">
        <v>584</v>
      </c>
      <c r="B714" s="2" t="s">
        <v>599</v>
      </c>
      <c r="C714" s="2" t="s">
        <v>600</v>
      </c>
      <c r="D714" s="2" t="s">
        <v>1448</v>
      </c>
      <c r="E714" s="2" t="s">
        <v>1449</v>
      </c>
      <c r="F714" s="2">
        <v>138.22</v>
      </c>
      <c r="G714" s="2" t="s">
        <v>1415</v>
      </c>
      <c r="H714" s="2">
        <v>136</v>
      </c>
      <c r="I714" s="2">
        <v>145</v>
      </c>
      <c r="J714" s="2" t="s">
        <v>1416</v>
      </c>
      <c r="K714" s="2" t="s">
        <v>1431</v>
      </c>
    </row>
    <row r="715" spans="1:11" x14ac:dyDescent="0.2">
      <c r="A715" s="3" t="s">
        <v>584</v>
      </c>
      <c r="B715" s="3" t="s">
        <v>599</v>
      </c>
      <c r="C715" s="3" t="s">
        <v>600</v>
      </c>
      <c r="D715" s="3" t="s">
        <v>1423</v>
      </c>
      <c r="E715" s="3" t="s">
        <v>1424</v>
      </c>
      <c r="F715" s="3">
        <v>5.92</v>
      </c>
      <c r="G715" s="3" t="s">
        <v>1425</v>
      </c>
      <c r="H715" s="3">
        <v>4.5</v>
      </c>
      <c r="I715" s="3">
        <v>5.5</v>
      </c>
      <c r="J715" s="5" t="s">
        <v>1426</v>
      </c>
      <c r="K715" s="3" t="s">
        <v>1434</v>
      </c>
    </row>
    <row r="716" spans="1:11" x14ac:dyDescent="0.2">
      <c r="A716" s="2" t="s">
        <v>602</v>
      </c>
      <c r="B716" s="2" t="s">
        <v>603</v>
      </c>
      <c r="C716" s="2" t="s">
        <v>604</v>
      </c>
      <c r="D716" s="2" t="s">
        <v>1446</v>
      </c>
      <c r="E716" s="2" t="s">
        <v>1447</v>
      </c>
      <c r="F716" s="2">
        <v>2.4</v>
      </c>
      <c r="G716" s="2" t="s">
        <v>1415</v>
      </c>
      <c r="H716" s="2">
        <v>2.1</v>
      </c>
      <c r="I716" s="2">
        <v>2.6</v>
      </c>
      <c r="J716" s="2" t="s">
        <v>1416</v>
      </c>
      <c r="K716" s="2" t="s">
        <v>1434</v>
      </c>
    </row>
    <row r="717" spans="1:11" x14ac:dyDescent="0.2">
      <c r="A717" s="3" t="s">
        <v>602</v>
      </c>
      <c r="B717" s="3" t="s">
        <v>603</v>
      </c>
      <c r="C717" s="3" t="s">
        <v>604</v>
      </c>
      <c r="D717" s="3" t="s">
        <v>1432</v>
      </c>
      <c r="E717" s="3" t="s">
        <v>1433</v>
      </c>
      <c r="F717" s="3">
        <v>3.86</v>
      </c>
      <c r="G717" s="3" t="s">
        <v>1415</v>
      </c>
      <c r="H717" s="3">
        <v>0</v>
      </c>
      <c r="I717" s="3">
        <v>3</v>
      </c>
      <c r="J717" s="5" t="s">
        <v>1426</v>
      </c>
      <c r="K717" s="3" t="s">
        <v>1417</v>
      </c>
    </row>
    <row r="718" spans="1:11" x14ac:dyDescent="0.2">
      <c r="A718" s="2" t="s">
        <v>602</v>
      </c>
      <c r="B718" s="2" t="s">
        <v>603</v>
      </c>
      <c r="C718" s="2" t="s">
        <v>604</v>
      </c>
      <c r="D718" s="2" t="s">
        <v>1443</v>
      </c>
      <c r="E718" s="2" t="s">
        <v>1444</v>
      </c>
      <c r="F718" s="2">
        <v>71.56</v>
      </c>
      <c r="G718" s="2" t="s">
        <v>1445</v>
      </c>
      <c r="H718" s="2">
        <v>53</v>
      </c>
      <c r="I718" s="2">
        <v>97</v>
      </c>
      <c r="J718" s="2" t="s">
        <v>1416</v>
      </c>
      <c r="K718" s="2" t="s">
        <v>1420</v>
      </c>
    </row>
    <row r="719" spans="1:11" x14ac:dyDescent="0.2">
      <c r="A719" s="3" t="s">
        <v>602</v>
      </c>
      <c r="B719" s="3" t="s">
        <v>603</v>
      </c>
      <c r="C719" s="3" t="s">
        <v>604</v>
      </c>
      <c r="D719" s="3" t="s">
        <v>1413</v>
      </c>
      <c r="E719" s="3" t="s">
        <v>1414</v>
      </c>
      <c r="F719" s="3">
        <v>1.23</v>
      </c>
      <c r="G719" s="3" t="s">
        <v>1415</v>
      </c>
      <c r="H719" s="3">
        <v>1</v>
      </c>
      <c r="I719" s="3">
        <v>5</v>
      </c>
      <c r="J719" s="3" t="s">
        <v>1416</v>
      </c>
      <c r="K719" s="3" t="s">
        <v>1417</v>
      </c>
    </row>
    <row r="720" spans="1:11" x14ac:dyDescent="0.2">
      <c r="A720" s="2" t="s">
        <v>602</v>
      </c>
      <c r="B720" s="2" t="s">
        <v>603</v>
      </c>
      <c r="C720" s="2" t="s">
        <v>604</v>
      </c>
      <c r="D720" s="2" t="s">
        <v>1435</v>
      </c>
      <c r="E720" s="2" t="s">
        <v>1436</v>
      </c>
      <c r="F720" s="2">
        <v>1.18</v>
      </c>
      <c r="G720" s="2" t="s">
        <v>1415</v>
      </c>
      <c r="H720" s="2">
        <v>0.8</v>
      </c>
      <c r="I720" s="2">
        <v>1.5</v>
      </c>
      <c r="J720" s="2" t="s">
        <v>1416</v>
      </c>
      <c r="K720" s="2" t="s">
        <v>1420</v>
      </c>
    </row>
    <row r="721" spans="1:11" x14ac:dyDescent="0.2">
      <c r="A721" s="3" t="s">
        <v>602</v>
      </c>
      <c r="B721" s="3" t="s">
        <v>607</v>
      </c>
      <c r="C721" s="3" t="s">
        <v>608</v>
      </c>
      <c r="D721" s="3" t="s">
        <v>1455</v>
      </c>
      <c r="E721" s="3" t="s">
        <v>1456</v>
      </c>
      <c r="F721" s="3">
        <v>167.08</v>
      </c>
      <c r="G721" s="3" t="s">
        <v>1457</v>
      </c>
      <c r="H721" s="3">
        <v>40</v>
      </c>
      <c r="I721" s="3">
        <v>130</v>
      </c>
      <c r="J721" s="5" t="s">
        <v>1426</v>
      </c>
      <c r="K721" s="3" t="s">
        <v>1431</v>
      </c>
    </row>
    <row r="722" spans="1:11" x14ac:dyDescent="0.2">
      <c r="A722" s="2" t="s">
        <v>602</v>
      </c>
      <c r="B722" s="2" t="s">
        <v>607</v>
      </c>
      <c r="C722" s="2" t="s">
        <v>608</v>
      </c>
      <c r="D722" s="2" t="s">
        <v>1440</v>
      </c>
      <c r="E722" s="2" t="s">
        <v>1441</v>
      </c>
      <c r="F722" s="2">
        <v>8.59</v>
      </c>
      <c r="G722" s="2" t="s">
        <v>1442</v>
      </c>
      <c r="H722" s="2">
        <v>4</v>
      </c>
      <c r="I722" s="2">
        <v>5.6</v>
      </c>
      <c r="J722" s="5" t="s">
        <v>1426</v>
      </c>
      <c r="K722" s="2" t="s">
        <v>1431</v>
      </c>
    </row>
    <row r="723" spans="1:11" x14ac:dyDescent="0.2">
      <c r="A723" s="3" t="s">
        <v>602</v>
      </c>
      <c r="B723" s="3" t="s">
        <v>607</v>
      </c>
      <c r="C723" s="3" t="s">
        <v>608</v>
      </c>
      <c r="D723" s="3" t="s">
        <v>1448</v>
      </c>
      <c r="E723" s="3" t="s">
        <v>1449</v>
      </c>
      <c r="F723" s="3">
        <v>141.13999999999999</v>
      </c>
      <c r="G723" s="3" t="s">
        <v>1415</v>
      </c>
      <c r="H723" s="3">
        <v>136</v>
      </c>
      <c r="I723" s="3">
        <v>145</v>
      </c>
      <c r="J723" s="3" t="s">
        <v>1416</v>
      </c>
      <c r="K723" s="3" t="s">
        <v>1417</v>
      </c>
    </row>
    <row r="724" spans="1:11" x14ac:dyDescent="0.2">
      <c r="A724" s="2" t="s">
        <v>602</v>
      </c>
      <c r="B724" s="2" t="s">
        <v>609</v>
      </c>
      <c r="C724" s="2" t="s">
        <v>293</v>
      </c>
      <c r="D724" s="2" t="s">
        <v>1446</v>
      </c>
      <c r="E724" s="2" t="s">
        <v>1447</v>
      </c>
      <c r="F724" s="2">
        <v>2.56</v>
      </c>
      <c r="G724" s="2" t="s">
        <v>1415</v>
      </c>
      <c r="H724" s="2">
        <v>2.1</v>
      </c>
      <c r="I724" s="2">
        <v>2.6</v>
      </c>
      <c r="J724" s="2" t="s">
        <v>1416</v>
      </c>
      <c r="K724" s="2" t="s">
        <v>1434</v>
      </c>
    </row>
    <row r="725" spans="1:11" x14ac:dyDescent="0.2">
      <c r="A725" s="3" t="s">
        <v>602</v>
      </c>
      <c r="B725" s="3" t="s">
        <v>609</v>
      </c>
      <c r="C725" s="3" t="s">
        <v>293</v>
      </c>
      <c r="D725" s="3" t="s">
        <v>1437</v>
      </c>
      <c r="E725" s="3" t="s">
        <v>1438</v>
      </c>
      <c r="F725" s="3">
        <v>18.940000000000001</v>
      </c>
      <c r="G725" s="3" t="s">
        <v>1439</v>
      </c>
      <c r="H725" s="3">
        <v>12</v>
      </c>
      <c r="I725" s="3">
        <v>17.5</v>
      </c>
      <c r="J725" s="5" t="s">
        <v>1426</v>
      </c>
      <c r="K725" s="3" t="s">
        <v>1434</v>
      </c>
    </row>
    <row r="726" spans="1:11" x14ac:dyDescent="0.2">
      <c r="A726" s="2" t="s">
        <v>602</v>
      </c>
      <c r="B726" s="2" t="s">
        <v>609</v>
      </c>
      <c r="C726" s="2" t="s">
        <v>293</v>
      </c>
      <c r="D726" s="2" t="s">
        <v>1435</v>
      </c>
      <c r="E726" s="2" t="s">
        <v>1436</v>
      </c>
      <c r="F726" s="2">
        <v>0.62</v>
      </c>
      <c r="G726" s="2" t="s">
        <v>1415</v>
      </c>
      <c r="H726" s="2">
        <v>0.8</v>
      </c>
      <c r="I726" s="2">
        <v>1.5</v>
      </c>
      <c r="J726" s="5" t="s">
        <v>1430</v>
      </c>
      <c r="K726" s="2" t="s">
        <v>1434</v>
      </c>
    </row>
    <row r="727" spans="1:11" x14ac:dyDescent="0.2">
      <c r="A727" s="3" t="s">
        <v>602</v>
      </c>
      <c r="B727" s="3" t="s">
        <v>609</v>
      </c>
      <c r="C727" s="3" t="s">
        <v>293</v>
      </c>
      <c r="D727" s="3" t="s">
        <v>1455</v>
      </c>
      <c r="E727" s="3" t="s">
        <v>1456</v>
      </c>
      <c r="F727" s="3">
        <v>227.2</v>
      </c>
      <c r="G727" s="3" t="s">
        <v>1457</v>
      </c>
      <c r="H727" s="3">
        <v>40</v>
      </c>
      <c r="I727" s="3">
        <v>130</v>
      </c>
      <c r="J727" s="5" t="s">
        <v>1426</v>
      </c>
      <c r="K727" s="3" t="s">
        <v>1417</v>
      </c>
    </row>
    <row r="728" spans="1:11" x14ac:dyDescent="0.2">
      <c r="A728" s="2" t="s">
        <v>602</v>
      </c>
      <c r="B728" s="2" t="s">
        <v>609</v>
      </c>
      <c r="C728" s="2" t="s">
        <v>293</v>
      </c>
      <c r="D728" s="2" t="s">
        <v>1418</v>
      </c>
      <c r="E728" s="2" t="s">
        <v>1419</v>
      </c>
      <c r="F728" s="2">
        <v>3.44</v>
      </c>
      <c r="G728" s="2" t="s">
        <v>1415</v>
      </c>
      <c r="H728" s="2">
        <v>3.5</v>
      </c>
      <c r="I728" s="2">
        <v>5</v>
      </c>
      <c r="J728" s="5" t="s">
        <v>1430</v>
      </c>
      <c r="K728" s="2" t="s">
        <v>1434</v>
      </c>
    </row>
    <row r="729" spans="1:11" x14ac:dyDescent="0.2">
      <c r="A729" s="3" t="s">
        <v>602</v>
      </c>
      <c r="B729" s="3" t="s">
        <v>610</v>
      </c>
      <c r="C729" s="3" t="s">
        <v>611</v>
      </c>
      <c r="D729" s="3" t="s">
        <v>1448</v>
      </c>
      <c r="E729" s="3" t="s">
        <v>1449</v>
      </c>
      <c r="F729" s="3">
        <v>136.34</v>
      </c>
      <c r="G729" s="3" t="s">
        <v>1415</v>
      </c>
      <c r="H729" s="3">
        <v>136</v>
      </c>
      <c r="I729" s="3">
        <v>145</v>
      </c>
      <c r="J729" s="3" t="s">
        <v>1416</v>
      </c>
      <c r="K729" s="3" t="s">
        <v>1417</v>
      </c>
    </row>
    <row r="730" spans="1:11" x14ac:dyDescent="0.2">
      <c r="A730" s="2" t="s">
        <v>602</v>
      </c>
      <c r="B730" s="2" t="s">
        <v>610</v>
      </c>
      <c r="C730" s="2" t="s">
        <v>611</v>
      </c>
      <c r="D730" s="2" t="s">
        <v>1427</v>
      </c>
      <c r="E730" s="2" t="s">
        <v>1428</v>
      </c>
      <c r="F730" s="2">
        <v>11.05</v>
      </c>
      <c r="G730" s="2" t="s">
        <v>1429</v>
      </c>
      <c r="H730" s="2">
        <v>4</v>
      </c>
      <c r="I730" s="2">
        <v>11</v>
      </c>
      <c r="J730" s="5" t="s">
        <v>1426</v>
      </c>
      <c r="K730" s="2" t="s">
        <v>1434</v>
      </c>
    </row>
    <row r="731" spans="1:11" x14ac:dyDescent="0.2">
      <c r="A731" s="3" t="s">
        <v>602</v>
      </c>
      <c r="B731" s="3" t="s">
        <v>610</v>
      </c>
      <c r="C731" s="3" t="s">
        <v>611</v>
      </c>
      <c r="D731" s="3" t="s">
        <v>1423</v>
      </c>
      <c r="E731" s="3" t="s">
        <v>1424</v>
      </c>
      <c r="F731" s="3">
        <v>3.59</v>
      </c>
      <c r="G731" s="3" t="s">
        <v>1425</v>
      </c>
      <c r="H731" s="3">
        <v>4.5</v>
      </c>
      <c r="I731" s="3">
        <v>5.5</v>
      </c>
      <c r="J731" s="5" t="s">
        <v>1430</v>
      </c>
      <c r="K731" s="3" t="s">
        <v>1417</v>
      </c>
    </row>
    <row r="732" spans="1:11" x14ac:dyDescent="0.2">
      <c r="A732" s="2" t="s">
        <v>602</v>
      </c>
      <c r="B732" s="2" t="s">
        <v>610</v>
      </c>
      <c r="C732" s="2" t="s">
        <v>611</v>
      </c>
      <c r="D732" s="2" t="s">
        <v>1443</v>
      </c>
      <c r="E732" s="2" t="s">
        <v>1444</v>
      </c>
      <c r="F732" s="2">
        <v>93.02</v>
      </c>
      <c r="G732" s="2" t="s">
        <v>1445</v>
      </c>
      <c r="H732" s="2">
        <v>53</v>
      </c>
      <c r="I732" s="2">
        <v>97</v>
      </c>
      <c r="J732" s="2" t="s">
        <v>1416</v>
      </c>
      <c r="K732" s="2" t="s">
        <v>1420</v>
      </c>
    </row>
    <row r="733" spans="1:11" x14ac:dyDescent="0.2">
      <c r="A733" s="3" t="s">
        <v>602</v>
      </c>
      <c r="B733" s="3" t="s">
        <v>610</v>
      </c>
      <c r="C733" s="3" t="s">
        <v>611</v>
      </c>
      <c r="D733" s="3" t="s">
        <v>1437</v>
      </c>
      <c r="E733" s="3" t="s">
        <v>1438</v>
      </c>
      <c r="F733" s="3">
        <v>18.579999999999998</v>
      </c>
      <c r="G733" s="3" t="s">
        <v>1439</v>
      </c>
      <c r="H733" s="3">
        <v>12</v>
      </c>
      <c r="I733" s="3">
        <v>17.5</v>
      </c>
      <c r="J733" s="5" t="s">
        <v>1426</v>
      </c>
      <c r="K733" s="3" t="s">
        <v>1417</v>
      </c>
    </row>
    <row r="734" spans="1:11" x14ac:dyDescent="0.2">
      <c r="A734" s="2" t="s">
        <v>602</v>
      </c>
      <c r="B734" s="2" t="s">
        <v>610</v>
      </c>
      <c r="C734" s="2" t="s">
        <v>611</v>
      </c>
      <c r="D734" s="2" t="s">
        <v>1413</v>
      </c>
      <c r="E734" s="2" t="s">
        <v>1414</v>
      </c>
      <c r="F734" s="2">
        <v>1.32</v>
      </c>
      <c r="G734" s="2" t="s">
        <v>1415</v>
      </c>
      <c r="H734" s="2">
        <v>1</v>
      </c>
      <c r="I734" s="2">
        <v>5</v>
      </c>
      <c r="J734" s="2" t="s">
        <v>1416</v>
      </c>
      <c r="K734" s="2" t="s">
        <v>1417</v>
      </c>
    </row>
    <row r="735" spans="1:11" x14ac:dyDescent="0.2">
      <c r="A735" s="3" t="s">
        <v>602</v>
      </c>
      <c r="B735" s="3" t="s">
        <v>610</v>
      </c>
      <c r="C735" s="3" t="s">
        <v>611</v>
      </c>
      <c r="D735" s="3" t="s">
        <v>1418</v>
      </c>
      <c r="E735" s="3" t="s">
        <v>1419</v>
      </c>
      <c r="F735" s="3">
        <v>3.22</v>
      </c>
      <c r="G735" s="3" t="s">
        <v>1415</v>
      </c>
      <c r="H735" s="3">
        <v>3.5</v>
      </c>
      <c r="I735" s="3">
        <v>5</v>
      </c>
      <c r="J735" s="5" t="s">
        <v>1430</v>
      </c>
      <c r="K735" s="3" t="s">
        <v>1420</v>
      </c>
    </row>
    <row r="736" spans="1:11" x14ac:dyDescent="0.2">
      <c r="A736" s="2" t="s">
        <v>602</v>
      </c>
      <c r="B736" s="2" t="s">
        <v>610</v>
      </c>
      <c r="C736" s="2" t="s">
        <v>611</v>
      </c>
      <c r="D736" s="2" t="s">
        <v>1421</v>
      </c>
      <c r="E736" s="2" t="s">
        <v>1422</v>
      </c>
      <c r="F736" s="2">
        <v>6.63</v>
      </c>
      <c r="G736" s="2" t="s">
        <v>1415</v>
      </c>
      <c r="H736" s="2">
        <v>0</v>
      </c>
      <c r="I736" s="2">
        <v>5</v>
      </c>
      <c r="J736" s="5" t="s">
        <v>1426</v>
      </c>
      <c r="K736" s="2" t="s">
        <v>1420</v>
      </c>
    </row>
    <row r="737" spans="1:11" x14ac:dyDescent="0.2">
      <c r="A737" s="3" t="s">
        <v>613</v>
      </c>
      <c r="B737" s="3" t="s">
        <v>614</v>
      </c>
      <c r="C737" s="3" t="s">
        <v>615</v>
      </c>
      <c r="D737" s="3" t="s">
        <v>1455</v>
      </c>
      <c r="E737" s="3" t="s">
        <v>1456</v>
      </c>
      <c r="F737" s="3">
        <v>245.46</v>
      </c>
      <c r="G737" s="3" t="s">
        <v>1457</v>
      </c>
      <c r="H737" s="3">
        <v>40</v>
      </c>
      <c r="I737" s="3">
        <v>130</v>
      </c>
      <c r="J737" s="5" t="s">
        <v>1426</v>
      </c>
      <c r="K737" s="3" t="s">
        <v>1434</v>
      </c>
    </row>
    <row r="738" spans="1:11" x14ac:dyDescent="0.2">
      <c r="A738" s="2" t="s">
        <v>613</v>
      </c>
      <c r="B738" s="2" t="s">
        <v>614</v>
      </c>
      <c r="C738" s="2" t="s">
        <v>615</v>
      </c>
      <c r="D738" s="2" t="s">
        <v>1437</v>
      </c>
      <c r="E738" s="2" t="s">
        <v>1438</v>
      </c>
      <c r="F738" s="2">
        <v>17.7</v>
      </c>
      <c r="G738" s="2" t="s">
        <v>1439</v>
      </c>
      <c r="H738" s="2">
        <v>12</v>
      </c>
      <c r="I738" s="2">
        <v>17.5</v>
      </c>
      <c r="J738" s="5" t="s">
        <v>1426</v>
      </c>
      <c r="K738" s="2" t="s">
        <v>1417</v>
      </c>
    </row>
    <row r="739" spans="1:11" x14ac:dyDescent="0.2">
      <c r="A739" s="3" t="s">
        <v>613</v>
      </c>
      <c r="B739" s="3" t="s">
        <v>614</v>
      </c>
      <c r="C739" s="3" t="s">
        <v>615</v>
      </c>
      <c r="D739" s="3" t="s">
        <v>1413</v>
      </c>
      <c r="E739" s="3" t="s">
        <v>1414</v>
      </c>
      <c r="F739" s="3">
        <v>0.75</v>
      </c>
      <c r="G739" s="3" t="s">
        <v>1415</v>
      </c>
      <c r="H739" s="3">
        <v>1</v>
      </c>
      <c r="I739" s="3">
        <v>5</v>
      </c>
      <c r="J739" s="5" t="s">
        <v>1430</v>
      </c>
      <c r="K739" s="3" t="s">
        <v>1434</v>
      </c>
    </row>
    <row r="740" spans="1:11" x14ac:dyDescent="0.2">
      <c r="A740" s="2" t="s">
        <v>613</v>
      </c>
      <c r="B740" s="2" t="s">
        <v>614</v>
      </c>
      <c r="C740" s="2" t="s">
        <v>615</v>
      </c>
      <c r="D740" s="2" t="s">
        <v>1450</v>
      </c>
      <c r="E740" s="2" t="s">
        <v>1451</v>
      </c>
      <c r="F740" s="2">
        <v>32.64</v>
      </c>
      <c r="G740" s="2" t="s">
        <v>1452</v>
      </c>
      <c r="H740" s="2">
        <v>60</v>
      </c>
      <c r="I740" s="2">
        <v>120</v>
      </c>
      <c r="J740" s="5" t="s">
        <v>1430</v>
      </c>
      <c r="K740" s="2" t="s">
        <v>1420</v>
      </c>
    </row>
    <row r="741" spans="1:11" x14ac:dyDescent="0.2">
      <c r="A741" s="3" t="s">
        <v>613</v>
      </c>
      <c r="B741" s="3" t="s">
        <v>614</v>
      </c>
      <c r="C741" s="3" t="s">
        <v>615</v>
      </c>
      <c r="D741" s="3" t="s">
        <v>1418</v>
      </c>
      <c r="E741" s="3" t="s">
        <v>1419</v>
      </c>
      <c r="F741" s="3">
        <v>5.13</v>
      </c>
      <c r="G741" s="3" t="s">
        <v>1415</v>
      </c>
      <c r="H741" s="3">
        <v>3.5</v>
      </c>
      <c r="I741" s="3">
        <v>5</v>
      </c>
      <c r="J741" s="5" t="s">
        <v>1426</v>
      </c>
      <c r="K741" s="3" t="s">
        <v>1420</v>
      </c>
    </row>
    <row r="742" spans="1:11" x14ac:dyDescent="0.2">
      <c r="A742" s="2" t="s">
        <v>613</v>
      </c>
      <c r="B742" s="2" t="s">
        <v>618</v>
      </c>
      <c r="C742" s="2" t="s">
        <v>619</v>
      </c>
      <c r="D742" s="2" t="s">
        <v>1440</v>
      </c>
      <c r="E742" s="2" t="s">
        <v>1441</v>
      </c>
      <c r="F742" s="2">
        <v>11.33</v>
      </c>
      <c r="G742" s="2" t="s">
        <v>1442</v>
      </c>
      <c r="H742" s="2">
        <v>4</v>
      </c>
      <c r="I742" s="2">
        <v>5.6</v>
      </c>
      <c r="J742" s="5" t="s">
        <v>1426</v>
      </c>
      <c r="K742" s="2" t="s">
        <v>1431</v>
      </c>
    </row>
    <row r="743" spans="1:11" x14ac:dyDescent="0.2">
      <c r="A743" s="3" t="s">
        <v>613</v>
      </c>
      <c r="B743" s="3" t="s">
        <v>618</v>
      </c>
      <c r="C743" s="3" t="s">
        <v>619</v>
      </c>
      <c r="D743" s="3" t="s">
        <v>1423</v>
      </c>
      <c r="E743" s="3" t="s">
        <v>1424</v>
      </c>
      <c r="F743" s="3">
        <v>4.8499999999999996</v>
      </c>
      <c r="G743" s="3" t="s">
        <v>1425</v>
      </c>
      <c r="H743" s="3">
        <v>4.5</v>
      </c>
      <c r="I743" s="3">
        <v>5.5</v>
      </c>
      <c r="J743" s="3" t="s">
        <v>1416</v>
      </c>
      <c r="K743" s="3" t="s">
        <v>1417</v>
      </c>
    </row>
    <row r="744" spans="1:11" x14ac:dyDescent="0.2">
      <c r="A744" s="2" t="s">
        <v>613</v>
      </c>
      <c r="B744" s="2" t="s">
        <v>618</v>
      </c>
      <c r="C744" s="2" t="s">
        <v>619</v>
      </c>
      <c r="D744" s="2" t="s">
        <v>1418</v>
      </c>
      <c r="E744" s="2" t="s">
        <v>1419</v>
      </c>
      <c r="F744" s="2">
        <v>5.1100000000000003</v>
      </c>
      <c r="G744" s="2" t="s">
        <v>1415</v>
      </c>
      <c r="H744" s="2">
        <v>3.5</v>
      </c>
      <c r="I744" s="2">
        <v>5</v>
      </c>
      <c r="J744" s="5" t="s">
        <v>1426</v>
      </c>
      <c r="K744" s="2" t="s">
        <v>1417</v>
      </c>
    </row>
    <row r="745" spans="1:11" x14ac:dyDescent="0.2">
      <c r="A745" s="3" t="s">
        <v>613</v>
      </c>
      <c r="B745" s="3" t="s">
        <v>618</v>
      </c>
      <c r="C745" s="3" t="s">
        <v>619</v>
      </c>
      <c r="D745" s="3" t="s">
        <v>1421</v>
      </c>
      <c r="E745" s="3" t="s">
        <v>1422</v>
      </c>
      <c r="F745" s="3">
        <v>4.0199999999999996</v>
      </c>
      <c r="G745" s="3" t="s">
        <v>1415</v>
      </c>
      <c r="H745" s="3">
        <v>0</v>
      </c>
      <c r="I745" s="3">
        <v>5</v>
      </c>
      <c r="J745" s="3" t="s">
        <v>1416</v>
      </c>
      <c r="K745" s="3" t="s">
        <v>1417</v>
      </c>
    </row>
    <row r="746" spans="1:11" x14ac:dyDescent="0.2">
      <c r="A746" s="2" t="s">
        <v>613</v>
      </c>
      <c r="B746" s="2" t="s">
        <v>618</v>
      </c>
      <c r="C746" s="2" t="s">
        <v>619</v>
      </c>
      <c r="D746" s="2" t="s">
        <v>1427</v>
      </c>
      <c r="E746" s="2" t="s">
        <v>1428</v>
      </c>
      <c r="F746" s="2">
        <v>17.649999999999999</v>
      </c>
      <c r="G746" s="2" t="s">
        <v>1429</v>
      </c>
      <c r="H746" s="2">
        <v>4</v>
      </c>
      <c r="I746" s="2">
        <v>11</v>
      </c>
      <c r="J746" s="5" t="s">
        <v>1426</v>
      </c>
      <c r="K746" s="2" t="s">
        <v>1431</v>
      </c>
    </row>
    <row r="747" spans="1:11" x14ac:dyDescent="0.2">
      <c r="A747" s="3" t="s">
        <v>613</v>
      </c>
      <c r="B747" s="3" t="s">
        <v>621</v>
      </c>
      <c r="C747" s="3" t="s">
        <v>473</v>
      </c>
      <c r="D747" s="3" t="s">
        <v>1455</v>
      </c>
      <c r="E747" s="3" t="s">
        <v>1456</v>
      </c>
      <c r="F747" s="3">
        <v>61.86</v>
      </c>
      <c r="G747" s="3" t="s">
        <v>1457</v>
      </c>
      <c r="H747" s="3">
        <v>40</v>
      </c>
      <c r="I747" s="3">
        <v>130</v>
      </c>
      <c r="J747" s="3" t="s">
        <v>1416</v>
      </c>
      <c r="K747" s="3" t="s">
        <v>1431</v>
      </c>
    </row>
    <row r="748" spans="1:11" x14ac:dyDescent="0.2">
      <c r="A748" s="2" t="s">
        <v>613</v>
      </c>
      <c r="B748" s="2" t="s">
        <v>621</v>
      </c>
      <c r="C748" s="2" t="s">
        <v>473</v>
      </c>
      <c r="D748" s="2" t="s">
        <v>1432</v>
      </c>
      <c r="E748" s="2" t="s">
        <v>1433</v>
      </c>
      <c r="F748" s="2">
        <v>3.12</v>
      </c>
      <c r="G748" s="2" t="s">
        <v>1415</v>
      </c>
      <c r="H748" s="2">
        <v>0</v>
      </c>
      <c r="I748" s="2">
        <v>3</v>
      </c>
      <c r="J748" s="5" t="s">
        <v>1426</v>
      </c>
      <c r="K748" s="2" t="s">
        <v>1417</v>
      </c>
    </row>
    <row r="749" spans="1:11" x14ac:dyDescent="0.2">
      <c r="A749" s="3" t="s">
        <v>613</v>
      </c>
      <c r="B749" s="3" t="s">
        <v>621</v>
      </c>
      <c r="C749" s="3" t="s">
        <v>473</v>
      </c>
      <c r="D749" s="3" t="s">
        <v>1427</v>
      </c>
      <c r="E749" s="3" t="s">
        <v>1428</v>
      </c>
      <c r="F749" s="3">
        <v>15.57</v>
      </c>
      <c r="G749" s="3" t="s">
        <v>1429</v>
      </c>
      <c r="H749" s="3">
        <v>4</v>
      </c>
      <c r="I749" s="3">
        <v>11</v>
      </c>
      <c r="J749" s="5" t="s">
        <v>1426</v>
      </c>
      <c r="K749" s="3" t="s">
        <v>1420</v>
      </c>
    </row>
    <row r="750" spans="1:11" x14ac:dyDescent="0.2">
      <c r="A750" s="2" t="s">
        <v>613</v>
      </c>
      <c r="B750" s="2" t="s">
        <v>621</v>
      </c>
      <c r="C750" s="2" t="s">
        <v>473</v>
      </c>
      <c r="D750" s="2" t="s">
        <v>1440</v>
      </c>
      <c r="E750" s="2" t="s">
        <v>1441</v>
      </c>
      <c r="F750" s="2">
        <v>10.44</v>
      </c>
      <c r="G750" s="2" t="s">
        <v>1442</v>
      </c>
      <c r="H750" s="2">
        <v>4</v>
      </c>
      <c r="I750" s="2">
        <v>5.6</v>
      </c>
      <c r="J750" s="5" t="s">
        <v>1426</v>
      </c>
      <c r="K750" s="2" t="s">
        <v>1431</v>
      </c>
    </row>
    <row r="751" spans="1:11" x14ac:dyDescent="0.2">
      <c r="A751" s="3" t="s">
        <v>613</v>
      </c>
      <c r="B751" s="3" t="s">
        <v>621</v>
      </c>
      <c r="C751" s="3" t="s">
        <v>473</v>
      </c>
      <c r="D751" s="3" t="s">
        <v>1418</v>
      </c>
      <c r="E751" s="3" t="s">
        <v>1419</v>
      </c>
      <c r="F751" s="3">
        <v>5.38</v>
      </c>
      <c r="G751" s="3" t="s">
        <v>1415</v>
      </c>
      <c r="H751" s="3">
        <v>3.5</v>
      </c>
      <c r="I751" s="3">
        <v>5</v>
      </c>
      <c r="J751" s="5" t="s">
        <v>1426</v>
      </c>
      <c r="K751" s="3" t="s">
        <v>1431</v>
      </c>
    </row>
    <row r="752" spans="1:11" x14ac:dyDescent="0.2">
      <c r="A752" s="2" t="s">
        <v>613</v>
      </c>
      <c r="B752" s="2" t="s">
        <v>621</v>
      </c>
      <c r="C752" s="2" t="s">
        <v>473</v>
      </c>
      <c r="D752" s="2" t="s">
        <v>1421</v>
      </c>
      <c r="E752" s="2" t="s">
        <v>1422</v>
      </c>
      <c r="F752" s="2">
        <v>3.87</v>
      </c>
      <c r="G752" s="2" t="s">
        <v>1415</v>
      </c>
      <c r="H752" s="2">
        <v>0</v>
      </c>
      <c r="I752" s="2">
        <v>5</v>
      </c>
      <c r="J752" s="2" t="s">
        <v>1416</v>
      </c>
      <c r="K752" s="2" t="s">
        <v>1434</v>
      </c>
    </row>
    <row r="753" spans="1:11" x14ac:dyDescent="0.2">
      <c r="A753" s="3" t="s">
        <v>613</v>
      </c>
      <c r="B753" s="3" t="s">
        <v>623</v>
      </c>
      <c r="C753" s="3" t="s">
        <v>624</v>
      </c>
      <c r="D753" s="3" t="s">
        <v>1443</v>
      </c>
      <c r="E753" s="3" t="s">
        <v>1444</v>
      </c>
      <c r="F753" s="3">
        <v>79.72</v>
      </c>
      <c r="G753" s="3" t="s">
        <v>1445</v>
      </c>
      <c r="H753" s="3">
        <v>53</v>
      </c>
      <c r="I753" s="3">
        <v>97</v>
      </c>
      <c r="J753" s="3" t="s">
        <v>1416</v>
      </c>
      <c r="K753" s="3" t="s">
        <v>1434</v>
      </c>
    </row>
    <row r="754" spans="1:11" x14ac:dyDescent="0.2">
      <c r="A754" s="2" t="s">
        <v>613</v>
      </c>
      <c r="B754" s="2" t="s">
        <v>623</v>
      </c>
      <c r="C754" s="2" t="s">
        <v>624</v>
      </c>
      <c r="D754" s="2" t="s">
        <v>1437</v>
      </c>
      <c r="E754" s="2" t="s">
        <v>1438</v>
      </c>
      <c r="F754" s="2">
        <v>13.43</v>
      </c>
      <c r="G754" s="2" t="s">
        <v>1439</v>
      </c>
      <c r="H754" s="2">
        <v>12</v>
      </c>
      <c r="I754" s="2">
        <v>17.5</v>
      </c>
      <c r="J754" s="2" t="s">
        <v>1416</v>
      </c>
      <c r="K754" s="2" t="s">
        <v>1434</v>
      </c>
    </row>
    <row r="755" spans="1:11" x14ac:dyDescent="0.2">
      <c r="A755" s="3" t="s">
        <v>613</v>
      </c>
      <c r="B755" s="3" t="s">
        <v>623</v>
      </c>
      <c r="C755" s="3" t="s">
        <v>624</v>
      </c>
      <c r="D755" s="3" t="s">
        <v>1450</v>
      </c>
      <c r="E755" s="3" t="s">
        <v>1451</v>
      </c>
      <c r="F755" s="3">
        <v>100.37</v>
      </c>
      <c r="G755" s="3" t="s">
        <v>1452</v>
      </c>
      <c r="H755" s="3">
        <v>60</v>
      </c>
      <c r="I755" s="3">
        <v>120</v>
      </c>
      <c r="J755" s="3" t="s">
        <v>1416</v>
      </c>
      <c r="K755" s="3" t="s">
        <v>1431</v>
      </c>
    </row>
    <row r="756" spans="1:11" x14ac:dyDescent="0.2">
      <c r="A756" s="2" t="s">
        <v>613</v>
      </c>
      <c r="B756" s="2" t="s">
        <v>623</v>
      </c>
      <c r="C756" s="2" t="s">
        <v>624</v>
      </c>
      <c r="D756" s="2" t="s">
        <v>1423</v>
      </c>
      <c r="E756" s="2" t="s">
        <v>1424</v>
      </c>
      <c r="F756" s="2">
        <v>5.95</v>
      </c>
      <c r="G756" s="2" t="s">
        <v>1425</v>
      </c>
      <c r="H756" s="2">
        <v>4.5</v>
      </c>
      <c r="I756" s="2">
        <v>5.5</v>
      </c>
      <c r="J756" s="5" t="s">
        <v>1426</v>
      </c>
      <c r="K756" s="2" t="s">
        <v>1420</v>
      </c>
    </row>
    <row r="757" spans="1:11" x14ac:dyDescent="0.2">
      <c r="A757" s="3" t="s">
        <v>613</v>
      </c>
      <c r="B757" s="3" t="s">
        <v>623</v>
      </c>
      <c r="C757" s="3" t="s">
        <v>624</v>
      </c>
      <c r="D757" s="3" t="s">
        <v>1440</v>
      </c>
      <c r="E757" s="3" t="s">
        <v>1441</v>
      </c>
      <c r="F757" s="3">
        <v>6.21</v>
      </c>
      <c r="G757" s="3" t="s">
        <v>1442</v>
      </c>
      <c r="H757" s="3">
        <v>4</v>
      </c>
      <c r="I757" s="3">
        <v>5.6</v>
      </c>
      <c r="J757" s="5" t="s">
        <v>1426</v>
      </c>
      <c r="K757" s="3" t="s">
        <v>1431</v>
      </c>
    </row>
    <row r="758" spans="1:11" x14ac:dyDescent="0.2">
      <c r="A758" s="2" t="s">
        <v>613</v>
      </c>
      <c r="B758" s="2" t="s">
        <v>623</v>
      </c>
      <c r="C758" s="2" t="s">
        <v>624</v>
      </c>
      <c r="D758" s="2" t="s">
        <v>1455</v>
      </c>
      <c r="E758" s="2" t="s">
        <v>1456</v>
      </c>
      <c r="F758" s="2">
        <v>125.02</v>
      </c>
      <c r="G758" s="2" t="s">
        <v>1457</v>
      </c>
      <c r="H758" s="2">
        <v>40</v>
      </c>
      <c r="I758" s="2">
        <v>130</v>
      </c>
      <c r="J758" s="2" t="s">
        <v>1416</v>
      </c>
      <c r="K758" s="2" t="s">
        <v>1431</v>
      </c>
    </row>
    <row r="759" spans="1:11" x14ac:dyDescent="0.2">
      <c r="A759" s="3" t="s">
        <v>613</v>
      </c>
      <c r="B759" s="3" t="s">
        <v>625</v>
      </c>
      <c r="C759" s="3" t="s">
        <v>626</v>
      </c>
      <c r="D759" s="3" t="s">
        <v>1450</v>
      </c>
      <c r="E759" s="3" t="s">
        <v>1451</v>
      </c>
      <c r="F759" s="3">
        <v>122.52</v>
      </c>
      <c r="G759" s="3" t="s">
        <v>1452</v>
      </c>
      <c r="H759" s="3">
        <v>60</v>
      </c>
      <c r="I759" s="3">
        <v>120</v>
      </c>
      <c r="J759" s="5" t="s">
        <v>1426</v>
      </c>
      <c r="K759" s="3" t="s">
        <v>1434</v>
      </c>
    </row>
    <row r="760" spans="1:11" x14ac:dyDescent="0.2">
      <c r="A760" s="2" t="s">
        <v>613</v>
      </c>
      <c r="B760" s="2" t="s">
        <v>625</v>
      </c>
      <c r="C760" s="2" t="s">
        <v>626</v>
      </c>
      <c r="D760" s="2" t="s">
        <v>1455</v>
      </c>
      <c r="E760" s="2" t="s">
        <v>1456</v>
      </c>
      <c r="F760" s="2">
        <v>234.28</v>
      </c>
      <c r="G760" s="2" t="s">
        <v>1457</v>
      </c>
      <c r="H760" s="2">
        <v>40</v>
      </c>
      <c r="I760" s="2">
        <v>130</v>
      </c>
      <c r="J760" s="5" t="s">
        <v>1426</v>
      </c>
      <c r="K760" s="2" t="s">
        <v>1434</v>
      </c>
    </row>
    <row r="761" spans="1:11" x14ac:dyDescent="0.2">
      <c r="A761" s="3" t="s">
        <v>613</v>
      </c>
      <c r="B761" s="3" t="s">
        <v>625</v>
      </c>
      <c r="C761" s="3" t="s">
        <v>626</v>
      </c>
      <c r="D761" s="3" t="s">
        <v>1446</v>
      </c>
      <c r="E761" s="3" t="s">
        <v>1447</v>
      </c>
      <c r="F761" s="3">
        <v>1.93</v>
      </c>
      <c r="G761" s="3" t="s">
        <v>1415</v>
      </c>
      <c r="H761" s="3">
        <v>2.1</v>
      </c>
      <c r="I761" s="3">
        <v>2.6</v>
      </c>
      <c r="J761" s="5" t="s">
        <v>1430</v>
      </c>
      <c r="K761" s="3" t="s">
        <v>1434</v>
      </c>
    </row>
    <row r="762" spans="1:11" x14ac:dyDescent="0.2">
      <c r="A762" s="2" t="s">
        <v>613</v>
      </c>
      <c r="B762" s="2" t="s">
        <v>625</v>
      </c>
      <c r="C762" s="2" t="s">
        <v>626</v>
      </c>
      <c r="D762" s="2" t="s">
        <v>1418</v>
      </c>
      <c r="E762" s="2" t="s">
        <v>1419</v>
      </c>
      <c r="F762" s="2">
        <v>3.45</v>
      </c>
      <c r="G762" s="2" t="s">
        <v>1415</v>
      </c>
      <c r="H762" s="2">
        <v>3.5</v>
      </c>
      <c r="I762" s="2">
        <v>5</v>
      </c>
      <c r="J762" s="5" t="s">
        <v>1430</v>
      </c>
      <c r="K762" s="2" t="s">
        <v>1420</v>
      </c>
    </row>
    <row r="763" spans="1:11" x14ac:dyDescent="0.2">
      <c r="A763" s="3" t="s">
        <v>613</v>
      </c>
      <c r="B763" s="3" t="s">
        <v>625</v>
      </c>
      <c r="C763" s="3" t="s">
        <v>626</v>
      </c>
      <c r="D763" s="3" t="s">
        <v>1413</v>
      </c>
      <c r="E763" s="3" t="s">
        <v>1414</v>
      </c>
      <c r="F763" s="3">
        <v>1.0900000000000001</v>
      </c>
      <c r="G763" s="3" t="s">
        <v>1415</v>
      </c>
      <c r="H763" s="3">
        <v>1</v>
      </c>
      <c r="I763" s="3">
        <v>5</v>
      </c>
      <c r="J763" s="3" t="s">
        <v>1416</v>
      </c>
      <c r="K763" s="3" t="s">
        <v>1431</v>
      </c>
    </row>
    <row r="764" spans="1:11" x14ac:dyDescent="0.2">
      <c r="A764" s="2" t="s">
        <v>613</v>
      </c>
      <c r="B764" s="2" t="s">
        <v>625</v>
      </c>
      <c r="C764" s="2" t="s">
        <v>626</v>
      </c>
      <c r="D764" s="2" t="s">
        <v>1443</v>
      </c>
      <c r="E764" s="2" t="s">
        <v>1444</v>
      </c>
      <c r="F764" s="2">
        <v>58.71</v>
      </c>
      <c r="G764" s="2" t="s">
        <v>1445</v>
      </c>
      <c r="H764" s="2">
        <v>53</v>
      </c>
      <c r="I764" s="2">
        <v>97</v>
      </c>
      <c r="J764" s="2" t="s">
        <v>1416</v>
      </c>
      <c r="K764" s="2" t="s">
        <v>1417</v>
      </c>
    </row>
    <row r="765" spans="1:11" x14ac:dyDescent="0.2">
      <c r="A765" s="3" t="s">
        <v>613</v>
      </c>
      <c r="B765" s="3" t="s">
        <v>625</v>
      </c>
      <c r="C765" s="3" t="s">
        <v>626</v>
      </c>
      <c r="D765" s="3" t="s">
        <v>1437</v>
      </c>
      <c r="E765" s="3" t="s">
        <v>1438</v>
      </c>
      <c r="F765" s="3">
        <v>16.98</v>
      </c>
      <c r="G765" s="3" t="s">
        <v>1439</v>
      </c>
      <c r="H765" s="3">
        <v>12</v>
      </c>
      <c r="I765" s="3">
        <v>17.5</v>
      </c>
      <c r="J765" s="3" t="s">
        <v>1416</v>
      </c>
      <c r="K765" s="3" t="s">
        <v>1431</v>
      </c>
    </row>
    <row r="766" spans="1:11" x14ac:dyDescent="0.2">
      <c r="A766" s="2" t="s">
        <v>613</v>
      </c>
      <c r="B766" s="2" t="s">
        <v>625</v>
      </c>
      <c r="C766" s="2" t="s">
        <v>626</v>
      </c>
      <c r="D766" s="2" t="s">
        <v>1453</v>
      </c>
      <c r="E766" s="2" t="s">
        <v>1454</v>
      </c>
      <c r="F766" s="2">
        <v>5.95</v>
      </c>
      <c r="G766" s="2" t="s">
        <v>1415</v>
      </c>
      <c r="H766" s="2">
        <v>3.9</v>
      </c>
      <c r="I766" s="2">
        <v>5.5</v>
      </c>
      <c r="J766" s="5" t="s">
        <v>1426</v>
      </c>
      <c r="K766" s="2" t="s">
        <v>1417</v>
      </c>
    </row>
    <row r="767" spans="1:11" x14ac:dyDescent="0.2">
      <c r="A767" s="3" t="s">
        <v>613</v>
      </c>
      <c r="B767" s="3" t="s">
        <v>628</v>
      </c>
      <c r="C767" s="3" t="s">
        <v>629</v>
      </c>
      <c r="D767" s="3" t="s">
        <v>1418</v>
      </c>
      <c r="E767" s="3" t="s">
        <v>1419</v>
      </c>
      <c r="F767" s="3">
        <v>5.41</v>
      </c>
      <c r="G767" s="3" t="s">
        <v>1415</v>
      </c>
      <c r="H767" s="3">
        <v>3.5</v>
      </c>
      <c r="I767" s="3">
        <v>5</v>
      </c>
      <c r="J767" s="5" t="s">
        <v>1426</v>
      </c>
      <c r="K767" s="3" t="s">
        <v>1434</v>
      </c>
    </row>
    <row r="768" spans="1:11" x14ac:dyDescent="0.2">
      <c r="A768" s="2" t="s">
        <v>613</v>
      </c>
      <c r="B768" s="2" t="s">
        <v>628</v>
      </c>
      <c r="C768" s="2" t="s">
        <v>629</v>
      </c>
      <c r="D768" s="2" t="s">
        <v>1453</v>
      </c>
      <c r="E768" s="2" t="s">
        <v>1454</v>
      </c>
      <c r="F768" s="2">
        <v>5.05</v>
      </c>
      <c r="G768" s="2" t="s">
        <v>1415</v>
      </c>
      <c r="H768" s="2">
        <v>3.9</v>
      </c>
      <c r="I768" s="2">
        <v>5.5</v>
      </c>
      <c r="J768" s="2" t="s">
        <v>1416</v>
      </c>
      <c r="K768" s="2" t="s">
        <v>1417</v>
      </c>
    </row>
    <row r="769" spans="1:11" x14ac:dyDescent="0.2">
      <c r="A769" s="3" t="s">
        <v>613</v>
      </c>
      <c r="B769" s="3" t="s">
        <v>628</v>
      </c>
      <c r="C769" s="3" t="s">
        <v>629</v>
      </c>
      <c r="D769" s="3" t="s">
        <v>1448</v>
      </c>
      <c r="E769" s="3" t="s">
        <v>1449</v>
      </c>
      <c r="F769" s="3">
        <v>138.63</v>
      </c>
      <c r="G769" s="3" t="s">
        <v>1415</v>
      </c>
      <c r="H769" s="3">
        <v>136</v>
      </c>
      <c r="I769" s="3">
        <v>145</v>
      </c>
      <c r="J769" s="3" t="s">
        <v>1416</v>
      </c>
      <c r="K769" s="3" t="s">
        <v>1420</v>
      </c>
    </row>
    <row r="770" spans="1:11" x14ac:dyDescent="0.2">
      <c r="A770" s="2" t="s">
        <v>630</v>
      </c>
      <c r="B770" s="2" t="s">
        <v>631</v>
      </c>
      <c r="C770" s="2" t="s">
        <v>632</v>
      </c>
      <c r="D770" s="2" t="s">
        <v>1455</v>
      </c>
      <c r="E770" s="2" t="s">
        <v>1456</v>
      </c>
      <c r="F770" s="2">
        <v>241.09</v>
      </c>
      <c r="G770" s="2" t="s">
        <v>1457</v>
      </c>
      <c r="H770" s="2">
        <v>40</v>
      </c>
      <c r="I770" s="2">
        <v>130</v>
      </c>
      <c r="J770" s="5" t="s">
        <v>1426</v>
      </c>
      <c r="K770" s="2" t="s">
        <v>1434</v>
      </c>
    </row>
    <row r="771" spans="1:11" x14ac:dyDescent="0.2">
      <c r="A771" s="3" t="s">
        <v>630</v>
      </c>
      <c r="B771" s="3" t="s">
        <v>631</v>
      </c>
      <c r="C771" s="3" t="s">
        <v>632</v>
      </c>
      <c r="D771" s="3" t="s">
        <v>1448</v>
      </c>
      <c r="E771" s="3" t="s">
        <v>1449</v>
      </c>
      <c r="F771" s="3">
        <v>134.76</v>
      </c>
      <c r="G771" s="3" t="s">
        <v>1415</v>
      </c>
      <c r="H771" s="3">
        <v>136</v>
      </c>
      <c r="I771" s="3">
        <v>145</v>
      </c>
      <c r="J771" s="5" t="s">
        <v>1430</v>
      </c>
      <c r="K771" s="3" t="s">
        <v>1420</v>
      </c>
    </row>
    <row r="772" spans="1:11" x14ac:dyDescent="0.2">
      <c r="A772" s="2" t="s">
        <v>630</v>
      </c>
      <c r="B772" s="2" t="s">
        <v>631</v>
      </c>
      <c r="C772" s="2" t="s">
        <v>632</v>
      </c>
      <c r="D772" s="2" t="s">
        <v>1450</v>
      </c>
      <c r="E772" s="2" t="s">
        <v>1451</v>
      </c>
      <c r="F772" s="2">
        <v>129.28</v>
      </c>
      <c r="G772" s="2" t="s">
        <v>1452</v>
      </c>
      <c r="H772" s="2">
        <v>60</v>
      </c>
      <c r="I772" s="2">
        <v>120</v>
      </c>
      <c r="J772" s="5" t="s">
        <v>1426</v>
      </c>
      <c r="K772" s="2" t="s">
        <v>1417</v>
      </c>
    </row>
    <row r="773" spans="1:11" x14ac:dyDescent="0.2">
      <c r="A773" s="3" t="s">
        <v>630</v>
      </c>
      <c r="B773" s="3" t="s">
        <v>631</v>
      </c>
      <c r="C773" s="3" t="s">
        <v>632</v>
      </c>
      <c r="D773" s="3" t="s">
        <v>1440</v>
      </c>
      <c r="E773" s="3" t="s">
        <v>1441</v>
      </c>
      <c r="F773" s="3">
        <v>11.47</v>
      </c>
      <c r="G773" s="3" t="s">
        <v>1442</v>
      </c>
      <c r="H773" s="3">
        <v>4</v>
      </c>
      <c r="I773" s="3">
        <v>5.6</v>
      </c>
      <c r="J773" s="5" t="s">
        <v>1426</v>
      </c>
      <c r="K773" s="3" t="s">
        <v>1434</v>
      </c>
    </row>
    <row r="774" spans="1:11" x14ac:dyDescent="0.2">
      <c r="A774" s="2" t="s">
        <v>630</v>
      </c>
      <c r="B774" s="2" t="s">
        <v>631</v>
      </c>
      <c r="C774" s="2" t="s">
        <v>632</v>
      </c>
      <c r="D774" s="2" t="s">
        <v>1435</v>
      </c>
      <c r="E774" s="2" t="s">
        <v>1436</v>
      </c>
      <c r="F774" s="2">
        <v>0.71</v>
      </c>
      <c r="G774" s="2" t="s">
        <v>1415</v>
      </c>
      <c r="H774" s="2">
        <v>0.8</v>
      </c>
      <c r="I774" s="2">
        <v>1.5</v>
      </c>
      <c r="J774" s="5" t="s">
        <v>1430</v>
      </c>
      <c r="K774" s="2" t="s">
        <v>1420</v>
      </c>
    </row>
    <row r="775" spans="1:11" x14ac:dyDescent="0.2">
      <c r="A775" s="3" t="s">
        <v>630</v>
      </c>
      <c r="B775" s="3" t="s">
        <v>631</v>
      </c>
      <c r="C775" s="3" t="s">
        <v>632</v>
      </c>
      <c r="D775" s="3" t="s">
        <v>1413</v>
      </c>
      <c r="E775" s="3" t="s">
        <v>1414</v>
      </c>
      <c r="F775" s="3">
        <v>2.09</v>
      </c>
      <c r="G775" s="3" t="s">
        <v>1415</v>
      </c>
      <c r="H775" s="3">
        <v>1</v>
      </c>
      <c r="I775" s="3">
        <v>5</v>
      </c>
      <c r="J775" s="3" t="s">
        <v>1416</v>
      </c>
      <c r="K775" s="3" t="s">
        <v>1431</v>
      </c>
    </row>
    <row r="776" spans="1:11" x14ac:dyDescent="0.2">
      <c r="A776" s="2" t="s">
        <v>630</v>
      </c>
      <c r="B776" s="2" t="s">
        <v>631</v>
      </c>
      <c r="C776" s="2" t="s">
        <v>632</v>
      </c>
      <c r="D776" s="2" t="s">
        <v>1443</v>
      </c>
      <c r="E776" s="2" t="s">
        <v>1444</v>
      </c>
      <c r="F776" s="2">
        <v>79.239999999999995</v>
      </c>
      <c r="G776" s="2" t="s">
        <v>1445</v>
      </c>
      <c r="H776" s="2">
        <v>53</v>
      </c>
      <c r="I776" s="2">
        <v>97</v>
      </c>
      <c r="J776" s="2" t="s">
        <v>1416</v>
      </c>
      <c r="K776" s="2" t="s">
        <v>1434</v>
      </c>
    </row>
    <row r="777" spans="1:11" x14ac:dyDescent="0.2">
      <c r="A777" s="3" t="s">
        <v>630</v>
      </c>
      <c r="B777" s="3" t="s">
        <v>631</v>
      </c>
      <c r="C777" s="3" t="s">
        <v>632</v>
      </c>
      <c r="D777" s="3" t="s">
        <v>1437</v>
      </c>
      <c r="E777" s="3" t="s">
        <v>1438</v>
      </c>
      <c r="F777" s="3">
        <v>12.73</v>
      </c>
      <c r="G777" s="3" t="s">
        <v>1439</v>
      </c>
      <c r="H777" s="3">
        <v>12</v>
      </c>
      <c r="I777" s="3">
        <v>17.5</v>
      </c>
      <c r="J777" s="3" t="s">
        <v>1416</v>
      </c>
      <c r="K777" s="3" t="s">
        <v>1431</v>
      </c>
    </row>
    <row r="778" spans="1:11" x14ac:dyDescent="0.2">
      <c r="A778" s="2" t="s">
        <v>635</v>
      </c>
      <c r="B778" s="2" t="s">
        <v>636</v>
      </c>
      <c r="C778" s="2" t="s">
        <v>548</v>
      </c>
      <c r="D778" s="2" t="s">
        <v>1446</v>
      </c>
      <c r="E778" s="2" t="s">
        <v>1447</v>
      </c>
      <c r="F778" s="2">
        <v>1.84</v>
      </c>
      <c r="G778" s="2" t="s">
        <v>1415</v>
      </c>
      <c r="H778" s="2">
        <v>2.1</v>
      </c>
      <c r="I778" s="2">
        <v>2.6</v>
      </c>
      <c r="J778" s="5" t="s">
        <v>1430</v>
      </c>
      <c r="K778" s="2" t="s">
        <v>1431</v>
      </c>
    </row>
    <row r="779" spans="1:11" x14ac:dyDescent="0.2">
      <c r="A779" s="3" t="s">
        <v>635</v>
      </c>
      <c r="B779" s="3" t="s">
        <v>636</v>
      </c>
      <c r="C779" s="3" t="s">
        <v>548</v>
      </c>
      <c r="D779" s="3" t="s">
        <v>1432</v>
      </c>
      <c r="E779" s="3" t="s">
        <v>1433</v>
      </c>
      <c r="F779" s="3">
        <v>2.04</v>
      </c>
      <c r="G779" s="3" t="s">
        <v>1415</v>
      </c>
      <c r="H779" s="3">
        <v>0</v>
      </c>
      <c r="I779" s="3">
        <v>3</v>
      </c>
      <c r="J779" s="3" t="s">
        <v>1416</v>
      </c>
      <c r="K779" s="3" t="s">
        <v>1431</v>
      </c>
    </row>
    <row r="780" spans="1:11" x14ac:dyDescent="0.2">
      <c r="A780" s="2" t="s">
        <v>635</v>
      </c>
      <c r="B780" s="2" t="s">
        <v>636</v>
      </c>
      <c r="C780" s="2" t="s">
        <v>548</v>
      </c>
      <c r="D780" s="2" t="s">
        <v>1453</v>
      </c>
      <c r="E780" s="2" t="s">
        <v>1454</v>
      </c>
      <c r="F780" s="2">
        <v>5.34</v>
      </c>
      <c r="G780" s="2" t="s">
        <v>1415</v>
      </c>
      <c r="H780" s="2">
        <v>3.9</v>
      </c>
      <c r="I780" s="2">
        <v>5.5</v>
      </c>
      <c r="J780" s="2" t="s">
        <v>1416</v>
      </c>
      <c r="K780" s="2" t="s">
        <v>1417</v>
      </c>
    </row>
    <row r="781" spans="1:11" x14ac:dyDescent="0.2">
      <c r="A781" s="3" t="s">
        <v>635</v>
      </c>
      <c r="B781" s="3" t="s">
        <v>636</v>
      </c>
      <c r="C781" s="3" t="s">
        <v>548</v>
      </c>
      <c r="D781" s="3" t="s">
        <v>1421</v>
      </c>
      <c r="E781" s="3" t="s">
        <v>1422</v>
      </c>
      <c r="F781" s="3">
        <v>4.3</v>
      </c>
      <c r="G781" s="3" t="s">
        <v>1415</v>
      </c>
      <c r="H781" s="3">
        <v>0</v>
      </c>
      <c r="I781" s="3">
        <v>5</v>
      </c>
      <c r="J781" s="3" t="s">
        <v>1416</v>
      </c>
      <c r="K781" s="3" t="s">
        <v>1434</v>
      </c>
    </row>
    <row r="782" spans="1:11" x14ac:dyDescent="0.2">
      <c r="A782" s="2" t="s">
        <v>638</v>
      </c>
      <c r="B782" s="2" t="s">
        <v>639</v>
      </c>
      <c r="C782" s="2" t="s">
        <v>640</v>
      </c>
      <c r="D782" s="2" t="s">
        <v>1435</v>
      </c>
      <c r="E782" s="2" t="s">
        <v>1436</v>
      </c>
      <c r="F782" s="2">
        <v>1.47</v>
      </c>
      <c r="G782" s="2" t="s">
        <v>1415</v>
      </c>
      <c r="H782" s="2">
        <v>0.8</v>
      </c>
      <c r="I782" s="2">
        <v>1.5</v>
      </c>
      <c r="J782" s="2" t="s">
        <v>1416</v>
      </c>
      <c r="K782" s="2" t="s">
        <v>1417</v>
      </c>
    </row>
    <row r="783" spans="1:11" x14ac:dyDescent="0.2">
      <c r="A783" s="3" t="s">
        <v>638</v>
      </c>
      <c r="B783" s="3" t="s">
        <v>639</v>
      </c>
      <c r="C783" s="3" t="s">
        <v>640</v>
      </c>
      <c r="D783" s="3" t="s">
        <v>1427</v>
      </c>
      <c r="E783" s="3" t="s">
        <v>1428</v>
      </c>
      <c r="F783" s="3">
        <v>9.26</v>
      </c>
      <c r="G783" s="3" t="s">
        <v>1429</v>
      </c>
      <c r="H783" s="3">
        <v>4</v>
      </c>
      <c r="I783" s="3">
        <v>11</v>
      </c>
      <c r="J783" s="3" t="s">
        <v>1416</v>
      </c>
      <c r="K783" s="3" t="s">
        <v>1417</v>
      </c>
    </row>
    <row r="784" spans="1:11" x14ac:dyDescent="0.2">
      <c r="A784" s="2" t="s">
        <v>638</v>
      </c>
      <c r="B784" s="2" t="s">
        <v>639</v>
      </c>
      <c r="C784" s="2" t="s">
        <v>640</v>
      </c>
      <c r="D784" s="2" t="s">
        <v>1437</v>
      </c>
      <c r="E784" s="2" t="s">
        <v>1438</v>
      </c>
      <c r="F784" s="2">
        <v>17.989999999999998</v>
      </c>
      <c r="G784" s="2" t="s">
        <v>1439</v>
      </c>
      <c r="H784" s="2">
        <v>12</v>
      </c>
      <c r="I784" s="2">
        <v>17.5</v>
      </c>
      <c r="J784" s="5" t="s">
        <v>1426</v>
      </c>
      <c r="K784" s="2" t="s">
        <v>1420</v>
      </c>
    </row>
    <row r="785" spans="1:11" x14ac:dyDescent="0.2">
      <c r="A785" s="3" t="s">
        <v>638</v>
      </c>
      <c r="B785" s="3" t="s">
        <v>639</v>
      </c>
      <c r="C785" s="3" t="s">
        <v>640</v>
      </c>
      <c r="D785" s="3" t="s">
        <v>1413</v>
      </c>
      <c r="E785" s="3" t="s">
        <v>1414</v>
      </c>
      <c r="F785" s="3">
        <v>0.96</v>
      </c>
      <c r="G785" s="3" t="s">
        <v>1415</v>
      </c>
      <c r="H785" s="3">
        <v>1</v>
      </c>
      <c r="I785" s="3">
        <v>5</v>
      </c>
      <c r="J785" s="5" t="s">
        <v>1430</v>
      </c>
      <c r="K785" s="3" t="s">
        <v>1420</v>
      </c>
    </row>
    <row r="786" spans="1:11" x14ac:dyDescent="0.2">
      <c r="A786" s="2" t="s">
        <v>638</v>
      </c>
      <c r="B786" s="2" t="s">
        <v>639</v>
      </c>
      <c r="C786" s="2" t="s">
        <v>640</v>
      </c>
      <c r="D786" s="2" t="s">
        <v>1448</v>
      </c>
      <c r="E786" s="2" t="s">
        <v>1449</v>
      </c>
      <c r="F786" s="2">
        <v>147.43</v>
      </c>
      <c r="G786" s="2" t="s">
        <v>1415</v>
      </c>
      <c r="H786" s="2">
        <v>136</v>
      </c>
      <c r="I786" s="2">
        <v>145</v>
      </c>
      <c r="J786" s="5" t="s">
        <v>1426</v>
      </c>
      <c r="K786" s="2" t="s">
        <v>1434</v>
      </c>
    </row>
    <row r="787" spans="1:11" x14ac:dyDescent="0.2">
      <c r="A787" s="3" t="s">
        <v>638</v>
      </c>
      <c r="B787" s="3" t="s">
        <v>643</v>
      </c>
      <c r="C787" s="3" t="s">
        <v>644</v>
      </c>
      <c r="D787" s="3" t="s">
        <v>1450</v>
      </c>
      <c r="E787" s="3" t="s">
        <v>1451</v>
      </c>
      <c r="F787" s="3">
        <v>64.849999999999994</v>
      </c>
      <c r="G787" s="3" t="s">
        <v>1452</v>
      </c>
      <c r="H787" s="3">
        <v>60</v>
      </c>
      <c r="I787" s="3">
        <v>120</v>
      </c>
      <c r="J787" s="3" t="s">
        <v>1416</v>
      </c>
      <c r="K787" s="3" t="s">
        <v>1417</v>
      </c>
    </row>
    <row r="788" spans="1:11" x14ac:dyDescent="0.2">
      <c r="A788" s="2" t="s">
        <v>638</v>
      </c>
      <c r="B788" s="2" t="s">
        <v>643</v>
      </c>
      <c r="C788" s="2" t="s">
        <v>644</v>
      </c>
      <c r="D788" s="2" t="s">
        <v>1455</v>
      </c>
      <c r="E788" s="2" t="s">
        <v>1456</v>
      </c>
      <c r="F788" s="2">
        <v>165.6</v>
      </c>
      <c r="G788" s="2" t="s">
        <v>1457</v>
      </c>
      <c r="H788" s="2">
        <v>40</v>
      </c>
      <c r="I788" s="2">
        <v>130</v>
      </c>
      <c r="J788" s="5" t="s">
        <v>1426</v>
      </c>
      <c r="K788" s="2" t="s">
        <v>1420</v>
      </c>
    </row>
    <row r="789" spans="1:11" x14ac:dyDescent="0.2">
      <c r="A789" s="3" t="s">
        <v>638</v>
      </c>
      <c r="B789" s="3" t="s">
        <v>643</v>
      </c>
      <c r="C789" s="3" t="s">
        <v>644</v>
      </c>
      <c r="D789" s="3" t="s">
        <v>1423</v>
      </c>
      <c r="E789" s="3" t="s">
        <v>1424</v>
      </c>
      <c r="F789" s="3">
        <v>5.45</v>
      </c>
      <c r="G789" s="3" t="s">
        <v>1425</v>
      </c>
      <c r="H789" s="3">
        <v>4.5</v>
      </c>
      <c r="I789" s="3">
        <v>5.5</v>
      </c>
      <c r="J789" s="3" t="s">
        <v>1416</v>
      </c>
      <c r="K789" s="3" t="s">
        <v>1434</v>
      </c>
    </row>
    <row r="790" spans="1:11" x14ac:dyDescent="0.2">
      <c r="A790" s="2" t="s">
        <v>638</v>
      </c>
      <c r="B790" s="2" t="s">
        <v>643</v>
      </c>
      <c r="C790" s="2" t="s">
        <v>644</v>
      </c>
      <c r="D790" s="2" t="s">
        <v>1413</v>
      </c>
      <c r="E790" s="2" t="s">
        <v>1414</v>
      </c>
      <c r="F790" s="2">
        <v>1.61</v>
      </c>
      <c r="G790" s="2" t="s">
        <v>1415</v>
      </c>
      <c r="H790" s="2">
        <v>1</v>
      </c>
      <c r="I790" s="2">
        <v>5</v>
      </c>
      <c r="J790" s="2" t="s">
        <v>1416</v>
      </c>
      <c r="K790" s="2" t="s">
        <v>1417</v>
      </c>
    </row>
    <row r="791" spans="1:11" x14ac:dyDescent="0.2">
      <c r="A791" s="3" t="s">
        <v>638</v>
      </c>
      <c r="B791" s="3" t="s">
        <v>643</v>
      </c>
      <c r="C791" s="3" t="s">
        <v>644</v>
      </c>
      <c r="D791" s="3" t="s">
        <v>1440</v>
      </c>
      <c r="E791" s="3" t="s">
        <v>1441</v>
      </c>
      <c r="F791" s="3">
        <v>6.3</v>
      </c>
      <c r="G791" s="3" t="s">
        <v>1442</v>
      </c>
      <c r="H791" s="3">
        <v>4</v>
      </c>
      <c r="I791" s="3">
        <v>5.6</v>
      </c>
      <c r="J791" s="5" t="s">
        <v>1426</v>
      </c>
      <c r="K791" s="3" t="s">
        <v>1420</v>
      </c>
    </row>
    <row r="792" spans="1:11" x14ac:dyDescent="0.2">
      <c r="A792" s="2" t="s">
        <v>638</v>
      </c>
      <c r="B792" s="2" t="s">
        <v>643</v>
      </c>
      <c r="C792" s="2" t="s">
        <v>644</v>
      </c>
      <c r="D792" s="2" t="s">
        <v>1421</v>
      </c>
      <c r="E792" s="2" t="s">
        <v>1422</v>
      </c>
      <c r="F792" s="2">
        <v>5</v>
      </c>
      <c r="G792" s="2" t="s">
        <v>1415</v>
      </c>
      <c r="H792" s="2">
        <v>0</v>
      </c>
      <c r="I792" s="2">
        <v>5</v>
      </c>
      <c r="J792" s="2" t="s">
        <v>1416</v>
      </c>
      <c r="K792" s="2" t="s">
        <v>1434</v>
      </c>
    </row>
    <row r="793" spans="1:11" x14ac:dyDescent="0.2">
      <c r="A793" s="3" t="s">
        <v>638</v>
      </c>
      <c r="B793" s="3" t="s">
        <v>643</v>
      </c>
      <c r="C793" s="3" t="s">
        <v>644</v>
      </c>
      <c r="D793" s="3" t="s">
        <v>1448</v>
      </c>
      <c r="E793" s="3" t="s">
        <v>1449</v>
      </c>
      <c r="F793" s="3">
        <v>139.74</v>
      </c>
      <c r="G793" s="3" t="s">
        <v>1415</v>
      </c>
      <c r="H793" s="3">
        <v>136</v>
      </c>
      <c r="I793" s="3">
        <v>145</v>
      </c>
      <c r="J793" s="3" t="s">
        <v>1416</v>
      </c>
      <c r="K793" s="3" t="s">
        <v>1434</v>
      </c>
    </row>
    <row r="794" spans="1:11" x14ac:dyDescent="0.2">
      <c r="A794" s="2" t="s">
        <v>646</v>
      </c>
      <c r="B794" s="2" t="s">
        <v>647</v>
      </c>
      <c r="C794" s="2" t="s">
        <v>648</v>
      </c>
      <c r="D794" s="2" t="s">
        <v>1413</v>
      </c>
      <c r="E794" s="2" t="s">
        <v>1414</v>
      </c>
      <c r="F794" s="2">
        <v>1.3</v>
      </c>
      <c r="G794" s="2" t="s">
        <v>1415</v>
      </c>
      <c r="H794" s="2">
        <v>1</v>
      </c>
      <c r="I794" s="2">
        <v>5</v>
      </c>
      <c r="J794" s="2" t="s">
        <v>1416</v>
      </c>
      <c r="K794" s="2" t="s">
        <v>1434</v>
      </c>
    </row>
    <row r="795" spans="1:11" x14ac:dyDescent="0.2">
      <c r="A795" s="3" t="s">
        <v>646</v>
      </c>
      <c r="B795" s="3" t="s">
        <v>647</v>
      </c>
      <c r="C795" s="3" t="s">
        <v>648</v>
      </c>
      <c r="D795" s="3" t="s">
        <v>1423</v>
      </c>
      <c r="E795" s="3" t="s">
        <v>1424</v>
      </c>
      <c r="F795" s="3">
        <v>3.54</v>
      </c>
      <c r="G795" s="3" t="s">
        <v>1425</v>
      </c>
      <c r="H795" s="3">
        <v>4.5</v>
      </c>
      <c r="I795" s="3">
        <v>5.5</v>
      </c>
      <c r="J795" s="5" t="s">
        <v>1430</v>
      </c>
      <c r="K795" s="3" t="s">
        <v>1420</v>
      </c>
    </row>
    <row r="796" spans="1:11" x14ac:dyDescent="0.2">
      <c r="A796" s="2" t="s">
        <v>646</v>
      </c>
      <c r="B796" s="2" t="s">
        <v>647</v>
      </c>
      <c r="C796" s="2" t="s">
        <v>648</v>
      </c>
      <c r="D796" s="2" t="s">
        <v>1418</v>
      </c>
      <c r="E796" s="2" t="s">
        <v>1419</v>
      </c>
      <c r="F796" s="2">
        <v>4.1900000000000004</v>
      </c>
      <c r="G796" s="2" t="s">
        <v>1415</v>
      </c>
      <c r="H796" s="2">
        <v>3.5</v>
      </c>
      <c r="I796" s="2">
        <v>5</v>
      </c>
      <c r="J796" s="2" t="s">
        <v>1416</v>
      </c>
      <c r="K796" s="2" t="s">
        <v>1431</v>
      </c>
    </row>
    <row r="797" spans="1:11" x14ac:dyDescent="0.2">
      <c r="A797" s="3" t="s">
        <v>646</v>
      </c>
      <c r="B797" s="3" t="s">
        <v>647</v>
      </c>
      <c r="C797" s="3" t="s">
        <v>648</v>
      </c>
      <c r="D797" s="3" t="s">
        <v>1455</v>
      </c>
      <c r="E797" s="3" t="s">
        <v>1456</v>
      </c>
      <c r="F797" s="3">
        <v>144.47999999999999</v>
      </c>
      <c r="G797" s="3" t="s">
        <v>1457</v>
      </c>
      <c r="H797" s="3">
        <v>40</v>
      </c>
      <c r="I797" s="3">
        <v>130</v>
      </c>
      <c r="J797" s="5" t="s">
        <v>1426</v>
      </c>
      <c r="K797" s="3" t="s">
        <v>1434</v>
      </c>
    </row>
    <row r="798" spans="1:11" x14ac:dyDescent="0.2">
      <c r="A798" s="2" t="s">
        <v>646</v>
      </c>
      <c r="B798" s="2" t="s">
        <v>647</v>
      </c>
      <c r="C798" s="2" t="s">
        <v>648</v>
      </c>
      <c r="D798" s="2" t="s">
        <v>1446</v>
      </c>
      <c r="E798" s="2" t="s">
        <v>1447</v>
      </c>
      <c r="F798" s="2">
        <v>2.06</v>
      </c>
      <c r="G798" s="2" t="s">
        <v>1415</v>
      </c>
      <c r="H798" s="2">
        <v>2.1</v>
      </c>
      <c r="I798" s="2">
        <v>2.6</v>
      </c>
      <c r="J798" s="5" t="s">
        <v>1430</v>
      </c>
      <c r="K798" s="2" t="s">
        <v>1420</v>
      </c>
    </row>
    <row r="799" spans="1:11" x14ac:dyDescent="0.2">
      <c r="A799" s="3" t="s">
        <v>646</v>
      </c>
      <c r="B799" s="3" t="s">
        <v>647</v>
      </c>
      <c r="C799" s="3" t="s">
        <v>648</v>
      </c>
      <c r="D799" s="3" t="s">
        <v>1427</v>
      </c>
      <c r="E799" s="3" t="s">
        <v>1428</v>
      </c>
      <c r="F799" s="3">
        <v>8.27</v>
      </c>
      <c r="G799" s="3" t="s">
        <v>1429</v>
      </c>
      <c r="H799" s="3">
        <v>4</v>
      </c>
      <c r="I799" s="3">
        <v>11</v>
      </c>
      <c r="J799" s="3" t="s">
        <v>1416</v>
      </c>
      <c r="K799" s="3" t="s">
        <v>1420</v>
      </c>
    </row>
    <row r="800" spans="1:11" x14ac:dyDescent="0.2">
      <c r="A800" s="2" t="s">
        <v>646</v>
      </c>
      <c r="B800" s="2" t="s">
        <v>647</v>
      </c>
      <c r="C800" s="2" t="s">
        <v>648</v>
      </c>
      <c r="D800" s="2" t="s">
        <v>1432</v>
      </c>
      <c r="E800" s="2" t="s">
        <v>1433</v>
      </c>
      <c r="F800" s="2">
        <v>1.66</v>
      </c>
      <c r="G800" s="2" t="s">
        <v>1415</v>
      </c>
      <c r="H800" s="2">
        <v>0</v>
      </c>
      <c r="I800" s="2">
        <v>3</v>
      </c>
      <c r="J800" s="2" t="s">
        <v>1416</v>
      </c>
      <c r="K800" s="2" t="s">
        <v>1420</v>
      </c>
    </row>
    <row r="801" spans="1:11" x14ac:dyDescent="0.2">
      <c r="A801" s="3" t="s">
        <v>646</v>
      </c>
      <c r="B801" s="3" t="s">
        <v>651</v>
      </c>
      <c r="C801" s="3" t="s">
        <v>652</v>
      </c>
      <c r="D801" s="3" t="s">
        <v>1443</v>
      </c>
      <c r="E801" s="3" t="s">
        <v>1444</v>
      </c>
      <c r="F801" s="3">
        <v>77.47</v>
      </c>
      <c r="G801" s="3" t="s">
        <v>1445</v>
      </c>
      <c r="H801" s="3">
        <v>53</v>
      </c>
      <c r="I801" s="3">
        <v>97</v>
      </c>
      <c r="J801" s="3" t="s">
        <v>1416</v>
      </c>
      <c r="K801" s="3" t="s">
        <v>1417</v>
      </c>
    </row>
    <row r="802" spans="1:11" x14ac:dyDescent="0.2">
      <c r="A802" s="2" t="s">
        <v>646</v>
      </c>
      <c r="B802" s="2" t="s">
        <v>651</v>
      </c>
      <c r="C802" s="2" t="s">
        <v>652</v>
      </c>
      <c r="D802" s="2" t="s">
        <v>1435</v>
      </c>
      <c r="E802" s="2" t="s">
        <v>1436</v>
      </c>
      <c r="F802" s="2">
        <v>0.87</v>
      </c>
      <c r="G802" s="2" t="s">
        <v>1415</v>
      </c>
      <c r="H802" s="2">
        <v>0.8</v>
      </c>
      <c r="I802" s="2">
        <v>1.5</v>
      </c>
      <c r="J802" s="2" t="s">
        <v>1416</v>
      </c>
      <c r="K802" s="2" t="s">
        <v>1431</v>
      </c>
    </row>
    <row r="803" spans="1:11" x14ac:dyDescent="0.2">
      <c r="A803" s="3" t="s">
        <v>646</v>
      </c>
      <c r="B803" s="3" t="s">
        <v>651</v>
      </c>
      <c r="C803" s="3" t="s">
        <v>652</v>
      </c>
      <c r="D803" s="3" t="s">
        <v>1432</v>
      </c>
      <c r="E803" s="3" t="s">
        <v>1433</v>
      </c>
      <c r="F803" s="3">
        <v>3.2</v>
      </c>
      <c r="G803" s="3" t="s">
        <v>1415</v>
      </c>
      <c r="H803" s="3">
        <v>0</v>
      </c>
      <c r="I803" s="3">
        <v>3</v>
      </c>
      <c r="J803" s="5" t="s">
        <v>1426</v>
      </c>
      <c r="K803" s="3" t="s">
        <v>1434</v>
      </c>
    </row>
    <row r="804" spans="1:11" x14ac:dyDescent="0.2">
      <c r="A804" s="2" t="s">
        <v>646</v>
      </c>
      <c r="B804" s="2" t="s">
        <v>651</v>
      </c>
      <c r="C804" s="2" t="s">
        <v>652</v>
      </c>
      <c r="D804" s="2" t="s">
        <v>1421</v>
      </c>
      <c r="E804" s="2" t="s">
        <v>1422</v>
      </c>
      <c r="F804" s="2">
        <v>5.74</v>
      </c>
      <c r="G804" s="2" t="s">
        <v>1415</v>
      </c>
      <c r="H804" s="2">
        <v>0</v>
      </c>
      <c r="I804" s="2">
        <v>5</v>
      </c>
      <c r="J804" s="5" t="s">
        <v>1426</v>
      </c>
      <c r="K804" s="2" t="s">
        <v>1434</v>
      </c>
    </row>
    <row r="805" spans="1:11" x14ac:dyDescent="0.2">
      <c r="A805" s="3" t="s">
        <v>646</v>
      </c>
      <c r="B805" s="3" t="s">
        <v>651</v>
      </c>
      <c r="C805" s="3" t="s">
        <v>652</v>
      </c>
      <c r="D805" s="3" t="s">
        <v>1448</v>
      </c>
      <c r="E805" s="3" t="s">
        <v>1449</v>
      </c>
      <c r="F805" s="3">
        <v>141.61000000000001</v>
      </c>
      <c r="G805" s="3" t="s">
        <v>1415</v>
      </c>
      <c r="H805" s="3">
        <v>136</v>
      </c>
      <c r="I805" s="3">
        <v>145</v>
      </c>
      <c r="J805" s="3" t="s">
        <v>1416</v>
      </c>
      <c r="K805" s="3" t="s">
        <v>1417</v>
      </c>
    </row>
    <row r="806" spans="1:11" x14ac:dyDescent="0.2">
      <c r="A806" s="2" t="s">
        <v>646</v>
      </c>
      <c r="B806" s="2" t="s">
        <v>651</v>
      </c>
      <c r="C806" s="2" t="s">
        <v>652</v>
      </c>
      <c r="D806" s="2" t="s">
        <v>1423</v>
      </c>
      <c r="E806" s="2" t="s">
        <v>1424</v>
      </c>
      <c r="F806" s="2">
        <v>5.05</v>
      </c>
      <c r="G806" s="2" t="s">
        <v>1425</v>
      </c>
      <c r="H806" s="2">
        <v>4.5</v>
      </c>
      <c r="I806" s="2">
        <v>5.5</v>
      </c>
      <c r="J806" s="2" t="s">
        <v>1416</v>
      </c>
      <c r="K806" s="2" t="s">
        <v>1417</v>
      </c>
    </row>
    <row r="807" spans="1:11" x14ac:dyDescent="0.2">
      <c r="A807" s="3" t="s">
        <v>646</v>
      </c>
      <c r="B807" s="3" t="s">
        <v>651</v>
      </c>
      <c r="C807" s="3" t="s">
        <v>652</v>
      </c>
      <c r="D807" s="3" t="s">
        <v>1450</v>
      </c>
      <c r="E807" s="3" t="s">
        <v>1451</v>
      </c>
      <c r="F807" s="3">
        <v>51.55</v>
      </c>
      <c r="G807" s="3" t="s">
        <v>1452</v>
      </c>
      <c r="H807" s="3">
        <v>60</v>
      </c>
      <c r="I807" s="3">
        <v>120</v>
      </c>
      <c r="J807" s="5" t="s">
        <v>1430</v>
      </c>
      <c r="K807" s="3" t="s">
        <v>1420</v>
      </c>
    </row>
    <row r="808" spans="1:11" x14ac:dyDescent="0.2">
      <c r="A808" s="2" t="s">
        <v>646</v>
      </c>
      <c r="B808" s="2" t="s">
        <v>651</v>
      </c>
      <c r="C808" s="2" t="s">
        <v>652</v>
      </c>
      <c r="D808" s="2" t="s">
        <v>1446</v>
      </c>
      <c r="E808" s="2" t="s">
        <v>1447</v>
      </c>
      <c r="F808" s="2">
        <v>2.04</v>
      </c>
      <c r="G808" s="2" t="s">
        <v>1415</v>
      </c>
      <c r="H808" s="2">
        <v>2.1</v>
      </c>
      <c r="I808" s="2">
        <v>2.6</v>
      </c>
      <c r="J808" s="5" t="s">
        <v>1430</v>
      </c>
      <c r="K808" s="2" t="s">
        <v>1434</v>
      </c>
    </row>
    <row r="809" spans="1:11" x14ac:dyDescent="0.2">
      <c r="A809" s="3" t="s">
        <v>646</v>
      </c>
      <c r="B809" s="3" t="s">
        <v>653</v>
      </c>
      <c r="C809" s="3" t="s">
        <v>654</v>
      </c>
      <c r="D809" s="3" t="s">
        <v>1448</v>
      </c>
      <c r="E809" s="3" t="s">
        <v>1449</v>
      </c>
      <c r="F809" s="3">
        <v>139.79</v>
      </c>
      <c r="G809" s="3" t="s">
        <v>1415</v>
      </c>
      <c r="H809" s="3">
        <v>136</v>
      </c>
      <c r="I809" s="3">
        <v>145</v>
      </c>
      <c r="J809" s="3" t="s">
        <v>1416</v>
      </c>
      <c r="K809" s="3" t="s">
        <v>1420</v>
      </c>
    </row>
    <row r="810" spans="1:11" x14ac:dyDescent="0.2">
      <c r="A810" s="2" t="s">
        <v>646</v>
      </c>
      <c r="B810" s="2" t="s">
        <v>653</v>
      </c>
      <c r="C810" s="2" t="s">
        <v>654</v>
      </c>
      <c r="D810" s="2" t="s">
        <v>1443</v>
      </c>
      <c r="E810" s="2" t="s">
        <v>1444</v>
      </c>
      <c r="F810" s="2">
        <v>78.650000000000006</v>
      </c>
      <c r="G810" s="2" t="s">
        <v>1445</v>
      </c>
      <c r="H810" s="2">
        <v>53</v>
      </c>
      <c r="I810" s="2">
        <v>97</v>
      </c>
      <c r="J810" s="2" t="s">
        <v>1416</v>
      </c>
      <c r="K810" s="2" t="s">
        <v>1431</v>
      </c>
    </row>
    <row r="811" spans="1:11" x14ac:dyDescent="0.2">
      <c r="A811" s="3" t="s">
        <v>646</v>
      </c>
      <c r="B811" s="3" t="s">
        <v>653</v>
      </c>
      <c r="C811" s="3" t="s">
        <v>654</v>
      </c>
      <c r="D811" s="3" t="s">
        <v>1413</v>
      </c>
      <c r="E811" s="3" t="s">
        <v>1414</v>
      </c>
      <c r="F811" s="3">
        <v>1.56</v>
      </c>
      <c r="G811" s="3" t="s">
        <v>1415</v>
      </c>
      <c r="H811" s="3">
        <v>1</v>
      </c>
      <c r="I811" s="3">
        <v>5</v>
      </c>
      <c r="J811" s="3" t="s">
        <v>1416</v>
      </c>
      <c r="K811" s="3" t="s">
        <v>1420</v>
      </c>
    </row>
    <row r="812" spans="1:11" x14ac:dyDescent="0.2">
      <c r="A812" s="2" t="s">
        <v>646</v>
      </c>
      <c r="B812" s="2" t="s">
        <v>653</v>
      </c>
      <c r="C812" s="2" t="s">
        <v>654</v>
      </c>
      <c r="D812" s="2" t="s">
        <v>1418</v>
      </c>
      <c r="E812" s="2" t="s">
        <v>1419</v>
      </c>
      <c r="F812" s="2">
        <v>3.24</v>
      </c>
      <c r="G812" s="2" t="s">
        <v>1415</v>
      </c>
      <c r="H812" s="2">
        <v>3.5</v>
      </c>
      <c r="I812" s="2">
        <v>5</v>
      </c>
      <c r="J812" s="5" t="s">
        <v>1430</v>
      </c>
      <c r="K812" s="2" t="s">
        <v>1434</v>
      </c>
    </row>
    <row r="813" spans="1:11" x14ac:dyDescent="0.2">
      <c r="A813" s="3" t="s">
        <v>646</v>
      </c>
      <c r="B813" s="3" t="s">
        <v>653</v>
      </c>
      <c r="C813" s="3" t="s">
        <v>654</v>
      </c>
      <c r="D813" s="3" t="s">
        <v>1453</v>
      </c>
      <c r="E813" s="3" t="s">
        <v>1454</v>
      </c>
      <c r="F813" s="3">
        <v>8.56</v>
      </c>
      <c r="G813" s="3" t="s">
        <v>1415</v>
      </c>
      <c r="H813" s="3">
        <v>3.9</v>
      </c>
      <c r="I813" s="3">
        <v>5.5</v>
      </c>
      <c r="J813" s="5" t="s">
        <v>1426</v>
      </c>
      <c r="K813" s="3" t="s">
        <v>1420</v>
      </c>
    </row>
    <row r="814" spans="1:11" x14ac:dyDescent="0.2">
      <c r="A814" s="2" t="s">
        <v>646</v>
      </c>
      <c r="B814" s="2" t="s">
        <v>653</v>
      </c>
      <c r="C814" s="2" t="s">
        <v>654</v>
      </c>
      <c r="D814" s="2" t="s">
        <v>1437</v>
      </c>
      <c r="E814" s="2" t="s">
        <v>1438</v>
      </c>
      <c r="F814" s="2">
        <v>7.7</v>
      </c>
      <c r="G814" s="2" t="s">
        <v>1439</v>
      </c>
      <c r="H814" s="2">
        <v>12</v>
      </c>
      <c r="I814" s="2">
        <v>17.5</v>
      </c>
      <c r="J814" s="5" t="s">
        <v>1430</v>
      </c>
      <c r="K814" s="2" t="s">
        <v>1417</v>
      </c>
    </row>
    <row r="815" spans="1:11" x14ac:dyDescent="0.2">
      <c r="A815" s="3" t="s">
        <v>646</v>
      </c>
      <c r="B815" s="3" t="s">
        <v>656</v>
      </c>
      <c r="C815" s="3" t="s">
        <v>657</v>
      </c>
      <c r="D815" s="3" t="s">
        <v>1455</v>
      </c>
      <c r="E815" s="3" t="s">
        <v>1456</v>
      </c>
      <c r="F815" s="3">
        <v>42.52</v>
      </c>
      <c r="G815" s="3" t="s">
        <v>1457</v>
      </c>
      <c r="H815" s="3">
        <v>40</v>
      </c>
      <c r="I815" s="3">
        <v>130</v>
      </c>
      <c r="J815" s="3" t="s">
        <v>1416</v>
      </c>
      <c r="K815" s="3" t="s">
        <v>1434</v>
      </c>
    </row>
    <row r="816" spans="1:11" x14ac:dyDescent="0.2">
      <c r="A816" s="2" t="s">
        <v>646</v>
      </c>
      <c r="B816" s="2" t="s">
        <v>656</v>
      </c>
      <c r="C816" s="2" t="s">
        <v>657</v>
      </c>
      <c r="D816" s="2" t="s">
        <v>1427</v>
      </c>
      <c r="E816" s="2" t="s">
        <v>1428</v>
      </c>
      <c r="F816" s="2">
        <v>3.58</v>
      </c>
      <c r="G816" s="2" t="s">
        <v>1429</v>
      </c>
      <c r="H816" s="2">
        <v>4</v>
      </c>
      <c r="I816" s="2">
        <v>11</v>
      </c>
      <c r="J816" s="5" t="s">
        <v>1430</v>
      </c>
      <c r="K816" s="2" t="s">
        <v>1434</v>
      </c>
    </row>
    <row r="817" spans="1:11" x14ac:dyDescent="0.2">
      <c r="A817" s="3" t="s">
        <v>646</v>
      </c>
      <c r="B817" s="3" t="s">
        <v>656</v>
      </c>
      <c r="C817" s="3" t="s">
        <v>657</v>
      </c>
      <c r="D817" s="3" t="s">
        <v>1446</v>
      </c>
      <c r="E817" s="3" t="s">
        <v>1447</v>
      </c>
      <c r="F817" s="3">
        <v>2.8</v>
      </c>
      <c r="G817" s="3" t="s">
        <v>1415</v>
      </c>
      <c r="H817" s="3">
        <v>2.1</v>
      </c>
      <c r="I817" s="3">
        <v>2.6</v>
      </c>
      <c r="J817" s="5" t="s">
        <v>1426</v>
      </c>
      <c r="K817" s="3" t="s">
        <v>1417</v>
      </c>
    </row>
    <row r="818" spans="1:11" x14ac:dyDescent="0.2">
      <c r="A818" s="2" t="s">
        <v>646</v>
      </c>
      <c r="B818" s="2" t="s">
        <v>659</v>
      </c>
      <c r="C818" s="2" t="s">
        <v>660</v>
      </c>
      <c r="D818" s="2" t="s">
        <v>1413</v>
      </c>
      <c r="E818" s="2" t="s">
        <v>1414</v>
      </c>
      <c r="F818" s="2">
        <v>1.44</v>
      </c>
      <c r="G818" s="2" t="s">
        <v>1415</v>
      </c>
      <c r="H818" s="2">
        <v>1</v>
      </c>
      <c r="I818" s="2">
        <v>5</v>
      </c>
      <c r="J818" s="2" t="s">
        <v>1416</v>
      </c>
      <c r="K818" s="2" t="s">
        <v>1434</v>
      </c>
    </row>
    <row r="819" spans="1:11" x14ac:dyDescent="0.2">
      <c r="A819" s="3" t="s">
        <v>646</v>
      </c>
      <c r="B819" s="3" t="s">
        <v>659</v>
      </c>
      <c r="C819" s="3" t="s">
        <v>660</v>
      </c>
      <c r="D819" s="3" t="s">
        <v>1455</v>
      </c>
      <c r="E819" s="3" t="s">
        <v>1456</v>
      </c>
      <c r="F819" s="3">
        <v>155.86000000000001</v>
      </c>
      <c r="G819" s="3" t="s">
        <v>1457</v>
      </c>
      <c r="H819" s="3">
        <v>40</v>
      </c>
      <c r="I819" s="3">
        <v>130</v>
      </c>
      <c r="J819" s="5" t="s">
        <v>1426</v>
      </c>
      <c r="K819" s="3" t="s">
        <v>1417</v>
      </c>
    </row>
    <row r="820" spans="1:11" x14ac:dyDescent="0.2">
      <c r="A820" s="2" t="s">
        <v>646</v>
      </c>
      <c r="B820" s="2" t="s">
        <v>659</v>
      </c>
      <c r="C820" s="2" t="s">
        <v>660</v>
      </c>
      <c r="D820" s="2" t="s">
        <v>1432</v>
      </c>
      <c r="E820" s="2" t="s">
        <v>1433</v>
      </c>
      <c r="F820" s="2">
        <v>3.07</v>
      </c>
      <c r="G820" s="2" t="s">
        <v>1415</v>
      </c>
      <c r="H820" s="2">
        <v>0</v>
      </c>
      <c r="I820" s="2">
        <v>3</v>
      </c>
      <c r="J820" s="5" t="s">
        <v>1426</v>
      </c>
      <c r="K820" s="2" t="s">
        <v>1434</v>
      </c>
    </row>
    <row r="821" spans="1:11" x14ac:dyDescent="0.2">
      <c r="A821" s="3" t="s">
        <v>646</v>
      </c>
      <c r="B821" s="3" t="s">
        <v>659</v>
      </c>
      <c r="C821" s="3" t="s">
        <v>660</v>
      </c>
      <c r="D821" s="3" t="s">
        <v>1450</v>
      </c>
      <c r="E821" s="3" t="s">
        <v>1451</v>
      </c>
      <c r="F821" s="3">
        <v>111.95</v>
      </c>
      <c r="G821" s="3" t="s">
        <v>1452</v>
      </c>
      <c r="H821" s="3">
        <v>60</v>
      </c>
      <c r="I821" s="3">
        <v>120</v>
      </c>
      <c r="J821" s="3" t="s">
        <v>1416</v>
      </c>
      <c r="K821" s="3" t="s">
        <v>1434</v>
      </c>
    </row>
    <row r="822" spans="1:11" x14ac:dyDescent="0.2">
      <c r="A822" s="2" t="s">
        <v>646</v>
      </c>
      <c r="B822" s="2" t="s">
        <v>659</v>
      </c>
      <c r="C822" s="2" t="s">
        <v>660</v>
      </c>
      <c r="D822" s="2" t="s">
        <v>1418</v>
      </c>
      <c r="E822" s="2" t="s">
        <v>1419</v>
      </c>
      <c r="F822" s="2">
        <v>3.27</v>
      </c>
      <c r="G822" s="2" t="s">
        <v>1415</v>
      </c>
      <c r="H822" s="2">
        <v>3.5</v>
      </c>
      <c r="I822" s="2">
        <v>5</v>
      </c>
      <c r="J822" s="5" t="s">
        <v>1430</v>
      </c>
      <c r="K822" s="2" t="s">
        <v>1434</v>
      </c>
    </row>
    <row r="823" spans="1:11" x14ac:dyDescent="0.2">
      <c r="A823" s="3" t="s">
        <v>646</v>
      </c>
      <c r="B823" s="3" t="s">
        <v>659</v>
      </c>
      <c r="C823" s="3" t="s">
        <v>660</v>
      </c>
      <c r="D823" s="3" t="s">
        <v>1453</v>
      </c>
      <c r="E823" s="3" t="s">
        <v>1454</v>
      </c>
      <c r="F823" s="3">
        <v>8.1300000000000008</v>
      </c>
      <c r="G823" s="3" t="s">
        <v>1415</v>
      </c>
      <c r="H823" s="3">
        <v>3.9</v>
      </c>
      <c r="I823" s="3">
        <v>5.5</v>
      </c>
      <c r="J823" s="5" t="s">
        <v>1426</v>
      </c>
      <c r="K823" s="3" t="s">
        <v>1431</v>
      </c>
    </row>
    <row r="824" spans="1:11" x14ac:dyDescent="0.2">
      <c r="A824" s="2" t="s">
        <v>646</v>
      </c>
      <c r="B824" s="2" t="s">
        <v>659</v>
      </c>
      <c r="C824" s="2" t="s">
        <v>660</v>
      </c>
      <c r="D824" s="2" t="s">
        <v>1427</v>
      </c>
      <c r="E824" s="2" t="s">
        <v>1428</v>
      </c>
      <c r="F824" s="2">
        <v>4.13</v>
      </c>
      <c r="G824" s="2" t="s">
        <v>1429</v>
      </c>
      <c r="H824" s="2">
        <v>4</v>
      </c>
      <c r="I824" s="2">
        <v>11</v>
      </c>
      <c r="J824" s="2" t="s">
        <v>1416</v>
      </c>
      <c r="K824" s="2" t="s">
        <v>1420</v>
      </c>
    </row>
    <row r="825" spans="1:11" x14ac:dyDescent="0.2">
      <c r="A825" s="3" t="s">
        <v>646</v>
      </c>
      <c r="B825" s="3" t="s">
        <v>659</v>
      </c>
      <c r="C825" s="3" t="s">
        <v>660</v>
      </c>
      <c r="D825" s="3" t="s">
        <v>1435</v>
      </c>
      <c r="E825" s="3" t="s">
        <v>1436</v>
      </c>
      <c r="F825" s="3">
        <v>1.62</v>
      </c>
      <c r="G825" s="3" t="s">
        <v>1415</v>
      </c>
      <c r="H825" s="3">
        <v>0.8</v>
      </c>
      <c r="I825" s="3">
        <v>1.5</v>
      </c>
      <c r="J825" s="5" t="s">
        <v>1426</v>
      </c>
      <c r="K825" s="3" t="s">
        <v>1417</v>
      </c>
    </row>
    <row r="826" spans="1:11" x14ac:dyDescent="0.2">
      <c r="A826" s="2" t="s">
        <v>662</v>
      </c>
      <c r="B826" s="2" t="s">
        <v>663</v>
      </c>
      <c r="C826" s="2" t="s">
        <v>664</v>
      </c>
      <c r="D826" s="2" t="s">
        <v>1440</v>
      </c>
      <c r="E826" s="2" t="s">
        <v>1441</v>
      </c>
      <c r="F826" s="2">
        <v>10.86</v>
      </c>
      <c r="G826" s="2" t="s">
        <v>1442</v>
      </c>
      <c r="H826" s="2">
        <v>4</v>
      </c>
      <c r="I826" s="2">
        <v>5.6</v>
      </c>
      <c r="J826" s="5" t="s">
        <v>1426</v>
      </c>
      <c r="K826" s="2" t="s">
        <v>1420</v>
      </c>
    </row>
    <row r="827" spans="1:11" x14ac:dyDescent="0.2">
      <c r="A827" s="3" t="s">
        <v>662</v>
      </c>
      <c r="B827" s="3" t="s">
        <v>663</v>
      </c>
      <c r="C827" s="3" t="s">
        <v>664</v>
      </c>
      <c r="D827" s="3" t="s">
        <v>1453</v>
      </c>
      <c r="E827" s="3" t="s">
        <v>1454</v>
      </c>
      <c r="F827" s="3">
        <v>8.08</v>
      </c>
      <c r="G827" s="3" t="s">
        <v>1415</v>
      </c>
      <c r="H827" s="3">
        <v>3.9</v>
      </c>
      <c r="I827" s="3">
        <v>5.5</v>
      </c>
      <c r="J827" s="5" t="s">
        <v>1426</v>
      </c>
      <c r="K827" s="3" t="s">
        <v>1434</v>
      </c>
    </row>
    <row r="828" spans="1:11" x14ac:dyDescent="0.2">
      <c r="A828" s="2" t="s">
        <v>662</v>
      </c>
      <c r="B828" s="2" t="s">
        <v>663</v>
      </c>
      <c r="C828" s="2" t="s">
        <v>664</v>
      </c>
      <c r="D828" s="2" t="s">
        <v>1421</v>
      </c>
      <c r="E828" s="2" t="s">
        <v>1422</v>
      </c>
      <c r="F828" s="2">
        <v>7.24</v>
      </c>
      <c r="G828" s="2" t="s">
        <v>1415</v>
      </c>
      <c r="H828" s="2">
        <v>0</v>
      </c>
      <c r="I828" s="2">
        <v>5</v>
      </c>
      <c r="J828" s="5" t="s">
        <v>1426</v>
      </c>
      <c r="K828" s="2" t="s">
        <v>1434</v>
      </c>
    </row>
    <row r="829" spans="1:11" x14ac:dyDescent="0.2">
      <c r="A829" s="3" t="s">
        <v>662</v>
      </c>
      <c r="B829" s="3" t="s">
        <v>663</v>
      </c>
      <c r="C829" s="3" t="s">
        <v>664</v>
      </c>
      <c r="D829" s="3" t="s">
        <v>1435</v>
      </c>
      <c r="E829" s="3" t="s">
        <v>1436</v>
      </c>
      <c r="F829" s="3">
        <v>0.84</v>
      </c>
      <c r="G829" s="3" t="s">
        <v>1415</v>
      </c>
      <c r="H829" s="3">
        <v>0.8</v>
      </c>
      <c r="I829" s="3">
        <v>1.5</v>
      </c>
      <c r="J829" s="3" t="s">
        <v>1416</v>
      </c>
      <c r="K829" s="3" t="s">
        <v>1434</v>
      </c>
    </row>
    <row r="830" spans="1:11" x14ac:dyDescent="0.2">
      <c r="A830" s="2" t="s">
        <v>662</v>
      </c>
      <c r="B830" s="2" t="s">
        <v>666</v>
      </c>
      <c r="C830" s="2" t="s">
        <v>667</v>
      </c>
      <c r="D830" s="2" t="s">
        <v>1443</v>
      </c>
      <c r="E830" s="2" t="s">
        <v>1444</v>
      </c>
      <c r="F830" s="2">
        <v>65.55</v>
      </c>
      <c r="G830" s="2" t="s">
        <v>1445</v>
      </c>
      <c r="H830" s="2">
        <v>53</v>
      </c>
      <c r="I830" s="2">
        <v>97</v>
      </c>
      <c r="J830" s="2" t="s">
        <v>1416</v>
      </c>
      <c r="K830" s="2" t="s">
        <v>1417</v>
      </c>
    </row>
    <row r="831" spans="1:11" x14ac:dyDescent="0.2">
      <c r="A831" s="3" t="s">
        <v>662</v>
      </c>
      <c r="B831" s="3" t="s">
        <v>666</v>
      </c>
      <c r="C831" s="3" t="s">
        <v>667</v>
      </c>
      <c r="D831" s="3" t="s">
        <v>1413</v>
      </c>
      <c r="E831" s="3" t="s">
        <v>1414</v>
      </c>
      <c r="F831" s="3">
        <v>1.1000000000000001</v>
      </c>
      <c r="G831" s="3" t="s">
        <v>1415</v>
      </c>
      <c r="H831" s="3">
        <v>1</v>
      </c>
      <c r="I831" s="3">
        <v>5</v>
      </c>
      <c r="J831" s="3" t="s">
        <v>1416</v>
      </c>
      <c r="K831" s="3" t="s">
        <v>1431</v>
      </c>
    </row>
    <row r="832" spans="1:11" x14ac:dyDescent="0.2">
      <c r="A832" s="2" t="s">
        <v>662</v>
      </c>
      <c r="B832" s="2" t="s">
        <v>666</v>
      </c>
      <c r="C832" s="2" t="s">
        <v>667</v>
      </c>
      <c r="D832" s="2" t="s">
        <v>1453</v>
      </c>
      <c r="E832" s="2" t="s">
        <v>1454</v>
      </c>
      <c r="F832" s="2">
        <v>8.6199999999999992</v>
      </c>
      <c r="G832" s="2" t="s">
        <v>1415</v>
      </c>
      <c r="H832" s="2">
        <v>3.9</v>
      </c>
      <c r="I832" s="2">
        <v>5.5</v>
      </c>
      <c r="J832" s="5" t="s">
        <v>1426</v>
      </c>
      <c r="K832" s="2" t="s">
        <v>1417</v>
      </c>
    </row>
    <row r="833" spans="1:11" x14ac:dyDescent="0.2">
      <c r="A833" s="3" t="s">
        <v>669</v>
      </c>
      <c r="B833" s="3" t="s">
        <v>670</v>
      </c>
      <c r="C833" s="3" t="s">
        <v>287</v>
      </c>
      <c r="D833" s="3" t="s">
        <v>1440</v>
      </c>
      <c r="E833" s="3" t="s">
        <v>1441</v>
      </c>
      <c r="F833" s="3">
        <v>9.89</v>
      </c>
      <c r="G833" s="3" t="s">
        <v>1442</v>
      </c>
      <c r="H833" s="3">
        <v>4</v>
      </c>
      <c r="I833" s="3">
        <v>5.6</v>
      </c>
      <c r="J833" s="5" t="s">
        <v>1426</v>
      </c>
      <c r="K833" s="3" t="s">
        <v>1417</v>
      </c>
    </row>
    <row r="834" spans="1:11" x14ac:dyDescent="0.2">
      <c r="A834" s="2" t="s">
        <v>669</v>
      </c>
      <c r="B834" s="2" t="s">
        <v>670</v>
      </c>
      <c r="C834" s="2" t="s">
        <v>287</v>
      </c>
      <c r="D834" s="2" t="s">
        <v>1432</v>
      </c>
      <c r="E834" s="2" t="s">
        <v>1433</v>
      </c>
      <c r="F834" s="2">
        <v>3.62</v>
      </c>
      <c r="G834" s="2" t="s">
        <v>1415</v>
      </c>
      <c r="H834" s="2">
        <v>0</v>
      </c>
      <c r="I834" s="2">
        <v>3</v>
      </c>
      <c r="J834" s="5" t="s">
        <v>1426</v>
      </c>
      <c r="K834" s="2" t="s">
        <v>1434</v>
      </c>
    </row>
    <row r="835" spans="1:11" x14ac:dyDescent="0.2">
      <c r="A835" s="3" t="s">
        <v>669</v>
      </c>
      <c r="B835" s="3" t="s">
        <v>670</v>
      </c>
      <c r="C835" s="3" t="s">
        <v>287</v>
      </c>
      <c r="D835" s="3" t="s">
        <v>1455</v>
      </c>
      <c r="E835" s="3" t="s">
        <v>1456</v>
      </c>
      <c r="F835" s="3">
        <v>196.96</v>
      </c>
      <c r="G835" s="3" t="s">
        <v>1457</v>
      </c>
      <c r="H835" s="3">
        <v>40</v>
      </c>
      <c r="I835" s="3">
        <v>130</v>
      </c>
      <c r="J835" s="5" t="s">
        <v>1426</v>
      </c>
      <c r="K835" s="3" t="s">
        <v>1431</v>
      </c>
    </row>
    <row r="836" spans="1:11" x14ac:dyDescent="0.2">
      <c r="A836" s="2" t="s">
        <v>669</v>
      </c>
      <c r="B836" s="2" t="s">
        <v>673</v>
      </c>
      <c r="C836" s="2" t="s">
        <v>441</v>
      </c>
      <c r="D836" s="2" t="s">
        <v>1448</v>
      </c>
      <c r="E836" s="2" t="s">
        <v>1449</v>
      </c>
      <c r="F836" s="2">
        <v>134.38</v>
      </c>
      <c r="G836" s="2" t="s">
        <v>1415</v>
      </c>
      <c r="H836" s="2">
        <v>136</v>
      </c>
      <c r="I836" s="2">
        <v>145</v>
      </c>
      <c r="J836" s="5" t="s">
        <v>1430</v>
      </c>
      <c r="K836" s="2" t="s">
        <v>1420</v>
      </c>
    </row>
    <row r="837" spans="1:11" x14ac:dyDescent="0.2">
      <c r="A837" s="3" t="s">
        <v>669</v>
      </c>
      <c r="B837" s="3" t="s">
        <v>673</v>
      </c>
      <c r="C837" s="3" t="s">
        <v>441</v>
      </c>
      <c r="D837" s="3" t="s">
        <v>1437</v>
      </c>
      <c r="E837" s="3" t="s">
        <v>1438</v>
      </c>
      <c r="F837" s="3">
        <v>15.25</v>
      </c>
      <c r="G837" s="3" t="s">
        <v>1439</v>
      </c>
      <c r="H837" s="3">
        <v>12</v>
      </c>
      <c r="I837" s="3">
        <v>17.5</v>
      </c>
      <c r="J837" s="3" t="s">
        <v>1416</v>
      </c>
      <c r="K837" s="3" t="s">
        <v>1420</v>
      </c>
    </row>
    <row r="838" spans="1:11" x14ac:dyDescent="0.2">
      <c r="A838" s="2" t="s">
        <v>669</v>
      </c>
      <c r="B838" s="2" t="s">
        <v>673</v>
      </c>
      <c r="C838" s="2" t="s">
        <v>441</v>
      </c>
      <c r="D838" s="2" t="s">
        <v>1455</v>
      </c>
      <c r="E838" s="2" t="s">
        <v>1456</v>
      </c>
      <c r="F838" s="2">
        <v>208.72</v>
      </c>
      <c r="G838" s="2" t="s">
        <v>1457</v>
      </c>
      <c r="H838" s="2">
        <v>40</v>
      </c>
      <c r="I838" s="2">
        <v>130</v>
      </c>
      <c r="J838" s="5" t="s">
        <v>1426</v>
      </c>
      <c r="K838" s="2" t="s">
        <v>1431</v>
      </c>
    </row>
    <row r="839" spans="1:11" x14ac:dyDescent="0.2">
      <c r="A839" s="3" t="s">
        <v>669</v>
      </c>
      <c r="B839" s="3" t="s">
        <v>673</v>
      </c>
      <c r="C839" s="3" t="s">
        <v>441</v>
      </c>
      <c r="D839" s="3" t="s">
        <v>1413</v>
      </c>
      <c r="E839" s="3" t="s">
        <v>1414</v>
      </c>
      <c r="F839" s="3">
        <v>1.69</v>
      </c>
      <c r="G839" s="3" t="s">
        <v>1415</v>
      </c>
      <c r="H839" s="3">
        <v>1</v>
      </c>
      <c r="I839" s="3">
        <v>5</v>
      </c>
      <c r="J839" s="3" t="s">
        <v>1416</v>
      </c>
      <c r="K839" s="3" t="s">
        <v>1431</v>
      </c>
    </row>
    <row r="840" spans="1:11" x14ac:dyDescent="0.2">
      <c r="A840" s="2" t="s">
        <v>669</v>
      </c>
      <c r="B840" s="2" t="s">
        <v>673</v>
      </c>
      <c r="C840" s="2" t="s">
        <v>441</v>
      </c>
      <c r="D840" s="2" t="s">
        <v>1432</v>
      </c>
      <c r="E840" s="2" t="s">
        <v>1433</v>
      </c>
      <c r="F840" s="2">
        <v>3.84</v>
      </c>
      <c r="G840" s="2" t="s">
        <v>1415</v>
      </c>
      <c r="H840" s="2">
        <v>0</v>
      </c>
      <c r="I840" s="2">
        <v>3</v>
      </c>
      <c r="J840" s="5" t="s">
        <v>1426</v>
      </c>
      <c r="K840" s="2" t="s">
        <v>1434</v>
      </c>
    </row>
    <row r="841" spans="1:11" x14ac:dyDescent="0.2">
      <c r="A841" s="3" t="s">
        <v>669</v>
      </c>
      <c r="B841" s="3" t="s">
        <v>673</v>
      </c>
      <c r="C841" s="3" t="s">
        <v>441</v>
      </c>
      <c r="D841" s="3" t="s">
        <v>1450</v>
      </c>
      <c r="E841" s="3" t="s">
        <v>1451</v>
      </c>
      <c r="F841" s="3">
        <v>126.75</v>
      </c>
      <c r="G841" s="3" t="s">
        <v>1452</v>
      </c>
      <c r="H841" s="3">
        <v>60</v>
      </c>
      <c r="I841" s="3">
        <v>120</v>
      </c>
      <c r="J841" s="5" t="s">
        <v>1426</v>
      </c>
      <c r="K841" s="3" t="s">
        <v>1434</v>
      </c>
    </row>
    <row r="842" spans="1:11" x14ac:dyDescent="0.2">
      <c r="A842" s="2" t="s">
        <v>669</v>
      </c>
      <c r="B842" s="2" t="s">
        <v>673</v>
      </c>
      <c r="C842" s="2" t="s">
        <v>441</v>
      </c>
      <c r="D842" s="2" t="s">
        <v>1421</v>
      </c>
      <c r="E842" s="2" t="s">
        <v>1422</v>
      </c>
      <c r="F842" s="2">
        <v>4.3499999999999996</v>
      </c>
      <c r="G842" s="2" t="s">
        <v>1415</v>
      </c>
      <c r="H842" s="2">
        <v>0</v>
      </c>
      <c r="I842" s="2">
        <v>5</v>
      </c>
      <c r="J842" s="2" t="s">
        <v>1416</v>
      </c>
      <c r="K842" s="2" t="s">
        <v>1431</v>
      </c>
    </row>
    <row r="843" spans="1:11" x14ac:dyDescent="0.2">
      <c r="A843" s="3" t="s">
        <v>669</v>
      </c>
      <c r="B843" s="3" t="s">
        <v>675</v>
      </c>
      <c r="C843" s="3" t="s">
        <v>462</v>
      </c>
      <c r="D843" s="3" t="s">
        <v>1446</v>
      </c>
      <c r="E843" s="3" t="s">
        <v>1447</v>
      </c>
      <c r="F843" s="3">
        <v>2.0499999999999998</v>
      </c>
      <c r="G843" s="3" t="s">
        <v>1415</v>
      </c>
      <c r="H843" s="3">
        <v>2.1</v>
      </c>
      <c r="I843" s="3">
        <v>2.6</v>
      </c>
      <c r="J843" s="5" t="s">
        <v>1430</v>
      </c>
      <c r="K843" s="3" t="s">
        <v>1420</v>
      </c>
    </row>
    <row r="844" spans="1:11" x14ac:dyDescent="0.2">
      <c r="A844" s="2" t="s">
        <v>669</v>
      </c>
      <c r="B844" s="2" t="s">
        <v>675</v>
      </c>
      <c r="C844" s="2" t="s">
        <v>462</v>
      </c>
      <c r="D844" s="2" t="s">
        <v>1418</v>
      </c>
      <c r="E844" s="2" t="s">
        <v>1419</v>
      </c>
      <c r="F844" s="2">
        <v>4.95</v>
      </c>
      <c r="G844" s="2" t="s">
        <v>1415</v>
      </c>
      <c r="H844" s="2">
        <v>3.5</v>
      </c>
      <c r="I844" s="2">
        <v>5</v>
      </c>
      <c r="J844" s="2" t="s">
        <v>1416</v>
      </c>
      <c r="K844" s="2" t="s">
        <v>1420</v>
      </c>
    </row>
    <row r="845" spans="1:11" x14ac:dyDescent="0.2">
      <c r="A845" s="3" t="s">
        <v>669</v>
      </c>
      <c r="B845" s="3" t="s">
        <v>675</v>
      </c>
      <c r="C845" s="3" t="s">
        <v>462</v>
      </c>
      <c r="D845" s="3" t="s">
        <v>1421</v>
      </c>
      <c r="E845" s="3" t="s">
        <v>1422</v>
      </c>
      <c r="F845" s="3">
        <v>6.33</v>
      </c>
      <c r="G845" s="3" t="s">
        <v>1415</v>
      </c>
      <c r="H845" s="3">
        <v>0</v>
      </c>
      <c r="I845" s="3">
        <v>5</v>
      </c>
      <c r="J845" s="5" t="s">
        <v>1426</v>
      </c>
      <c r="K845" s="3" t="s">
        <v>1431</v>
      </c>
    </row>
    <row r="846" spans="1:11" x14ac:dyDescent="0.2">
      <c r="A846" s="2" t="s">
        <v>669</v>
      </c>
      <c r="B846" s="2" t="s">
        <v>675</v>
      </c>
      <c r="C846" s="2" t="s">
        <v>462</v>
      </c>
      <c r="D846" s="2" t="s">
        <v>1448</v>
      </c>
      <c r="E846" s="2" t="s">
        <v>1449</v>
      </c>
      <c r="F846" s="2">
        <v>145.72</v>
      </c>
      <c r="G846" s="2" t="s">
        <v>1415</v>
      </c>
      <c r="H846" s="2">
        <v>136</v>
      </c>
      <c r="I846" s="2">
        <v>145</v>
      </c>
      <c r="J846" s="5" t="s">
        <v>1426</v>
      </c>
      <c r="K846" s="2" t="s">
        <v>1434</v>
      </c>
    </row>
    <row r="847" spans="1:11" x14ac:dyDescent="0.2">
      <c r="A847" s="3" t="s">
        <v>669</v>
      </c>
      <c r="B847" s="3" t="s">
        <v>675</v>
      </c>
      <c r="C847" s="3" t="s">
        <v>462</v>
      </c>
      <c r="D847" s="3" t="s">
        <v>1453</v>
      </c>
      <c r="E847" s="3" t="s">
        <v>1454</v>
      </c>
      <c r="F847" s="3">
        <v>8.57</v>
      </c>
      <c r="G847" s="3" t="s">
        <v>1415</v>
      </c>
      <c r="H847" s="3">
        <v>3.9</v>
      </c>
      <c r="I847" s="3">
        <v>5.5</v>
      </c>
      <c r="J847" s="5" t="s">
        <v>1426</v>
      </c>
      <c r="K847" s="3" t="s">
        <v>1431</v>
      </c>
    </row>
    <row r="848" spans="1:11" x14ac:dyDescent="0.2">
      <c r="A848" s="2" t="s">
        <v>669</v>
      </c>
      <c r="B848" s="2" t="s">
        <v>675</v>
      </c>
      <c r="C848" s="2" t="s">
        <v>462</v>
      </c>
      <c r="D848" s="2" t="s">
        <v>1432</v>
      </c>
      <c r="E848" s="2" t="s">
        <v>1433</v>
      </c>
      <c r="F848" s="2">
        <v>4.68</v>
      </c>
      <c r="G848" s="2" t="s">
        <v>1415</v>
      </c>
      <c r="H848" s="2">
        <v>0</v>
      </c>
      <c r="I848" s="2">
        <v>3</v>
      </c>
      <c r="J848" s="5" t="s">
        <v>1426</v>
      </c>
      <c r="K848" s="2" t="s">
        <v>1417</v>
      </c>
    </row>
    <row r="849" spans="1:11" x14ac:dyDescent="0.2">
      <c r="A849" s="3" t="s">
        <v>669</v>
      </c>
      <c r="B849" s="3" t="s">
        <v>677</v>
      </c>
      <c r="C849" s="3" t="s">
        <v>678</v>
      </c>
      <c r="D849" s="3" t="s">
        <v>1446</v>
      </c>
      <c r="E849" s="3" t="s">
        <v>1447</v>
      </c>
      <c r="F849" s="3">
        <v>1.88</v>
      </c>
      <c r="G849" s="3" t="s">
        <v>1415</v>
      </c>
      <c r="H849" s="3">
        <v>2.1</v>
      </c>
      <c r="I849" s="3">
        <v>2.6</v>
      </c>
      <c r="J849" s="5" t="s">
        <v>1430</v>
      </c>
      <c r="K849" s="3" t="s">
        <v>1417</v>
      </c>
    </row>
    <row r="850" spans="1:11" x14ac:dyDescent="0.2">
      <c r="A850" s="2" t="s">
        <v>669</v>
      </c>
      <c r="B850" s="2" t="s">
        <v>677</v>
      </c>
      <c r="C850" s="2" t="s">
        <v>678</v>
      </c>
      <c r="D850" s="2" t="s">
        <v>1423</v>
      </c>
      <c r="E850" s="2" t="s">
        <v>1424</v>
      </c>
      <c r="F850" s="2">
        <v>3.49</v>
      </c>
      <c r="G850" s="2" t="s">
        <v>1425</v>
      </c>
      <c r="H850" s="2">
        <v>4.5</v>
      </c>
      <c r="I850" s="2">
        <v>5.5</v>
      </c>
      <c r="J850" s="5" t="s">
        <v>1430</v>
      </c>
      <c r="K850" s="2" t="s">
        <v>1420</v>
      </c>
    </row>
    <row r="851" spans="1:11" x14ac:dyDescent="0.2">
      <c r="A851" s="3" t="s">
        <v>669</v>
      </c>
      <c r="B851" s="3" t="s">
        <v>677</v>
      </c>
      <c r="C851" s="3" t="s">
        <v>678</v>
      </c>
      <c r="D851" s="3" t="s">
        <v>1427</v>
      </c>
      <c r="E851" s="3" t="s">
        <v>1428</v>
      </c>
      <c r="F851" s="3">
        <v>17.25</v>
      </c>
      <c r="G851" s="3" t="s">
        <v>1429</v>
      </c>
      <c r="H851" s="3">
        <v>4</v>
      </c>
      <c r="I851" s="3">
        <v>11</v>
      </c>
      <c r="J851" s="5" t="s">
        <v>1426</v>
      </c>
      <c r="K851" s="3" t="s">
        <v>1434</v>
      </c>
    </row>
    <row r="852" spans="1:11" x14ac:dyDescent="0.2">
      <c r="A852" s="2" t="s">
        <v>669</v>
      </c>
      <c r="B852" s="2" t="s">
        <v>677</v>
      </c>
      <c r="C852" s="2" t="s">
        <v>678</v>
      </c>
      <c r="D852" s="2" t="s">
        <v>1421</v>
      </c>
      <c r="E852" s="2" t="s">
        <v>1422</v>
      </c>
      <c r="F852" s="2">
        <v>4.09</v>
      </c>
      <c r="G852" s="2" t="s">
        <v>1415</v>
      </c>
      <c r="H852" s="2">
        <v>0</v>
      </c>
      <c r="I852" s="2">
        <v>5</v>
      </c>
      <c r="J852" s="2" t="s">
        <v>1416</v>
      </c>
      <c r="K852" s="2" t="s">
        <v>1434</v>
      </c>
    </row>
    <row r="853" spans="1:11" x14ac:dyDescent="0.2">
      <c r="A853" s="3" t="s">
        <v>669</v>
      </c>
      <c r="B853" s="3" t="s">
        <v>677</v>
      </c>
      <c r="C853" s="3" t="s">
        <v>678</v>
      </c>
      <c r="D853" s="3" t="s">
        <v>1418</v>
      </c>
      <c r="E853" s="3" t="s">
        <v>1419</v>
      </c>
      <c r="F853" s="3">
        <v>4.91</v>
      </c>
      <c r="G853" s="3" t="s">
        <v>1415</v>
      </c>
      <c r="H853" s="3">
        <v>3.5</v>
      </c>
      <c r="I853" s="3">
        <v>5</v>
      </c>
      <c r="J853" s="3" t="s">
        <v>1416</v>
      </c>
      <c r="K853" s="3" t="s">
        <v>1431</v>
      </c>
    </row>
    <row r="854" spans="1:11" x14ac:dyDescent="0.2">
      <c r="A854" s="2" t="s">
        <v>669</v>
      </c>
      <c r="B854" s="2" t="s">
        <v>677</v>
      </c>
      <c r="C854" s="2" t="s">
        <v>678</v>
      </c>
      <c r="D854" s="2" t="s">
        <v>1435</v>
      </c>
      <c r="E854" s="2" t="s">
        <v>1436</v>
      </c>
      <c r="F854" s="2">
        <v>0.52</v>
      </c>
      <c r="G854" s="2" t="s">
        <v>1415</v>
      </c>
      <c r="H854" s="2">
        <v>0.8</v>
      </c>
      <c r="I854" s="2">
        <v>1.5</v>
      </c>
      <c r="J854" s="5" t="s">
        <v>1430</v>
      </c>
      <c r="K854" s="2" t="s">
        <v>1417</v>
      </c>
    </row>
    <row r="855" spans="1:11" x14ac:dyDescent="0.2">
      <c r="A855" s="3" t="s">
        <v>680</v>
      </c>
      <c r="B855" s="3" t="s">
        <v>681</v>
      </c>
      <c r="C855" s="3" t="s">
        <v>682</v>
      </c>
      <c r="D855" s="3" t="s">
        <v>1413</v>
      </c>
      <c r="E855" s="3" t="s">
        <v>1414</v>
      </c>
      <c r="F855" s="3">
        <v>1.5</v>
      </c>
      <c r="G855" s="3" t="s">
        <v>1415</v>
      </c>
      <c r="H855" s="3">
        <v>1</v>
      </c>
      <c r="I855" s="3">
        <v>5</v>
      </c>
      <c r="J855" s="3" t="s">
        <v>1416</v>
      </c>
      <c r="K855" s="3" t="s">
        <v>1420</v>
      </c>
    </row>
    <row r="856" spans="1:11" x14ac:dyDescent="0.2">
      <c r="A856" s="2" t="s">
        <v>680</v>
      </c>
      <c r="B856" s="2" t="s">
        <v>681</v>
      </c>
      <c r="C856" s="2" t="s">
        <v>682</v>
      </c>
      <c r="D856" s="2" t="s">
        <v>1443</v>
      </c>
      <c r="E856" s="2" t="s">
        <v>1444</v>
      </c>
      <c r="F856" s="2">
        <v>65.62</v>
      </c>
      <c r="G856" s="2" t="s">
        <v>1445</v>
      </c>
      <c r="H856" s="2">
        <v>53</v>
      </c>
      <c r="I856" s="2">
        <v>97</v>
      </c>
      <c r="J856" s="2" t="s">
        <v>1416</v>
      </c>
      <c r="K856" s="2" t="s">
        <v>1434</v>
      </c>
    </row>
    <row r="857" spans="1:11" x14ac:dyDescent="0.2">
      <c r="A857" s="3" t="s">
        <v>680</v>
      </c>
      <c r="B857" s="3" t="s">
        <v>681</v>
      </c>
      <c r="C857" s="3" t="s">
        <v>682</v>
      </c>
      <c r="D857" s="3" t="s">
        <v>1448</v>
      </c>
      <c r="E857" s="3" t="s">
        <v>1449</v>
      </c>
      <c r="F857" s="3">
        <v>138.32</v>
      </c>
      <c r="G857" s="3" t="s">
        <v>1415</v>
      </c>
      <c r="H857" s="3">
        <v>136</v>
      </c>
      <c r="I857" s="3">
        <v>145</v>
      </c>
      <c r="J857" s="3" t="s">
        <v>1416</v>
      </c>
      <c r="K857" s="3" t="s">
        <v>1431</v>
      </c>
    </row>
    <row r="858" spans="1:11" x14ac:dyDescent="0.2">
      <c r="A858" s="2" t="s">
        <v>680</v>
      </c>
      <c r="B858" s="2" t="s">
        <v>681</v>
      </c>
      <c r="C858" s="2" t="s">
        <v>682</v>
      </c>
      <c r="D858" s="2" t="s">
        <v>1437</v>
      </c>
      <c r="E858" s="2" t="s">
        <v>1438</v>
      </c>
      <c r="F858" s="2">
        <v>7.96</v>
      </c>
      <c r="G858" s="2" t="s">
        <v>1439</v>
      </c>
      <c r="H858" s="2">
        <v>12</v>
      </c>
      <c r="I858" s="2">
        <v>17.5</v>
      </c>
      <c r="J858" s="5" t="s">
        <v>1430</v>
      </c>
      <c r="K858" s="2" t="s">
        <v>1417</v>
      </c>
    </row>
    <row r="859" spans="1:11" x14ac:dyDescent="0.2">
      <c r="A859" s="3" t="s">
        <v>680</v>
      </c>
      <c r="B859" s="3" t="s">
        <v>685</v>
      </c>
      <c r="C859" s="3" t="s">
        <v>313</v>
      </c>
      <c r="D859" s="3" t="s">
        <v>1432</v>
      </c>
      <c r="E859" s="3" t="s">
        <v>1433</v>
      </c>
      <c r="F859" s="3">
        <v>3.66</v>
      </c>
      <c r="G859" s="3" t="s">
        <v>1415</v>
      </c>
      <c r="H859" s="3">
        <v>0</v>
      </c>
      <c r="I859" s="3">
        <v>3</v>
      </c>
      <c r="J859" s="5" t="s">
        <v>1426</v>
      </c>
      <c r="K859" s="3" t="s">
        <v>1417</v>
      </c>
    </row>
    <row r="860" spans="1:11" x14ac:dyDescent="0.2">
      <c r="A860" s="2" t="s">
        <v>680</v>
      </c>
      <c r="B860" s="2" t="s">
        <v>685</v>
      </c>
      <c r="C860" s="2" t="s">
        <v>313</v>
      </c>
      <c r="D860" s="2" t="s">
        <v>1443</v>
      </c>
      <c r="E860" s="2" t="s">
        <v>1444</v>
      </c>
      <c r="F860" s="2">
        <v>62.76</v>
      </c>
      <c r="G860" s="2" t="s">
        <v>1445</v>
      </c>
      <c r="H860" s="2">
        <v>53</v>
      </c>
      <c r="I860" s="2">
        <v>97</v>
      </c>
      <c r="J860" s="2" t="s">
        <v>1416</v>
      </c>
      <c r="K860" s="2" t="s">
        <v>1431</v>
      </c>
    </row>
    <row r="861" spans="1:11" x14ac:dyDescent="0.2">
      <c r="A861" s="3" t="s">
        <v>680</v>
      </c>
      <c r="B861" s="3" t="s">
        <v>685</v>
      </c>
      <c r="C861" s="3" t="s">
        <v>313</v>
      </c>
      <c r="D861" s="3" t="s">
        <v>1448</v>
      </c>
      <c r="E861" s="3" t="s">
        <v>1449</v>
      </c>
      <c r="F861" s="3">
        <v>139.04</v>
      </c>
      <c r="G861" s="3" t="s">
        <v>1415</v>
      </c>
      <c r="H861" s="3">
        <v>136</v>
      </c>
      <c r="I861" s="3">
        <v>145</v>
      </c>
      <c r="J861" s="3" t="s">
        <v>1416</v>
      </c>
      <c r="K861" s="3" t="s">
        <v>1420</v>
      </c>
    </row>
    <row r="862" spans="1:11" x14ac:dyDescent="0.2">
      <c r="A862" s="2" t="s">
        <v>680</v>
      </c>
      <c r="B862" s="2" t="s">
        <v>685</v>
      </c>
      <c r="C862" s="2" t="s">
        <v>313</v>
      </c>
      <c r="D862" s="2" t="s">
        <v>1413</v>
      </c>
      <c r="E862" s="2" t="s">
        <v>1414</v>
      </c>
      <c r="F862" s="2">
        <v>1.49</v>
      </c>
      <c r="G862" s="2" t="s">
        <v>1415</v>
      </c>
      <c r="H862" s="2">
        <v>1</v>
      </c>
      <c r="I862" s="2">
        <v>5</v>
      </c>
      <c r="J862" s="2" t="s">
        <v>1416</v>
      </c>
      <c r="K862" s="2" t="s">
        <v>1417</v>
      </c>
    </row>
    <row r="863" spans="1:11" x14ac:dyDescent="0.2">
      <c r="A863" s="3" t="s">
        <v>680</v>
      </c>
      <c r="B863" s="3" t="s">
        <v>685</v>
      </c>
      <c r="C863" s="3" t="s">
        <v>313</v>
      </c>
      <c r="D863" s="3" t="s">
        <v>1455</v>
      </c>
      <c r="E863" s="3" t="s">
        <v>1456</v>
      </c>
      <c r="F863" s="3">
        <v>195.96</v>
      </c>
      <c r="G863" s="3" t="s">
        <v>1457</v>
      </c>
      <c r="H863" s="3">
        <v>40</v>
      </c>
      <c r="I863" s="3">
        <v>130</v>
      </c>
      <c r="J863" s="5" t="s">
        <v>1426</v>
      </c>
      <c r="K863" s="3" t="s">
        <v>1434</v>
      </c>
    </row>
    <row r="864" spans="1:11" x14ac:dyDescent="0.2">
      <c r="A864" s="2" t="s">
        <v>680</v>
      </c>
      <c r="B864" s="2" t="s">
        <v>685</v>
      </c>
      <c r="C864" s="2" t="s">
        <v>313</v>
      </c>
      <c r="D864" s="2" t="s">
        <v>1453</v>
      </c>
      <c r="E864" s="2" t="s">
        <v>1454</v>
      </c>
      <c r="F864" s="2">
        <v>7.41</v>
      </c>
      <c r="G864" s="2" t="s">
        <v>1415</v>
      </c>
      <c r="H864" s="2">
        <v>3.9</v>
      </c>
      <c r="I864" s="2">
        <v>5.5</v>
      </c>
      <c r="J864" s="5" t="s">
        <v>1426</v>
      </c>
      <c r="K864" s="2" t="s">
        <v>1431</v>
      </c>
    </row>
    <row r="865" spans="1:11" x14ac:dyDescent="0.2">
      <c r="A865" s="3" t="s">
        <v>680</v>
      </c>
      <c r="B865" s="3" t="s">
        <v>685</v>
      </c>
      <c r="C865" s="3" t="s">
        <v>313</v>
      </c>
      <c r="D865" s="3" t="s">
        <v>1446</v>
      </c>
      <c r="E865" s="3" t="s">
        <v>1447</v>
      </c>
      <c r="F865" s="3">
        <v>2.95</v>
      </c>
      <c r="G865" s="3" t="s">
        <v>1415</v>
      </c>
      <c r="H865" s="3">
        <v>2.1</v>
      </c>
      <c r="I865" s="3">
        <v>2.6</v>
      </c>
      <c r="J865" s="5" t="s">
        <v>1426</v>
      </c>
      <c r="K865" s="3" t="s">
        <v>1431</v>
      </c>
    </row>
    <row r="866" spans="1:11" x14ac:dyDescent="0.2">
      <c r="A866" s="2" t="s">
        <v>687</v>
      </c>
      <c r="B866" s="2" t="s">
        <v>688</v>
      </c>
      <c r="C866" s="2" t="s">
        <v>689</v>
      </c>
      <c r="D866" s="2" t="s">
        <v>1443</v>
      </c>
      <c r="E866" s="2" t="s">
        <v>1444</v>
      </c>
      <c r="F866" s="2">
        <v>65.650000000000006</v>
      </c>
      <c r="G866" s="2" t="s">
        <v>1445</v>
      </c>
      <c r="H866" s="2">
        <v>53</v>
      </c>
      <c r="I866" s="2">
        <v>97</v>
      </c>
      <c r="J866" s="2" t="s">
        <v>1416</v>
      </c>
      <c r="K866" s="2" t="s">
        <v>1434</v>
      </c>
    </row>
    <row r="867" spans="1:11" x14ac:dyDescent="0.2">
      <c r="A867" s="3" t="s">
        <v>687</v>
      </c>
      <c r="B867" s="3" t="s">
        <v>688</v>
      </c>
      <c r="C867" s="3" t="s">
        <v>689</v>
      </c>
      <c r="D867" s="3" t="s">
        <v>1455</v>
      </c>
      <c r="E867" s="3" t="s">
        <v>1456</v>
      </c>
      <c r="F867" s="3">
        <v>200.28</v>
      </c>
      <c r="G867" s="3" t="s">
        <v>1457</v>
      </c>
      <c r="H867" s="3">
        <v>40</v>
      </c>
      <c r="I867" s="3">
        <v>130</v>
      </c>
      <c r="J867" s="5" t="s">
        <v>1426</v>
      </c>
      <c r="K867" s="3" t="s">
        <v>1420</v>
      </c>
    </row>
    <row r="868" spans="1:11" x14ac:dyDescent="0.2">
      <c r="A868" s="2" t="s">
        <v>687</v>
      </c>
      <c r="B868" s="2" t="s">
        <v>688</v>
      </c>
      <c r="C868" s="2" t="s">
        <v>689</v>
      </c>
      <c r="D868" s="2" t="s">
        <v>1423</v>
      </c>
      <c r="E868" s="2" t="s">
        <v>1424</v>
      </c>
      <c r="F868" s="2">
        <v>3.68</v>
      </c>
      <c r="G868" s="2" t="s">
        <v>1425</v>
      </c>
      <c r="H868" s="2">
        <v>4.5</v>
      </c>
      <c r="I868" s="2">
        <v>5.5</v>
      </c>
      <c r="J868" s="5" t="s">
        <v>1430</v>
      </c>
      <c r="K868" s="2" t="s">
        <v>1417</v>
      </c>
    </row>
    <row r="869" spans="1:11" x14ac:dyDescent="0.2">
      <c r="A869" s="3" t="s">
        <v>692</v>
      </c>
      <c r="B869" s="3" t="s">
        <v>693</v>
      </c>
      <c r="C869" s="3" t="s">
        <v>313</v>
      </c>
      <c r="D869" s="3" t="s">
        <v>1418</v>
      </c>
      <c r="E869" s="3" t="s">
        <v>1419</v>
      </c>
      <c r="F869" s="3">
        <v>3.67</v>
      </c>
      <c r="G869" s="3" t="s">
        <v>1415</v>
      </c>
      <c r="H869" s="3">
        <v>3.5</v>
      </c>
      <c r="I869" s="3">
        <v>5</v>
      </c>
      <c r="J869" s="3" t="s">
        <v>1416</v>
      </c>
      <c r="K869" s="3" t="s">
        <v>1431</v>
      </c>
    </row>
    <row r="870" spans="1:11" x14ac:dyDescent="0.2">
      <c r="A870" s="2" t="s">
        <v>692</v>
      </c>
      <c r="B870" s="2" t="s">
        <v>693</v>
      </c>
      <c r="C870" s="2" t="s">
        <v>313</v>
      </c>
      <c r="D870" s="2" t="s">
        <v>1453</v>
      </c>
      <c r="E870" s="2" t="s">
        <v>1454</v>
      </c>
      <c r="F870" s="2">
        <v>5.74</v>
      </c>
      <c r="G870" s="2" t="s">
        <v>1415</v>
      </c>
      <c r="H870" s="2">
        <v>3.9</v>
      </c>
      <c r="I870" s="2">
        <v>5.5</v>
      </c>
      <c r="J870" s="5" t="s">
        <v>1426</v>
      </c>
      <c r="K870" s="2" t="s">
        <v>1420</v>
      </c>
    </row>
    <row r="871" spans="1:11" x14ac:dyDescent="0.2">
      <c r="A871" s="3" t="s">
        <v>692</v>
      </c>
      <c r="B871" s="3" t="s">
        <v>693</v>
      </c>
      <c r="C871" s="3" t="s">
        <v>313</v>
      </c>
      <c r="D871" s="3" t="s">
        <v>1421</v>
      </c>
      <c r="E871" s="3" t="s">
        <v>1422</v>
      </c>
      <c r="F871" s="3">
        <v>6.32</v>
      </c>
      <c r="G871" s="3" t="s">
        <v>1415</v>
      </c>
      <c r="H871" s="3">
        <v>0</v>
      </c>
      <c r="I871" s="3">
        <v>5</v>
      </c>
      <c r="J871" s="5" t="s">
        <v>1426</v>
      </c>
      <c r="K871" s="3" t="s">
        <v>1420</v>
      </c>
    </row>
    <row r="872" spans="1:11" x14ac:dyDescent="0.2">
      <c r="A872" s="2" t="s">
        <v>692</v>
      </c>
      <c r="B872" s="2" t="s">
        <v>693</v>
      </c>
      <c r="C872" s="2" t="s">
        <v>313</v>
      </c>
      <c r="D872" s="2" t="s">
        <v>1435</v>
      </c>
      <c r="E872" s="2" t="s">
        <v>1436</v>
      </c>
      <c r="F872" s="2">
        <v>1.45</v>
      </c>
      <c r="G872" s="2" t="s">
        <v>1415</v>
      </c>
      <c r="H872" s="2">
        <v>0.8</v>
      </c>
      <c r="I872" s="2">
        <v>1.5</v>
      </c>
      <c r="J872" s="2" t="s">
        <v>1416</v>
      </c>
      <c r="K872" s="2" t="s">
        <v>1434</v>
      </c>
    </row>
    <row r="873" spans="1:11" x14ac:dyDescent="0.2">
      <c r="A873" s="3" t="s">
        <v>692</v>
      </c>
      <c r="B873" s="3" t="s">
        <v>693</v>
      </c>
      <c r="C873" s="3" t="s">
        <v>313</v>
      </c>
      <c r="D873" s="3" t="s">
        <v>1413</v>
      </c>
      <c r="E873" s="3" t="s">
        <v>1414</v>
      </c>
      <c r="F873" s="3">
        <v>0.98</v>
      </c>
      <c r="G873" s="3" t="s">
        <v>1415</v>
      </c>
      <c r="H873" s="3">
        <v>1</v>
      </c>
      <c r="I873" s="3">
        <v>5</v>
      </c>
      <c r="J873" s="5" t="s">
        <v>1430</v>
      </c>
      <c r="K873" s="3" t="s">
        <v>1417</v>
      </c>
    </row>
    <row r="874" spans="1:11" x14ac:dyDescent="0.2">
      <c r="A874" s="2" t="s">
        <v>692</v>
      </c>
      <c r="B874" s="2" t="s">
        <v>693</v>
      </c>
      <c r="C874" s="2" t="s">
        <v>313</v>
      </c>
      <c r="D874" s="2" t="s">
        <v>1448</v>
      </c>
      <c r="E874" s="2" t="s">
        <v>1449</v>
      </c>
      <c r="F874" s="2">
        <v>144.09</v>
      </c>
      <c r="G874" s="2" t="s">
        <v>1415</v>
      </c>
      <c r="H874" s="2">
        <v>136</v>
      </c>
      <c r="I874" s="2">
        <v>145</v>
      </c>
      <c r="J874" s="2" t="s">
        <v>1416</v>
      </c>
      <c r="K874" s="2" t="s">
        <v>1431</v>
      </c>
    </row>
    <row r="875" spans="1:11" x14ac:dyDescent="0.2">
      <c r="A875" s="3" t="s">
        <v>692</v>
      </c>
      <c r="B875" s="3" t="s">
        <v>696</v>
      </c>
      <c r="C875" s="3" t="s">
        <v>313</v>
      </c>
      <c r="D875" s="3" t="s">
        <v>1432</v>
      </c>
      <c r="E875" s="3" t="s">
        <v>1433</v>
      </c>
      <c r="F875" s="3">
        <v>1.91</v>
      </c>
      <c r="G875" s="3" t="s">
        <v>1415</v>
      </c>
      <c r="H875" s="3">
        <v>0</v>
      </c>
      <c r="I875" s="3">
        <v>3</v>
      </c>
      <c r="J875" s="3" t="s">
        <v>1416</v>
      </c>
      <c r="K875" s="3" t="s">
        <v>1417</v>
      </c>
    </row>
    <row r="876" spans="1:11" x14ac:dyDescent="0.2">
      <c r="A876" s="2" t="s">
        <v>692</v>
      </c>
      <c r="B876" s="2" t="s">
        <v>696</v>
      </c>
      <c r="C876" s="2" t="s">
        <v>313</v>
      </c>
      <c r="D876" s="2" t="s">
        <v>1437</v>
      </c>
      <c r="E876" s="2" t="s">
        <v>1438</v>
      </c>
      <c r="F876" s="2">
        <v>7.84</v>
      </c>
      <c r="G876" s="2" t="s">
        <v>1439</v>
      </c>
      <c r="H876" s="2">
        <v>12</v>
      </c>
      <c r="I876" s="2">
        <v>17.5</v>
      </c>
      <c r="J876" s="5" t="s">
        <v>1430</v>
      </c>
      <c r="K876" s="2" t="s">
        <v>1434</v>
      </c>
    </row>
    <row r="877" spans="1:11" x14ac:dyDescent="0.2">
      <c r="A877" s="3" t="s">
        <v>692</v>
      </c>
      <c r="B877" s="3" t="s">
        <v>696</v>
      </c>
      <c r="C877" s="3" t="s">
        <v>313</v>
      </c>
      <c r="D877" s="3" t="s">
        <v>1453</v>
      </c>
      <c r="E877" s="3" t="s">
        <v>1454</v>
      </c>
      <c r="F877" s="3">
        <v>7.33</v>
      </c>
      <c r="G877" s="3" t="s">
        <v>1415</v>
      </c>
      <c r="H877" s="3">
        <v>3.9</v>
      </c>
      <c r="I877" s="3">
        <v>5.5</v>
      </c>
      <c r="J877" s="5" t="s">
        <v>1426</v>
      </c>
      <c r="K877" s="3" t="s">
        <v>1417</v>
      </c>
    </row>
    <row r="878" spans="1:11" x14ac:dyDescent="0.2">
      <c r="A878" s="2" t="s">
        <v>692</v>
      </c>
      <c r="B878" s="2" t="s">
        <v>696</v>
      </c>
      <c r="C878" s="2" t="s">
        <v>313</v>
      </c>
      <c r="D878" s="2" t="s">
        <v>1440</v>
      </c>
      <c r="E878" s="2" t="s">
        <v>1441</v>
      </c>
      <c r="F878" s="2">
        <v>7.17</v>
      </c>
      <c r="G878" s="2" t="s">
        <v>1442</v>
      </c>
      <c r="H878" s="2">
        <v>4</v>
      </c>
      <c r="I878" s="2">
        <v>5.6</v>
      </c>
      <c r="J878" s="5" t="s">
        <v>1426</v>
      </c>
      <c r="K878" s="2" t="s">
        <v>1431</v>
      </c>
    </row>
    <row r="879" spans="1:11" x14ac:dyDescent="0.2">
      <c r="A879" s="3" t="s">
        <v>692</v>
      </c>
      <c r="B879" s="3" t="s">
        <v>699</v>
      </c>
      <c r="C879" s="3" t="s">
        <v>700</v>
      </c>
      <c r="D879" s="3" t="s">
        <v>1455</v>
      </c>
      <c r="E879" s="3" t="s">
        <v>1456</v>
      </c>
      <c r="F879" s="3">
        <v>220.08</v>
      </c>
      <c r="G879" s="3" t="s">
        <v>1457</v>
      </c>
      <c r="H879" s="3">
        <v>40</v>
      </c>
      <c r="I879" s="3">
        <v>130</v>
      </c>
      <c r="J879" s="5" t="s">
        <v>1426</v>
      </c>
      <c r="K879" s="3" t="s">
        <v>1417</v>
      </c>
    </row>
    <row r="880" spans="1:11" x14ac:dyDescent="0.2">
      <c r="A880" s="2" t="s">
        <v>692</v>
      </c>
      <c r="B880" s="2" t="s">
        <v>699</v>
      </c>
      <c r="C880" s="2" t="s">
        <v>700</v>
      </c>
      <c r="D880" s="2" t="s">
        <v>1453</v>
      </c>
      <c r="E880" s="2" t="s">
        <v>1454</v>
      </c>
      <c r="F880" s="2">
        <v>6.92</v>
      </c>
      <c r="G880" s="2" t="s">
        <v>1415</v>
      </c>
      <c r="H880" s="2">
        <v>3.9</v>
      </c>
      <c r="I880" s="2">
        <v>5.5</v>
      </c>
      <c r="J880" s="5" t="s">
        <v>1426</v>
      </c>
      <c r="K880" s="2" t="s">
        <v>1417</v>
      </c>
    </row>
    <row r="881" spans="1:11" x14ac:dyDescent="0.2">
      <c r="A881" s="3" t="s">
        <v>692</v>
      </c>
      <c r="B881" s="3" t="s">
        <v>699</v>
      </c>
      <c r="C881" s="3" t="s">
        <v>700</v>
      </c>
      <c r="D881" s="3" t="s">
        <v>1440</v>
      </c>
      <c r="E881" s="3" t="s">
        <v>1441</v>
      </c>
      <c r="F881" s="3">
        <v>10.68</v>
      </c>
      <c r="G881" s="3" t="s">
        <v>1442</v>
      </c>
      <c r="H881" s="3">
        <v>4</v>
      </c>
      <c r="I881" s="3">
        <v>5.6</v>
      </c>
      <c r="J881" s="5" t="s">
        <v>1426</v>
      </c>
      <c r="K881" s="3" t="s">
        <v>1417</v>
      </c>
    </row>
    <row r="882" spans="1:11" x14ac:dyDescent="0.2">
      <c r="A882" s="2" t="s">
        <v>692</v>
      </c>
      <c r="B882" s="2" t="s">
        <v>699</v>
      </c>
      <c r="C882" s="2" t="s">
        <v>700</v>
      </c>
      <c r="D882" s="2" t="s">
        <v>1437</v>
      </c>
      <c r="E882" s="2" t="s">
        <v>1438</v>
      </c>
      <c r="F882" s="2">
        <v>7.42</v>
      </c>
      <c r="G882" s="2" t="s">
        <v>1439</v>
      </c>
      <c r="H882" s="2">
        <v>12</v>
      </c>
      <c r="I882" s="2">
        <v>17.5</v>
      </c>
      <c r="J882" s="5" t="s">
        <v>1430</v>
      </c>
      <c r="K882" s="2" t="s">
        <v>1434</v>
      </c>
    </row>
    <row r="883" spans="1:11" x14ac:dyDescent="0.2">
      <c r="A883" s="3" t="s">
        <v>692</v>
      </c>
      <c r="B883" s="3" t="s">
        <v>699</v>
      </c>
      <c r="C883" s="3" t="s">
        <v>700</v>
      </c>
      <c r="D883" s="3" t="s">
        <v>1443</v>
      </c>
      <c r="E883" s="3" t="s">
        <v>1444</v>
      </c>
      <c r="F883" s="3">
        <v>77.69</v>
      </c>
      <c r="G883" s="3" t="s">
        <v>1445</v>
      </c>
      <c r="H883" s="3">
        <v>53</v>
      </c>
      <c r="I883" s="3">
        <v>97</v>
      </c>
      <c r="J883" s="3" t="s">
        <v>1416</v>
      </c>
      <c r="K883" s="3" t="s">
        <v>1420</v>
      </c>
    </row>
    <row r="884" spans="1:11" x14ac:dyDescent="0.2">
      <c r="A884" s="2" t="s">
        <v>692</v>
      </c>
      <c r="B884" s="2" t="s">
        <v>701</v>
      </c>
      <c r="C884" s="2" t="s">
        <v>74</v>
      </c>
      <c r="D884" s="2" t="s">
        <v>1427</v>
      </c>
      <c r="E884" s="2" t="s">
        <v>1428</v>
      </c>
      <c r="F884" s="2">
        <v>14.52</v>
      </c>
      <c r="G884" s="2" t="s">
        <v>1429</v>
      </c>
      <c r="H884" s="2">
        <v>4</v>
      </c>
      <c r="I884" s="2">
        <v>11</v>
      </c>
      <c r="J884" s="5" t="s">
        <v>1426</v>
      </c>
      <c r="K884" s="2" t="s">
        <v>1434</v>
      </c>
    </row>
    <row r="885" spans="1:11" x14ac:dyDescent="0.2">
      <c r="A885" s="3" t="s">
        <v>692</v>
      </c>
      <c r="B885" s="3" t="s">
        <v>701</v>
      </c>
      <c r="C885" s="3" t="s">
        <v>74</v>
      </c>
      <c r="D885" s="3" t="s">
        <v>1455</v>
      </c>
      <c r="E885" s="3" t="s">
        <v>1456</v>
      </c>
      <c r="F885" s="3">
        <v>127.47</v>
      </c>
      <c r="G885" s="3" t="s">
        <v>1457</v>
      </c>
      <c r="H885" s="3">
        <v>40</v>
      </c>
      <c r="I885" s="3">
        <v>130</v>
      </c>
      <c r="J885" s="3" t="s">
        <v>1416</v>
      </c>
      <c r="K885" s="3" t="s">
        <v>1420</v>
      </c>
    </row>
    <row r="886" spans="1:11" x14ac:dyDescent="0.2">
      <c r="A886" s="2" t="s">
        <v>692</v>
      </c>
      <c r="B886" s="2" t="s">
        <v>701</v>
      </c>
      <c r="C886" s="2" t="s">
        <v>74</v>
      </c>
      <c r="D886" s="2" t="s">
        <v>1440</v>
      </c>
      <c r="E886" s="2" t="s">
        <v>1441</v>
      </c>
      <c r="F886" s="2">
        <v>7.94</v>
      </c>
      <c r="G886" s="2" t="s">
        <v>1442</v>
      </c>
      <c r="H886" s="2">
        <v>4</v>
      </c>
      <c r="I886" s="2">
        <v>5.6</v>
      </c>
      <c r="J886" s="5" t="s">
        <v>1426</v>
      </c>
      <c r="K886" s="2" t="s">
        <v>1420</v>
      </c>
    </row>
    <row r="887" spans="1:11" x14ac:dyDescent="0.2">
      <c r="A887" s="3" t="s">
        <v>692</v>
      </c>
      <c r="B887" s="3" t="s">
        <v>701</v>
      </c>
      <c r="C887" s="3" t="s">
        <v>74</v>
      </c>
      <c r="D887" s="3" t="s">
        <v>1450</v>
      </c>
      <c r="E887" s="3" t="s">
        <v>1451</v>
      </c>
      <c r="F887" s="3">
        <v>128.83000000000001</v>
      </c>
      <c r="G887" s="3" t="s">
        <v>1452</v>
      </c>
      <c r="H887" s="3">
        <v>60</v>
      </c>
      <c r="I887" s="3">
        <v>120</v>
      </c>
      <c r="J887" s="5" t="s">
        <v>1426</v>
      </c>
      <c r="K887" s="3" t="s">
        <v>1420</v>
      </c>
    </row>
    <row r="888" spans="1:11" x14ac:dyDescent="0.2">
      <c r="A888" s="2" t="s">
        <v>692</v>
      </c>
      <c r="B888" s="2" t="s">
        <v>702</v>
      </c>
      <c r="C888" s="2" t="s">
        <v>703</v>
      </c>
      <c r="D888" s="2" t="s">
        <v>1448</v>
      </c>
      <c r="E888" s="2" t="s">
        <v>1449</v>
      </c>
      <c r="F888" s="2">
        <v>146.37</v>
      </c>
      <c r="G888" s="2" t="s">
        <v>1415</v>
      </c>
      <c r="H888" s="2">
        <v>136</v>
      </c>
      <c r="I888" s="2">
        <v>145</v>
      </c>
      <c r="J888" s="5" t="s">
        <v>1426</v>
      </c>
      <c r="K888" s="2" t="s">
        <v>1417</v>
      </c>
    </row>
    <row r="889" spans="1:11" x14ac:dyDescent="0.2">
      <c r="A889" s="3" t="s">
        <v>692</v>
      </c>
      <c r="B889" s="3" t="s">
        <v>702</v>
      </c>
      <c r="C889" s="3" t="s">
        <v>703</v>
      </c>
      <c r="D889" s="3" t="s">
        <v>1413</v>
      </c>
      <c r="E889" s="3" t="s">
        <v>1414</v>
      </c>
      <c r="F889" s="3">
        <v>0.87</v>
      </c>
      <c r="G889" s="3" t="s">
        <v>1415</v>
      </c>
      <c r="H889" s="3">
        <v>1</v>
      </c>
      <c r="I889" s="3">
        <v>5</v>
      </c>
      <c r="J889" s="5" t="s">
        <v>1430</v>
      </c>
      <c r="K889" s="3" t="s">
        <v>1434</v>
      </c>
    </row>
    <row r="890" spans="1:11" x14ac:dyDescent="0.2">
      <c r="A890" s="2" t="s">
        <v>692</v>
      </c>
      <c r="B890" s="2" t="s">
        <v>702</v>
      </c>
      <c r="C890" s="2" t="s">
        <v>703</v>
      </c>
      <c r="D890" s="2" t="s">
        <v>1432</v>
      </c>
      <c r="E890" s="2" t="s">
        <v>1433</v>
      </c>
      <c r="F890" s="2">
        <v>1.76</v>
      </c>
      <c r="G890" s="2" t="s">
        <v>1415</v>
      </c>
      <c r="H890" s="2">
        <v>0</v>
      </c>
      <c r="I890" s="2">
        <v>3</v>
      </c>
      <c r="J890" s="2" t="s">
        <v>1416</v>
      </c>
      <c r="K890" s="2" t="s">
        <v>1417</v>
      </c>
    </row>
    <row r="891" spans="1:11" x14ac:dyDescent="0.2">
      <c r="A891" s="3" t="s">
        <v>692</v>
      </c>
      <c r="B891" s="3" t="s">
        <v>702</v>
      </c>
      <c r="C891" s="3" t="s">
        <v>703</v>
      </c>
      <c r="D891" s="3" t="s">
        <v>1455</v>
      </c>
      <c r="E891" s="3" t="s">
        <v>1456</v>
      </c>
      <c r="F891" s="3">
        <v>304</v>
      </c>
      <c r="G891" s="3" t="s">
        <v>1457</v>
      </c>
      <c r="H891" s="3">
        <v>40</v>
      </c>
      <c r="I891" s="3">
        <v>130</v>
      </c>
      <c r="J891" s="5" t="s">
        <v>1426</v>
      </c>
      <c r="K891" s="3" t="s">
        <v>1431</v>
      </c>
    </row>
    <row r="892" spans="1:11" x14ac:dyDescent="0.2">
      <c r="A892" s="2" t="s">
        <v>692</v>
      </c>
      <c r="B892" s="2" t="s">
        <v>702</v>
      </c>
      <c r="C892" s="2" t="s">
        <v>703</v>
      </c>
      <c r="D892" s="2" t="s">
        <v>1443</v>
      </c>
      <c r="E892" s="2" t="s">
        <v>1444</v>
      </c>
      <c r="F892" s="2">
        <v>69.290000000000006</v>
      </c>
      <c r="G892" s="2" t="s">
        <v>1445</v>
      </c>
      <c r="H892" s="2">
        <v>53</v>
      </c>
      <c r="I892" s="2">
        <v>97</v>
      </c>
      <c r="J892" s="2" t="s">
        <v>1416</v>
      </c>
      <c r="K892" s="2" t="s">
        <v>1434</v>
      </c>
    </row>
    <row r="893" spans="1:11" x14ac:dyDescent="0.2">
      <c r="A893" s="3" t="s">
        <v>692</v>
      </c>
      <c r="B893" s="3" t="s">
        <v>702</v>
      </c>
      <c r="C893" s="3" t="s">
        <v>703</v>
      </c>
      <c r="D893" s="3" t="s">
        <v>1450</v>
      </c>
      <c r="E893" s="3" t="s">
        <v>1451</v>
      </c>
      <c r="F893" s="3">
        <v>43.1</v>
      </c>
      <c r="G893" s="3" t="s">
        <v>1452</v>
      </c>
      <c r="H893" s="3">
        <v>60</v>
      </c>
      <c r="I893" s="3">
        <v>120</v>
      </c>
      <c r="J893" s="5" t="s">
        <v>1430</v>
      </c>
      <c r="K893" s="3" t="s">
        <v>1417</v>
      </c>
    </row>
    <row r="894" spans="1:11" x14ac:dyDescent="0.2">
      <c r="A894" s="2" t="s">
        <v>692</v>
      </c>
      <c r="B894" s="2" t="s">
        <v>702</v>
      </c>
      <c r="C894" s="2" t="s">
        <v>703</v>
      </c>
      <c r="D894" s="2" t="s">
        <v>1446</v>
      </c>
      <c r="E894" s="2" t="s">
        <v>1447</v>
      </c>
      <c r="F894" s="2">
        <v>2.23</v>
      </c>
      <c r="G894" s="2" t="s">
        <v>1415</v>
      </c>
      <c r="H894" s="2">
        <v>2.1</v>
      </c>
      <c r="I894" s="2">
        <v>2.6</v>
      </c>
      <c r="J894" s="2" t="s">
        <v>1416</v>
      </c>
      <c r="K894" s="2" t="s">
        <v>1434</v>
      </c>
    </row>
    <row r="895" spans="1:11" x14ac:dyDescent="0.2">
      <c r="A895" s="3" t="s">
        <v>692</v>
      </c>
      <c r="B895" s="3" t="s">
        <v>702</v>
      </c>
      <c r="C895" s="3" t="s">
        <v>703</v>
      </c>
      <c r="D895" s="3" t="s">
        <v>1423</v>
      </c>
      <c r="E895" s="3" t="s">
        <v>1424</v>
      </c>
      <c r="F895" s="3">
        <v>3.58</v>
      </c>
      <c r="G895" s="3" t="s">
        <v>1425</v>
      </c>
      <c r="H895" s="3">
        <v>4.5</v>
      </c>
      <c r="I895" s="3">
        <v>5.5</v>
      </c>
      <c r="J895" s="5" t="s">
        <v>1430</v>
      </c>
      <c r="K895" s="3" t="s">
        <v>1417</v>
      </c>
    </row>
    <row r="896" spans="1:11" x14ac:dyDescent="0.2">
      <c r="A896" s="2" t="s">
        <v>704</v>
      </c>
      <c r="B896" s="2" t="s">
        <v>705</v>
      </c>
      <c r="C896" s="2" t="s">
        <v>558</v>
      </c>
      <c r="D896" s="2" t="s">
        <v>1453</v>
      </c>
      <c r="E896" s="2" t="s">
        <v>1454</v>
      </c>
      <c r="F896" s="2">
        <v>5.33</v>
      </c>
      <c r="G896" s="2" t="s">
        <v>1415</v>
      </c>
      <c r="H896" s="2">
        <v>3.9</v>
      </c>
      <c r="I896" s="2">
        <v>5.5</v>
      </c>
      <c r="J896" s="2" t="s">
        <v>1416</v>
      </c>
      <c r="K896" s="2" t="s">
        <v>1420</v>
      </c>
    </row>
    <row r="897" spans="1:11" x14ac:dyDescent="0.2">
      <c r="A897" s="3" t="s">
        <v>704</v>
      </c>
      <c r="B897" s="3" t="s">
        <v>705</v>
      </c>
      <c r="C897" s="3" t="s">
        <v>558</v>
      </c>
      <c r="D897" s="3" t="s">
        <v>1413</v>
      </c>
      <c r="E897" s="3" t="s">
        <v>1414</v>
      </c>
      <c r="F897" s="3">
        <v>2.0299999999999998</v>
      </c>
      <c r="G897" s="3" t="s">
        <v>1415</v>
      </c>
      <c r="H897" s="3">
        <v>1</v>
      </c>
      <c r="I897" s="3">
        <v>5</v>
      </c>
      <c r="J897" s="3" t="s">
        <v>1416</v>
      </c>
      <c r="K897" s="3" t="s">
        <v>1417</v>
      </c>
    </row>
    <row r="898" spans="1:11" x14ac:dyDescent="0.2">
      <c r="A898" s="2" t="s">
        <v>704</v>
      </c>
      <c r="B898" s="2" t="s">
        <v>705</v>
      </c>
      <c r="C898" s="2" t="s">
        <v>558</v>
      </c>
      <c r="D898" s="2" t="s">
        <v>1437</v>
      </c>
      <c r="E898" s="2" t="s">
        <v>1438</v>
      </c>
      <c r="F898" s="2">
        <v>13.66</v>
      </c>
      <c r="G898" s="2" t="s">
        <v>1439</v>
      </c>
      <c r="H898" s="2">
        <v>12</v>
      </c>
      <c r="I898" s="2">
        <v>17.5</v>
      </c>
      <c r="J898" s="2" t="s">
        <v>1416</v>
      </c>
      <c r="K898" s="2" t="s">
        <v>1420</v>
      </c>
    </row>
    <row r="899" spans="1:11" x14ac:dyDescent="0.2">
      <c r="A899" s="3" t="s">
        <v>704</v>
      </c>
      <c r="B899" s="3" t="s">
        <v>705</v>
      </c>
      <c r="C899" s="3" t="s">
        <v>558</v>
      </c>
      <c r="D899" s="3" t="s">
        <v>1450</v>
      </c>
      <c r="E899" s="3" t="s">
        <v>1451</v>
      </c>
      <c r="F899" s="3">
        <v>50.57</v>
      </c>
      <c r="G899" s="3" t="s">
        <v>1452</v>
      </c>
      <c r="H899" s="3">
        <v>60</v>
      </c>
      <c r="I899" s="3">
        <v>120</v>
      </c>
      <c r="J899" s="5" t="s">
        <v>1430</v>
      </c>
      <c r="K899" s="3" t="s">
        <v>1434</v>
      </c>
    </row>
    <row r="900" spans="1:11" x14ac:dyDescent="0.2">
      <c r="A900" s="2" t="s">
        <v>704</v>
      </c>
      <c r="B900" s="2" t="s">
        <v>705</v>
      </c>
      <c r="C900" s="2" t="s">
        <v>558</v>
      </c>
      <c r="D900" s="2" t="s">
        <v>1427</v>
      </c>
      <c r="E900" s="2" t="s">
        <v>1428</v>
      </c>
      <c r="F900" s="2">
        <v>11.48</v>
      </c>
      <c r="G900" s="2" t="s">
        <v>1429</v>
      </c>
      <c r="H900" s="2">
        <v>4</v>
      </c>
      <c r="I900" s="2">
        <v>11</v>
      </c>
      <c r="J900" s="5" t="s">
        <v>1426</v>
      </c>
      <c r="K900" s="2" t="s">
        <v>1420</v>
      </c>
    </row>
    <row r="901" spans="1:11" x14ac:dyDescent="0.2">
      <c r="A901" s="3" t="s">
        <v>704</v>
      </c>
      <c r="B901" s="3" t="s">
        <v>705</v>
      </c>
      <c r="C901" s="3" t="s">
        <v>558</v>
      </c>
      <c r="D901" s="3" t="s">
        <v>1448</v>
      </c>
      <c r="E901" s="3" t="s">
        <v>1449</v>
      </c>
      <c r="F901" s="3">
        <v>145.51</v>
      </c>
      <c r="G901" s="3" t="s">
        <v>1415</v>
      </c>
      <c r="H901" s="3">
        <v>136</v>
      </c>
      <c r="I901" s="3">
        <v>145</v>
      </c>
      <c r="J901" s="5" t="s">
        <v>1426</v>
      </c>
      <c r="K901" s="3" t="s">
        <v>1434</v>
      </c>
    </row>
    <row r="902" spans="1:11" x14ac:dyDescent="0.2">
      <c r="A902" s="2" t="s">
        <v>704</v>
      </c>
      <c r="B902" s="2" t="s">
        <v>705</v>
      </c>
      <c r="C902" s="2" t="s">
        <v>558</v>
      </c>
      <c r="D902" s="2" t="s">
        <v>1435</v>
      </c>
      <c r="E902" s="2" t="s">
        <v>1436</v>
      </c>
      <c r="F902" s="2">
        <v>1.06</v>
      </c>
      <c r="G902" s="2" t="s">
        <v>1415</v>
      </c>
      <c r="H902" s="2">
        <v>0.8</v>
      </c>
      <c r="I902" s="2">
        <v>1.5</v>
      </c>
      <c r="J902" s="2" t="s">
        <v>1416</v>
      </c>
      <c r="K902" s="2" t="s">
        <v>1417</v>
      </c>
    </row>
    <row r="903" spans="1:11" x14ac:dyDescent="0.2">
      <c r="A903" s="3" t="s">
        <v>704</v>
      </c>
      <c r="B903" s="3" t="s">
        <v>705</v>
      </c>
      <c r="C903" s="3" t="s">
        <v>558</v>
      </c>
      <c r="D903" s="3" t="s">
        <v>1440</v>
      </c>
      <c r="E903" s="3" t="s">
        <v>1441</v>
      </c>
      <c r="F903" s="3">
        <v>8.68</v>
      </c>
      <c r="G903" s="3" t="s">
        <v>1442</v>
      </c>
      <c r="H903" s="3">
        <v>4</v>
      </c>
      <c r="I903" s="3">
        <v>5.6</v>
      </c>
      <c r="J903" s="5" t="s">
        <v>1426</v>
      </c>
      <c r="K903" s="3" t="s">
        <v>1420</v>
      </c>
    </row>
    <row r="904" spans="1:11" x14ac:dyDescent="0.2">
      <c r="A904" s="2" t="s">
        <v>704</v>
      </c>
      <c r="B904" s="2" t="s">
        <v>707</v>
      </c>
      <c r="C904" s="2" t="s">
        <v>708</v>
      </c>
      <c r="D904" s="2" t="s">
        <v>1453</v>
      </c>
      <c r="E904" s="2" t="s">
        <v>1454</v>
      </c>
      <c r="F904" s="2">
        <v>6.33</v>
      </c>
      <c r="G904" s="2" t="s">
        <v>1415</v>
      </c>
      <c r="H904" s="2">
        <v>3.9</v>
      </c>
      <c r="I904" s="2">
        <v>5.5</v>
      </c>
      <c r="J904" s="5" t="s">
        <v>1426</v>
      </c>
      <c r="K904" s="2" t="s">
        <v>1431</v>
      </c>
    </row>
    <row r="905" spans="1:11" x14ac:dyDescent="0.2">
      <c r="A905" s="3" t="s">
        <v>704</v>
      </c>
      <c r="B905" s="3" t="s">
        <v>707</v>
      </c>
      <c r="C905" s="3" t="s">
        <v>708</v>
      </c>
      <c r="D905" s="3" t="s">
        <v>1443</v>
      </c>
      <c r="E905" s="3" t="s">
        <v>1444</v>
      </c>
      <c r="F905" s="3">
        <v>75.930000000000007</v>
      </c>
      <c r="G905" s="3" t="s">
        <v>1445</v>
      </c>
      <c r="H905" s="3">
        <v>53</v>
      </c>
      <c r="I905" s="3">
        <v>97</v>
      </c>
      <c r="J905" s="3" t="s">
        <v>1416</v>
      </c>
      <c r="K905" s="3" t="s">
        <v>1420</v>
      </c>
    </row>
    <row r="906" spans="1:11" x14ac:dyDescent="0.2">
      <c r="A906" s="2" t="s">
        <v>704</v>
      </c>
      <c r="B906" s="2" t="s">
        <v>707</v>
      </c>
      <c r="C906" s="2" t="s">
        <v>708</v>
      </c>
      <c r="D906" s="2" t="s">
        <v>1448</v>
      </c>
      <c r="E906" s="2" t="s">
        <v>1449</v>
      </c>
      <c r="F906" s="2">
        <v>142.36000000000001</v>
      </c>
      <c r="G906" s="2" t="s">
        <v>1415</v>
      </c>
      <c r="H906" s="2">
        <v>136</v>
      </c>
      <c r="I906" s="2">
        <v>145</v>
      </c>
      <c r="J906" s="2" t="s">
        <v>1416</v>
      </c>
      <c r="K906" s="2" t="s">
        <v>1431</v>
      </c>
    </row>
    <row r="907" spans="1:11" x14ac:dyDescent="0.2">
      <c r="A907" s="3" t="s">
        <v>704</v>
      </c>
      <c r="B907" s="3" t="s">
        <v>707</v>
      </c>
      <c r="C907" s="3" t="s">
        <v>708</v>
      </c>
      <c r="D907" s="3" t="s">
        <v>1437</v>
      </c>
      <c r="E907" s="3" t="s">
        <v>1438</v>
      </c>
      <c r="F907" s="3">
        <v>9.9499999999999993</v>
      </c>
      <c r="G907" s="3" t="s">
        <v>1439</v>
      </c>
      <c r="H907" s="3">
        <v>12</v>
      </c>
      <c r="I907" s="3">
        <v>17.5</v>
      </c>
      <c r="J907" s="5" t="s">
        <v>1430</v>
      </c>
      <c r="K907" s="3" t="s">
        <v>1420</v>
      </c>
    </row>
    <row r="908" spans="1:11" x14ac:dyDescent="0.2">
      <c r="A908" s="2" t="s">
        <v>704</v>
      </c>
      <c r="B908" s="2" t="s">
        <v>707</v>
      </c>
      <c r="C908" s="2" t="s">
        <v>708</v>
      </c>
      <c r="D908" s="2" t="s">
        <v>1440</v>
      </c>
      <c r="E908" s="2" t="s">
        <v>1441</v>
      </c>
      <c r="F908" s="2">
        <v>5.42</v>
      </c>
      <c r="G908" s="2" t="s">
        <v>1442</v>
      </c>
      <c r="H908" s="2">
        <v>4</v>
      </c>
      <c r="I908" s="2">
        <v>5.6</v>
      </c>
      <c r="J908" s="2" t="s">
        <v>1416</v>
      </c>
      <c r="K908" s="2" t="s">
        <v>1420</v>
      </c>
    </row>
    <row r="909" spans="1:11" x14ac:dyDescent="0.2">
      <c r="A909" s="3" t="s">
        <v>704</v>
      </c>
      <c r="B909" s="3" t="s">
        <v>710</v>
      </c>
      <c r="C909" s="3" t="s">
        <v>711</v>
      </c>
      <c r="D909" s="3" t="s">
        <v>1448</v>
      </c>
      <c r="E909" s="3" t="s">
        <v>1449</v>
      </c>
      <c r="F909" s="3">
        <v>137.25</v>
      </c>
      <c r="G909" s="3" t="s">
        <v>1415</v>
      </c>
      <c r="H909" s="3">
        <v>136</v>
      </c>
      <c r="I909" s="3">
        <v>145</v>
      </c>
      <c r="J909" s="3" t="s">
        <v>1416</v>
      </c>
      <c r="K909" s="3" t="s">
        <v>1434</v>
      </c>
    </row>
    <row r="910" spans="1:11" x14ac:dyDescent="0.2">
      <c r="A910" s="2" t="s">
        <v>704</v>
      </c>
      <c r="B910" s="2" t="s">
        <v>710</v>
      </c>
      <c r="C910" s="2" t="s">
        <v>711</v>
      </c>
      <c r="D910" s="2" t="s">
        <v>1443</v>
      </c>
      <c r="E910" s="2" t="s">
        <v>1444</v>
      </c>
      <c r="F910" s="2">
        <v>57.13</v>
      </c>
      <c r="G910" s="2" t="s">
        <v>1445</v>
      </c>
      <c r="H910" s="2">
        <v>53</v>
      </c>
      <c r="I910" s="2">
        <v>97</v>
      </c>
      <c r="J910" s="2" t="s">
        <v>1416</v>
      </c>
      <c r="K910" s="2" t="s">
        <v>1420</v>
      </c>
    </row>
    <row r="911" spans="1:11" x14ac:dyDescent="0.2">
      <c r="A911" s="3" t="s">
        <v>704</v>
      </c>
      <c r="B911" s="3" t="s">
        <v>710</v>
      </c>
      <c r="C911" s="3" t="s">
        <v>711</v>
      </c>
      <c r="D911" s="3" t="s">
        <v>1421</v>
      </c>
      <c r="E911" s="3" t="s">
        <v>1422</v>
      </c>
      <c r="F911" s="3">
        <v>3.52</v>
      </c>
      <c r="G911" s="3" t="s">
        <v>1415</v>
      </c>
      <c r="H911" s="3">
        <v>0</v>
      </c>
      <c r="I911" s="3">
        <v>5</v>
      </c>
      <c r="J911" s="3" t="s">
        <v>1416</v>
      </c>
      <c r="K911" s="3" t="s">
        <v>1420</v>
      </c>
    </row>
    <row r="912" spans="1:11" x14ac:dyDescent="0.2">
      <c r="A912" s="2" t="s">
        <v>704</v>
      </c>
      <c r="B912" s="2" t="s">
        <v>713</v>
      </c>
      <c r="C912" s="2" t="s">
        <v>660</v>
      </c>
      <c r="D912" s="2" t="s">
        <v>1446</v>
      </c>
      <c r="E912" s="2" t="s">
        <v>1447</v>
      </c>
      <c r="F912" s="2">
        <v>2.94</v>
      </c>
      <c r="G912" s="2" t="s">
        <v>1415</v>
      </c>
      <c r="H912" s="2">
        <v>2.1</v>
      </c>
      <c r="I912" s="2">
        <v>2.6</v>
      </c>
      <c r="J912" s="5" t="s">
        <v>1426</v>
      </c>
      <c r="K912" s="2" t="s">
        <v>1420</v>
      </c>
    </row>
    <row r="913" spans="1:11" x14ac:dyDescent="0.2">
      <c r="A913" s="3" t="s">
        <v>704</v>
      </c>
      <c r="B913" s="3" t="s">
        <v>713</v>
      </c>
      <c r="C913" s="3" t="s">
        <v>660</v>
      </c>
      <c r="D913" s="3" t="s">
        <v>1443</v>
      </c>
      <c r="E913" s="3" t="s">
        <v>1444</v>
      </c>
      <c r="F913" s="3">
        <v>60.71</v>
      </c>
      <c r="G913" s="3" t="s">
        <v>1445</v>
      </c>
      <c r="H913" s="3">
        <v>53</v>
      </c>
      <c r="I913" s="3">
        <v>97</v>
      </c>
      <c r="J913" s="3" t="s">
        <v>1416</v>
      </c>
      <c r="K913" s="3" t="s">
        <v>1431</v>
      </c>
    </row>
    <row r="914" spans="1:11" x14ac:dyDescent="0.2">
      <c r="A914" s="2" t="s">
        <v>704</v>
      </c>
      <c r="B914" s="2" t="s">
        <v>713</v>
      </c>
      <c r="C914" s="2" t="s">
        <v>660</v>
      </c>
      <c r="D914" s="2" t="s">
        <v>1455</v>
      </c>
      <c r="E914" s="2" t="s">
        <v>1456</v>
      </c>
      <c r="F914" s="2">
        <v>168.26</v>
      </c>
      <c r="G914" s="2" t="s">
        <v>1457</v>
      </c>
      <c r="H914" s="2">
        <v>40</v>
      </c>
      <c r="I914" s="2">
        <v>130</v>
      </c>
      <c r="J914" s="5" t="s">
        <v>1426</v>
      </c>
      <c r="K914" s="2" t="s">
        <v>1434</v>
      </c>
    </row>
    <row r="915" spans="1:11" x14ac:dyDescent="0.2">
      <c r="A915" s="3" t="s">
        <v>704</v>
      </c>
      <c r="B915" s="3" t="s">
        <v>713</v>
      </c>
      <c r="C915" s="3" t="s">
        <v>660</v>
      </c>
      <c r="D915" s="3" t="s">
        <v>1413</v>
      </c>
      <c r="E915" s="3" t="s">
        <v>1414</v>
      </c>
      <c r="F915" s="3">
        <v>1.1399999999999999</v>
      </c>
      <c r="G915" s="3" t="s">
        <v>1415</v>
      </c>
      <c r="H915" s="3">
        <v>1</v>
      </c>
      <c r="I915" s="3">
        <v>5</v>
      </c>
      <c r="J915" s="3" t="s">
        <v>1416</v>
      </c>
      <c r="K915" s="3" t="s">
        <v>1434</v>
      </c>
    </row>
    <row r="916" spans="1:11" x14ac:dyDescent="0.2">
      <c r="A916" s="2" t="s">
        <v>704</v>
      </c>
      <c r="B916" s="2" t="s">
        <v>713</v>
      </c>
      <c r="C916" s="2" t="s">
        <v>660</v>
      </c>
      <c r="D916" s="2" t="s">
        <v>1440</v>
      </c>
      <c r="E916" s="2" t="s">
        <v>1441</v>
      </c>
      <c r="F916" s="2">
        <v>8.08</v>
      </c>
      <c r="G916" s="2" t="s">
        <v>1442</v>
      </c>
      <c r="H916" s="2">
        <v>4</v>
      </c>
      <c r="I916" s="2">
        <v>5.6</v>
      </c>
      <c r="J916" s="5" t="s">
        <v>1426</v>
      </c>
      <c r="K916" s="2" t="s">
        <v>1420</v>
      </c>
    </row>
    <row r="917" spans="1:11" x14ac:dyDescent="0.2">
      <c r="A917" s="3" t="s">
        <v>704</v>
      </c>
      <c r="B917" s="3" t="s">
        <v>713</v>
      </c>
      <c r="C917" s="3" t="s">
        <v>660</v>
      </c>
      <c r="D917" s="3" t="s">
        <v>1432</v>
      </c>
      <c r="E917" s="3" t="s">
        <v>1433</v>
      </c>
      <c r="F917" s="3">
        <v>2.15</v>
      </c>
      <c r="G917" s="3" t="s">
        <v>1415</v>
      </c>
      <c r="H917" s="3">
        <v>0</v>
      </c>
      <c r="I917" s="3">
        <v>3</v>
      </c>
      <c r="J917" s="3" t="s">
        <v>1416</v>
      </c>
      <c r="K917" s="3" t="s">
        <v>1417</v>
      </c>
    </row>
    <row r="918" spans="1:11" x14ac:dyDescent="0.2">
      <c r="A918" s="2" t="s">
        <v>704</v>
      </c>
      <c r="B918" s="2" t="s">
        <v>713</v>
      </c>
      <c r="C918" s="2" t="s">
        <v>660</v>
      </c>
      <c r="D918" s="2" t="s">
        <v>1435</v>
      </c>
      <c r="E918" s="2" t="s">
        <v>1436</v>
      </c>
      <c r="F918" s="2">
        <v>1.05</v>
      </c>
      <c r="G918" s="2" t="s">
        <v>1415</v>
      </c>
      <c r="H918" s="2">
        <v>0.8</v>
      </c>
      <c r="I918" s="2">
        <v>1.5</v>
      </c>
      <c r="J918" s="2" t="s">
        <v>1416</v>
      </c>
      <c r="K918" s="2" t="s">
        <v>1434</v>
      </c>
    </row>
    <row r="919" spans="1:11" x14ac:dyDescent="0.2">
      <c r="A919" s="3" t="s">
        <v>704</v>
      </c>
      <c r="B919" s="3" t="s">
        <v>713</v>
      </c>
      <c r="C919" s="3" t="s">
        <v>660</v>
      </c>
      <c r="D919" s="3" t="s">
        <v>1437</v>
      </c>
      <c r="E919" s="3" t="s">
        <v>1438</v>
      </c>
      <c r="F919" s="3">
        <v>17.61</v>
      </c>
      <c r="G919" s="3" t="s">
        <v>1439</v>
      </c>
      <c r="H919" s="3">
        <v>12</v>
      </c>
      <c r="I919" s="3">
        <v>17.5</v>
      </c>
      <c r="J919" s="5" t="s">
        <v>1426</v>
      </c>
      <c r="K919" s="3" t="s">
        <v>1420</v>
      </c>
    </row>
    <row r="920" spans="1:11" x14ac:dyDescent="0.2">
      <c r="A920" s="2" t="s">
        <v>704</v>
      </c>
      <c r="B920" s="2" t="s">
        <v>715</v>
      </c>
      <c r="C920" s="2" t="s">
        <v>432</v>
      </c>
      <c r="D920" s="2" t="s">
        <v>1413</v>
      </c>
      <c r="E920" s="2" t="s">
        <v>1414</v>
      </c>
      <c r="F920" s="2">
        <v>1.72</v>
      </c>
      <c r="G920" s="2" t="s">
        <v>1415</v>
      </c>
      <c r="H920" s="2">
        <v>1</v>
      </c>
      <c r="I920" s="2">
        <v>5</v>
      </c>
      <c r="J920" s="2" t="s">
        <v>1416</v>
      </c>
      <c r="K920" s="2" t="s">
        <v>1431</v>
      </c>
    </row>
    <row r="921" spans="1:11" x14ac:dyDescent="0.2">
      <c r="A921" s="3" t="s">
        <v>704</v>
      </c>
      <c r="B921" s="3" t="s">
        <v>715</v>
      </c>
      <c r="C921" s="3" t="s">
        <v>432</v>
      </c>
      <c r="D921" s="3" t="s">
        <v>1440</v>
      </c>
      <c r="E921" s="3" t="s">
        <v>1441</v>
      </c>
      <c r="F921" s="3">
        <v>6.63</v>
      </c>
      <c r="G921" s="3" t="s">
        <v>1442</v>
      </c>
      <c r="H921" s="3">
        <v>4</v>
      </c>
      <c r="I921" s="3">
        <v>5.6</v>
      </c>
      <c r="J921" s="5" t="s">
        <v>1426</v>
      </c>
      <c r="K921" s="3" t="s">
        <v>1417</v>
      </c>
    </row>
    <row r="922" spans="1:11" x14ac:dyDescent="0.2">
      <c r="A922" s="2" t="s">
        <v>704</v>
      </c>
      <c r="B922" s="2" t="s">
        <v>715</v>
      </c>
      <c r="C922" s="2" t="s">
        <v>432</v>
      </c>
      <c r="D922" s="2" t="s">
        <v>1423</v>
      </c>
      <c r="E922" s="2" t="s">
        <v>1424</v>
      </c>
      <c r="F922" s="2">
        <v>4.66</v>
      </c>
      <c r="G922" s="2" t="s">
        <v>1425</v>
      </c>
      <c r="H922" s="2">
        <v>4.5</v>
      </c>
      <c r="I922" s="2">
        <v>5.5</v>
      </c>
      <c r="J922" s="2" t="s">
        <v>1416</v>
      </c>
      <c r="K922" s="2" t="s">
        <v>1420</v>
      </c>
    </row>
    <row r="923" spans="1:11" x14ac:dyDescent="0.2">
      <c r="A923" s="3" t="s">
        <v>704</v>
      </c>
      <c r="B923" s="3" t="s">
        <v>715</v>
      </c>
      <c r="C923" s="3" t="s">
        <v>432</v>
      </c>
      <c r="D923" s="3" t="s">
        <v>1418</v>
      </c>
      <c r="E923" s="3" t="s">
        <v>1419</v>
      </c>
      <c r="F923" s="3">
        <v>3.9</v>
      </c>
      <c r="G923" s="3" t="s">
        <v>1415</v>
      </c>
      <c r="H923" s="3">
        <v>3.5</v>
      </c>
      <c r="I923" s="3">
        <v>5</v>
      </c>
      <c r="J923" s="3" t="s">
        <v>1416</v>
      </c>
      <c r="K923" s="3" t="s">
        <v>1420</v>
      </c>
    </row>
    <row r="924" spans="1:11" x14ac:dyDescent="0.2">
      <c r="A924" s="2" t="s">
        <v>704</v>
      </c>
      <c r="B924" s="2" t="s">
        <v>715</v>
      </c>
      <c r="C924" s="2" t="s">
        <v>432</v>
      </c>
      <c r="D924" s="2" t="s">
        <v>1437</v>
      </c>
      <c r="E924" s="2" t="s">
        <v>1438</v>
      </c>
      <c r="F924" s="2">
        <v>13.37</v>
      </c>
      <c r="G924" s="2" t="s">
        <v>1439</v>
      </c>
      <c r="H924" s="2">
        <v>12</v>
      </c>
      <c r="I924" s="2">
        <v>17.5</v>
      </c>
      <c r="J924" s="2" t="s">
        <v>1416</v>
      </c>
      <c r="K924" s="2" t="s">
        <v>1417</v>
      </c>
    </row>
    <row r="925" spans="1:11" x14ac:dyDescent="0.2">
      <c r="A925" s="3" t="s">
        <v>704</v>
      </c>
      <c r="B925" s="3" t="s">
        <v>715</v>
      </c>
      <c r="C925" s="3" t="s">
        <v>432</v>
      </c>
      <c r="D925" s="3" t="s">
        <v>1432</v>
      </c>
      <c r="E925" s="3" t="s">
        <v>1433</v>
      </c>
      <c r="F925" s="3">
        <v>3.27</v>
      </c>
      <c r="G925" s="3" t="s">
        <v>1415</v>
      </c>
      <c r="H925" s="3">
        <v>0</v>
      </c>
      <c r="I925" s="3">
        <v>3</v>
      </c>
      <c r="J925" s="5" t="s">
        <v>1426</v>
      </c>
      <c r="K925" s="3" t="s">
        <v>1417</v>
      </c>
    </row>
    <row r="926" spans="1:11" x14ac:dyDescent="0.2">
      <c r="A926" s="2" t="s">
        <v>704</v>
      </c>
      <c r="B926" s="2" t="s">
        <v>715</v>
      </c>
      <c r="C926" s="2" t="s">
        <v>432</v>
      </c>
      <c r="D926" s="2" t="s">
        <v>1446</v>
      </c>
      <c r="E926" s="2" t="s">
        <v>1447</v>
      </c>
      <c r="F926" s="2">
        <v>2.74</v>
      </c>
      <c r="G926" s="2" t="s">
        <v>1415</v>
      </c>
      <c r="H926" s="2">
        <v>2.1</v>
      </c>
      <c r="I926" s="2">
        <v>2.6</v>
      </c>
      <c r="J926" s="5" t="s">
        <v>1426</v>
      </c>
      <c r="K926" s="2" t="s">
        <v>1417</v>
      </c>
    </row>
    <row r="927" spans="1:11" x14ac:dyDescent="0.2">
      <c r="A927" s="3" t="s">
        <v>704</v>
      </c>
      <c r="B927" s="3" t="s">
        <v>716</v>
      </c>
      <c r="C927" s="3" t="s">
        <v>313</v>
      </c>
      <c r="D927" s="3" t="s">
        <v>1440</v>
      </c>
      <c r="E927" s="3" t="s">
        <v>1441</v>
      </c>
      <c r="F927" s="3">
        <v>9.51</v>
      </c>
      <c r="G927" s="3" t="s">
        <v>1442</v>
      </c>
      <c r="H927" s="3">
        <v>4</v>
      </c>
      <c r="I927" s="3">
        <v>5.6</v>
      </c>
      <c r="J927" s="5" t="s">
        <v>1426</v>
      </c>
      <c r="K927" s="3" t="s">
        <v>1420</v>
      </c>
    </row>
    <row r="928" spans="1:11" x14ac:dyDescent="0.2">
      <c r="A928" s="2" t="s">
        <v>704</v>
      </c>
      <c r="B928" s="2" t="s">
        <v>716</v>
      </c>
      <c r="C928" s="2" t="s">
        <v>313</v>
      </c>
      <c r="D928" s="2" t="s">
        <v>1427</v>
      </c>
      <c r="E928" s="2" t="s">
        <v>1428</v>
      </c>
      <c r="F928" s="2">
        <v>9.76</v>
      </c>
      <c r="G928" s="2" t="s">
        <v>1429</v>
      </c>
      <c r="H928" s="2">
        <v>4</v>
      </c>
      <c r="I928" s="2">
        <v>11</v>
      </c>
      <c r="J928" s="2" t="s">
        <v>1416</v>
      </c>
      <c r="K928" s="2" t="s">
        <v>1417</v>
      </c>
    </row>
    <row r="929" spans="1:11" x14ac:dyDescent="0.2">
      <c r="A929" s="3" t="s">
        <v>704</v>
      </c>
      <c r="B929" s="3" t="s">
        <v>716</v>
      </c>
      <c r="C929" s="3" t="s">
        <v>313</v>
      </c>
      <c r="D929" s="3" t="s">
        <v>1448</v>
      </c>
      <c r="E929" s="3" t="s">
        <v>1449</v>
      </c>
      <c r="F929" s="3">
        <v>140</v>
      </c>
      <c r="G929" s="3" t="s">
        <v>1415</v>
      </c>
      <c r="H929" s="3">
        <v>136</v>
      </c>
      <c r="I929" s="3">
        <v>145</v>
      </c>
      <c r="J929" s="3" t="s">
        <v>1416</v>
      </c>
      <c r="K929" s="3" t="s">
        <v>1417</v>
      </c>
    </row>
    <row r="930" spans="1:11" x14ac:dyDescent="0.2">
      <c r="A930" s="2" t="s">
        <v>718</v>
      </c>
      <c r="B930" s="2" t="s">
        <v>719</v>
      </c>
      <c r="C930" s="2" t="s">
        <v>720</v>
      </c>
      <c r="D930" s="2" t="s">
        <v>1443</v>
      </c>
      <c r="E930" s="2" t="s">
        <v>1444</v>
      </c>
      <c r="F930" s="2">
        <v>79.61</v>
      </c>
      <c r="G930" s="2" t="s">
        <v>1445</v>
      </c>
      <c r="H930" s="2">
        <v>53</v>
      </c>
      <c r="I930" s="2">
        <v>97</v>
      </c>
      <c r="J930" s="2" t="s">
        <v>1416</v>
      </c>
      <c r="K930" s="2" t="s">
        <v>1420</v>
      </c>
    </row>
    <row r="931" spans="1:11" x14ac:dyDescent="0.2">
      <c r="A931" s="3" t="s">
        <v>718</v>
      </c>
      <c r="B931" s="3" t="s">
        <v>719</v>
      </c>
      <c r="C931" s="3" t="s">
        <v>720</v>
      </c>
      <c r="D931" s="3" t="s">
        <v>1427</v>
      </c>
      <c r="E931" s="3" t="s">
        <v>1428</v>
      </c>
      <c r="F931" s="3">
        <v>14.69</v>
      </c>
      <c r="G931" s="3" t="s">
        <v>1429</v>
      </c>
      <c r="H931" s="3">
        <v>4</v>
      </c>
      <c r="I931" s="3">
        <v>11</v>
      </c>
      <c r="J931" s="5" t="s">
        <v>1426</v>
      </c>
      <c r="K931" s="3" t="s">
        <v>1420</v>
      </c>
    </row>
    <row r="932" spans="1:11" x14ac:dyDescent="0.2">
      <c r="A932" s="2" t="s">
        <v>718</v>
      </c>
      <c r="B932" s="2" t="s">
        <v>719</v>
      </c>
      <c r="C932" s="2" t="s">
        <v>720</v>
      </c>
      <c r="D932" s="2" t="s">
        <v>1455</v>
      </c>
      <c r="E932" s="2" t="s">
        <v>1456</v>
      </c>
      <c r="F932" s="2">
        <v>70.73</v>
      </c>
      <c r="G932" s="2" t="s">
        <v>1457</v>
      </c>
      <c r="H932" s="2">
        <v>40</v>
      </c>
      <c r="I932" s="2">
        <v>130</v>
      </c>
      <c r="J932" s="2" t="s">
        <v>1416</v>
      </c>
      <c r="K932" s="2" t="s">
        <v>1420</v>
      </c>
    </row>
    <row r="933" spans="1:11" x14ac:dyDescent="0.2">
      <c r="A933" s="3" t="s">
        <v>718</v>
      </c>
      <c r="B933" s="3" t="s">
        <v>719</v>
      </c>
      <c r="C933" s="3" t="s">
        <v>720</v>
      </c>
      <c r="D933" s="3" t="s">
        <v>1418</v>
      </c>
      <c r="E933" s="3" t="s">
        <v>1419</v>
      </c>
      <c r="F933" s="3">
        <v>3.32</v>
      </c>
      <c r="G933" s="3" t="s">
        <v>1415</v>
      </c>
      <c r="H933" s="3">
        <v>3.5</v>
      </c>
      <c r="I933" s="3">
        <v>5</v>
      </c>
      <c r="J933" s="5" t="s">
        <v>1430</v>
      </c>
      <c r="K933" s="3" t="s">
        <v>1417</v>
      </c>
    </row>
    <row r="934" spans="1:11" x14ac:dyDescent="0.2">
      <c r="A934" s="2" t="s">
        <v>718</v>
      </c>
      <c r="B934" s="2" t="s">
        <v>719</v>
      </c>
      <c r="C934" s="2" t="s">
        <v>720</v>
      </c>
      <c r="D934" s="2" t="s">
        <v>1453</v>
      </c>
      <c r="E934" s="2" t="s">
        <v>1454</v>
      </c>
      <c r="F934" s="2">
        <v>4.63</v>
      </c>
      <c r="G934" s="2" t="s">
        <v>1415</v>
      </c>
      <c r="H934" s="2">
        <v>3.9</v>
      </c>
      <c r="I934" s="2">
        <v>5.5</v>
      </c>
      <c r="J934" s="2" t="s">
        <v>1416</v>
      </c>
      <c r="K934" s="2" t="s">
        <v>1434</v>
      </c>
    </row>
    <row r="935" spans="1:11" x14ac:dyDescent="0.2">
      <c r="A935" s="3" t="s">
        <v>718</v>
      </c>
      <c r="B935" s="3" t="s">
        <v>719</v>
      </c>
      <c r="C935" s="3" t="s">
        <v>720</v>
      </c>
      <c r="D935" s="3" t="s">
        <v>1440</v>
      </c>
      <c r="E935" s="3" t="s">
        <v>1441</v>
      </c>
      <c r="F935" s="3">
        <v>8.01</v>
      </c>
      <c r="G935" s="3" t="s">
        <v>1442</v>
      </c>
      <c r="H935" s="3">
        <v>4</v>
      </c>
      <c r="I935" s="3">
        <v>5.6</v>
      </c>
      <c r="J935" s="5" t="s">
        <v>1426</v>
      </c>
      <c r="K935" s="3" t="s">
        <v>1417</v>
      </c>
    </row>
    <row r="936" spans="1:11" x14ac:dyDescent="0.2">
      <c r="A936" s="2" t="s">
        <v>718</v>
      </c>
      <c r="B936" s="2" t="s">
        <v>723</v>
      </c>
      <c r="C936" s="2" t="s">
        <v>724</v>
      </c>
      <c r="D936" s="2" t="s">
        <v>1453</v>
      </c>
      <c r="E936" s="2" t="s">
        <v>1454</v>
      </c>
      <c r="F936" s="2">
        <v>8.15</v>
      </c>
      <c r="G936" s="2" t="s">
        <v>1415</v>
      </c>
      <c r="H936" s="2">
        <v>3.9</v>
      </c>
      <c r="I936" s="2">
        <v>5.5</v>
      </c>
      <c r="J936" s="5" t="s">
        <v>1426</v>
      </c>
      <c r="K936" s="2" t="s">
        <v>1434</v>
      </c>
    </row>
    <row r="937" spans="1:11" x14ac:dyDescent="0.2">
      <c r="A937" s="3" t="s">
        <v>718</v>
      </c>
      <c r="B937" s="3" t="s">
        <v>723</v>
      </c>
      <c r="C937" s="3" t="s">
        <v>724</v>
      </c>
      <c r="D937" s="3" t="s">
        <v>1443</v>
      </c>
      <c r="E937" s="3" t="s">
        <v>1444</v>
      </c>
      <c r="F937" s="3">
        <v>68.34</v>
      </c>
      <c r="G937" s="3" t="s">
        <v>1445</v>
      </c>
      <c r="H937" s="3">
        <v>53</v>
      </c>
      <c r="I937" s="3">
        <v>97</v>
      </c>
      <c r="J937" s="3" t="s">
        <v>1416</v>
      </c>
      <c r="K937" s="3" t="s">
        <v>1434</v>
      </c>
    </row>
    <row r="938" spans="1:11" x14ac:dyDescent="0.2">
      <c r="A938" s="2" t="s">
        <v>718</v>
      </c>
      <c r="B938" s="2" t="s">
        <v>723</v>
      </c>
      <c r="C938" s="2" t="s">
        <v>724</v>
      </c>
      <c r="D938" s="2" t="s">
        <v>1413</v>
      </c>
      <c r="E938" s="2" t="s">
        <v>1414</v>
      </c>
      <c r="F938" s="2">
        <v>1.93</v>
      </c>
      <c r="G938" s="2" t="s">
        <v>1415</v>
      </c>
      <c r="H938" s="2">
        <v>1</v>
      </c>
      <c r="I938" s="2">
        <v>5</v>
      </c>
      <c r="J938" s="2" t="s">
        <v>1416</v>
      </c>
      <c r="K938" s="2" t="s">
        <v>1417</v>
      </c>
    </row>
    <row r="939" spans="1:11" x14ac:dyDescent="0.2">
      <c r="A939" s="3" t="s">
        <v>726</v>
      </c>
      <c r="B939" s="3" t="s">
        <v>727</v>
      </c>
      <c r="C939" s="3" t="s">
        <v>728</v>
      </c>
      <c r="D939" s="3" t="s">
        <v>1432</v>
      </c>
      <c r="E939" s="3" t="s">
        <v>1433</v>
      </c>
      <c r="F939" s="3">
        <v>3.16</v>
      </c>
      <c r="G939" s="3" t="s">
        <v>1415</v>
      </c>
      <c r="H939" s="3">
        <v>0</v>
      </c>
      <c r="I939" s="3">
        <v>3</v>
      </c>
      <c r="J939" s="5" t="s">
        <v>1426</v>
      </c>
      <c r="K939" s="3" t="s">
        <v>1417</v>
      </c>
    </row>
    <row r="940" spans="1:11" x14ac:dyDescent="0.2">
      <c r="A940" s="2" t="s">
        <v>726</v>
      </c>
      <c r="B940" s="2" t="s">
        <v>727</v>
      </c>
      <c r="C940" s="2" t="s">
        <v>728</v>
      </c>
      <c r="D940" s="2" t="s">
        <v>1446</v>
      </c>
      <c r="E940" s="2" t="s">
        <v>1447</v>
      </c>
      <c r="F940" s="2">
        <v>1.96</v>
      </c>
      <c r="G940" s="2" t="s">
        <v>1415</v>
      </c>
      <c r="H940" s="2">
        <v>2.1</v>
      </c>
      <c r="I940" s="2">
        <v>2.6</v>
      </c>
      <c r="J940" s="5" t="s">
        <v>1430</v>
      </c>
      <c r="K940" s="2" t="s">
        <v>1431</v>
      </c>
    </row>
    <row r="941" spans="1:11" x14ac:dyDescent="0.2">
      <c r="A941" s="3" t="s">
        <v>726</v>
      </c>
      <c r="B941" s="3" t="s">
        <v>727</v>
      </c>
      <c r="C941" s="3" t="s">
        <v>728</v>
      </c>
      <c r="D941" s="3" t="s">
        <v>1443</v>
      </c>
      <c r="E941" s="3" t="s">
        <v>1444</v>
      </c>
      <c r="F941" s="3">
        <v>67.040000000000006</v>
      </c>
      <c r="G941" s="3" t="s">
        <v>1445</v>
      </c>
      <c r="H941" s="3">
        <v>53</v>
      </c>
      <c r="I941" s="3">
        <v>97</v>
      </c>
      <c r="J941" s="3" t="s">
        <v>1416</v>
      </c>
      <c r="K941" s="3" t="s">
        <v>1420</v>
      </c>
    </row>
    <row r="942" spans="1:11" x14ac:dyDescent="0.2">
      <c r="A942" s="2" t="s">
        <v>726</v>
      </c>
      <c r="B942" s="2" t="s">
        <v>727</v>
      </c>
      <c r="C942" s="2" t="s">
        <v>728</v>
      </c>
      <c r="D942" s="2" t="s">
        <v>1453</v>
      </c>
      <c r="E942" s="2" t="s">
        <v>1454</v>
      </c>
      <c r="F942" s="2">
        <v>7.6</v>
      </c>
      <c r="G942" s="2" t="s">
        <v>1415</v>
      </c>
      <c r="H942" s="2">
        <v>3.9</v>
      </c>
      <c r="I942" s="2">
        <v>5.5</v>
      </c>
      <c r="J942" s="5" t="s">
        <v>1426</v>
      </c>
      <c r="K942" s="2" t="s">
        <v>1434</v>
      </c>
    </row>
    <row r="943" spans="1:11" x14ac:dyDescent="0.2">
      <c r="A943" s="3" t="s">
        <v>726</v>
      </c>
      <c r="B943" s="3" t="s">
        <v>727</v>
      </c>
      <c r="C943" s="3" t="s">
        <v>728</v>
      </c>
      <c r="D943" s="3" t="s">
        <v>1423</v>
      </c>
      <c r="E943" s="3" t="s">
        <v>1424</v>
      </c>
      <c r="F943" s="3">
        <v>5.42</v>
      </c>
      <c r="G943" s="3" t="s">
        <v>1425</v>
      </c>
      <c r="H943" s="3">
        <v>4.5</v>
      </c>
      <c r="I943" s="3">
        <v>5.5</v>
      </c>
      <c r="J943" s="3" t="s">
        <v>1416</v>
      </c>
      <c r="K943" s="3" t="s">
        <v>1431</v>
      </c>
    </row>
    <row r="944" spans="1:11" x14ac:dyDescent="0.2">
      <c r="A944" s="2" t="s">
        <v>726</v>
      </c>
      <c r="B944" s="2" t="s">
        <v>727</v>
      </c>
      <c r="C944" s="2" t="s">
        <v>728</v>
      </c>
      <c r="D944" s="2" t="s">
        <v>1427</v>
      </c>
      <c r="E944" s="2" t="s">
        <v>1428</v>
      </c>
      <c r="F944" s="2">
        <v>4.28</v>
      </c>
      <c r="G944" s="2" t="s">
        <v>1429</v>
      </c>
      <c r="H944" s="2">
        <v>4</v>
      </c>
      <c r="I944" s="2">
        <v>11</v>
      </c>
      <c r="J944" s="2" t="s">
        <v>1416</v>
      </c>
      <c r="K944" s="2" t="s">
        <v>1434</v>
      </c>
    </row>
    <row r="945" spans="1:11" x14ac:dyDescent="0.2">
      <c r="A945" s="3" t="s">
        <v>726</v>
      </c>
      <c r="B945" s="3" t="s">
        <v>727</v>
      </c>
      <c r="C945" s="3" t="s">
        <v>728</v>
      </c>
      <c r="D945" s="3" t="s">
        <v>1450</v>
      </c>
      <c r="E945" s="3" t="s">
        <v>1451</v>
      </c>
      <c r="F945" s="3">
        <v>32.6</v>
      </c>
      <c r="G945" s="3" t="s">
        <v>1452</v>
      </c>
      <c r="H945" s="3">
        <v>60</v>
      </c>
      <c r="I945" s="3">
        <v>120</v>
      </c>
      <c r="J945" s="5" t="s">
        <v>1430</v>
      </c>
      <c r="K945" s="3" t="s">
        <v>1434</v>
      </c>
    </row>
    <row r="946" spans="1:11" x14ac:dyDescent="0.2">
      <c r="A946" s="2" t="s">
        <v>726</v>
      </c>
      <c r="B946" s="2" t="s">
        <v>727</v>
      </c>
      <c r="C946" s="2" t="s">
        <v>728</v>
      </c>
      <c r="D946" s="2" t="s">
        <v>1421</v>
      </c>
      <c r="E946" s="2" t="s">
        <v>1422</v>
      </c>
      <c r="F946" s="2">
        <v>5.58</v>
      </c>
      <c r="G946" s="2" t="s">
        <v>1415</v>
      </c>
      <c r="H946" s="2">
        <v>0</v>
      </c>
      <c r="I946" s="2">
        <v>5</v>
      </c>
      <c r="J946" s="5" t="s">
        <v>1426</v>
      </c>
      <c r="K946" s="2" t="s">
        <v>1431</v>
      </c>
    </row>
    <row r="947" spans="1:11" x14ac:dyDescent="0.2">
      <c r="A947" s="3" t="s">
        <v>726</v>
      </c>
      <c r="B947" s="3" t="s">
        <v>731</v>
      </c>
      <c r="C947" s="3" t="s">
        <v>387</v>
      </c>
      <c r="D947" s="3" t="s">
        <v>1453</v>
      </c>
      <c r="E947" s="3" t="s">
        <v>1454</v>
      </c>
      <c r="F947" s="3">
        <v>6.22</v>
      </c>
      <c r="G947" s="3" t="s">
        <v>1415</v>
      </c>
      <c r="H947" s="3">
        <v>3.9</v>
      </c>
      <c r="I947" s="3">
        <v>5.5</v>
      </c>
      <c r="J947" s="5" t="s">
        <v>1426</v>
      </c>
      <c r="K947" s="3" t="s">
        <v>1434</v>
      </c>
    </row>
    <row r="948" spans="1:11" x14ac:dyDescent="0.2">
      <c r="A948" s="2" t="s">
        <v>726</v>
      </c>
      <c r="B948" s="2" t="s">
        <v>731</v>
      </c>
      <c r="C948" s="2" t="s">
        <v>387</v>
      </c>
      <c r="D948" s="2" t="s">
        <v>1448</v>
      </c>
      <c r="E948" s="2" t="s">
        <v>1449</v>
      </c>
      <c r="F948" s="2">
        <v>146.88999999999999</v>
      </c>
      <c r="G948" s="2" t="s">
        <v>1415</v>
      </c>
      <c r="H948" s="2">
        <v>136</v>
      </c>
      <c r="I948" s="2">
        <v>145</v>
      </c>
      <c r="J948" s="5" t="s">
        <v>1426</v>
      </c>
      <c r="K948" s="2" t="s">
        <v>1420</v>
      </c>
    </row>
    <row r="949" spans="1:11" x14ac:dyDescent="0.2">
      <c r="A949" s="3" t="s">
        <v>726</v>
      </c>
      <c r="B949" s="3" t="s">
        <v>731</v>
      </c>
      <c r="C949" s="3" t="s">
        <v>387</v>
      </c>
      <c r="D949" s="3" t="s">
        <v>1443</v>
      </c>
      <c r="E949" s="3" t="s">
        <v>1444</v>
      </c>
      <c r="F949" s="3">
        <v>71.180000000000007</v>
      </c>
      <c r="G949" s="3" t="s">
        <v>1445</v>
      </c>
      <c r="H949" s="3">
        <v>53</v>
      </c>
      <c r="I949" s="3">
        <v>97</v>
      </c>
      <c r="J949" s="3" t="s">
        <v>1416</v>
      </c>
      <c r="K949" s="3" t="s">
        <v>1431</v>
      </c>
    </row>
    <row r="950" spans="1:11" x14ac:dyDescent="0.2">
      <c r="A950" s="2" t="s">
        <v>726</v>
      </c>
      <c r="B950" s="2" t="s">
        <v>731</v>
      </c>
      <c r="C950" s="2" t="s">
        <v>387</v>
      </c>
      <c r="D950" s="2" t="s">
        <v>1427</v>
      </c>
      <c r="E950" s="2" t="s">
        <v>1428</v>
      </c>
      <c r="F950" s="2">
        <v>15.21</v>
      </c>
      <c r="G950" s="2" t="s">
        <v>1429</v>
      </c>
      <c r="H950" s="2">
        <v>4</v>
      </c>
      <c r="I950" s="2">
        <v>11</v>
      </c>
      <c r="J950" s="5" t="s">
        <v>1426</v>
      </c>
      <c r="K950" s="2" t="s">
        <v>1420</v>
      </c>
    </row>
    <row r="951" spans="1:11" x14ac:dyDescent="0.2">
      <c r="A951" s="3" t="s">
        <v>732</v>
      </c>
      <c r="B951" s="3" t="s">
        <v>733</v>
      </c>
      <c r="C951" s="3" t="s">
        <v>734</v>
      </c>
      <c r="D951" s="3" t="s">
        <v>1437</v>
      </c>
      <c r="E951" s="3" t="s">
        <v>1438</v>
      </c>
      <c r="F951" s="3">
        <v>14.27</v>
      </c>
      <c r="G951" s="3" t="s">
        <v>1439</v>
      </c>
      <c r="H951" s="3">
        <v>12</v>
      </c>
      <c r="I951" s="3">
        <v>17.5</v>
      </c>
      <c r="J951" s="3" t="s">
        <v>1416</v>
      </c>
      <c r="K951" s="3" t="s">
        <v>1431</v>
      </c>
    </row>
    <row r="952" spans="1:11" x14ac:dyDescent="0.2">
      <c r="A952" s="2" t="s">
        <v>732</v>
      </c>
      <c r="B952" s="2" t="s">
        <v>733</v>
      </c>
      <c r="C952" s="2" t="s">
        <v>734</v>
      </c>
      <c r="D952" s="2" t="s">
        <v>1448</v>
      </c>
      <c r="E952" s="2" t="s">
        <v>1449</v>
      </c>
      <c r="F952" s="2">
        <v>135.13</v>
      </c>
      <c r="G952" s="2" t="s">
        <v>1415</v>
      </c>
      <c r="H952" s="2">
        <v>136</v>
      </c>
      <c r="I952" s="2">
        <v>145</v>
      </c>
      <c r="J952" s="5" t="s">
        <v>1430</v>
      </c>
      <c r="K952" s="2" t="s">
        <v>1431</v>
      </c>
    </row>
    <row r="953" spans="1:11" x14ac:dyDescent="0.2">
      <c r="A953" s="3" t="s">
        <v>732</v>
      </c>
      <c r="B953" s="3" t="s">
        <v>733</v>
      </c>
      <c r="C953" s="3" t="s">
        <v>734</v>
      </c>
      <c r="D953" s="3" t="s">
        <v>1455</v>
      </c>
      <c r="E953" s="3" t="s">
        <v>1456</v>
      </c>
      <c r="F953" s="3">
        <v>84.65</v>
      </c>
      <c r="G953" s="3" t="s">
        <v>1457</v>
      </c>
      <c r="H953" s="3">
        <v>40</v>
      </c>
      <c r="I953" s="3">
        <v>130</v>
      </c>
      <c r="J953" s="3" t="s">
        <v>1416</v>
      </c>
      <c r="K953" s="3" t="s">
        <v>1431</v>
      </c>
    </row>
    <row r="954" spans="1:11" x14ac:dyDescent="0.2">
      <c r="A954" s="2" t="s">
        <v>732</v>
      </c>
      <c r="B954" s="2" t="s">
        <v>733</v>
      </c>
      <c r="C954" s="2" t="s">
        <v>734</v>
      </c>
      <c r="D954" s="2" t="s">
        <v>1423</v>
      </c>
      <c r="E954" s="2" t="s">
        <v>1424</v>
      </c>
      <c r="F954" s="2">
        <v>4.43</v>
      </c>
      <c r="G954" s="2" t="s">
        <v>1425</v>
      </c>
      <c r="H954" s="2">
        <v>4.5</v>
      </c>
      <c r="I954" s="2">
        <v>5.5</v>
      </c>
      <c r="J954" s="5" t="s">
        <v>1430</v>
      </c>
      <c r="K954" s="2" t="s">
        <v>1420</v>
      </c>
    </row>
    <row r="955" spans="1:11" x14ac:dyDescent="0.2">
      <c r="A955" s="3" t="s">
        <v>732</v>
      </c>
      <c r="B955" s="3" t="s">
        <v>733</v>
      </c>
      <c r="C955" s="3" t="s">
        <v>734</v>
      </c>
      <c r="D955" s="3" t="s">
        <v>1453</v>
      </c>
      <c r="E955" s="3" t="s">
        <v>1454</v>
      </c>
      <c r="F955" s="3">
        <v>5.45</v>
      </c>
      <c r="G955" s="3" t="s">
        <v>1415</v>
      </c>
      <c r="H955" s="3">
        <v>3.9</v>
      </c>
      <c r="I955" s="3">
        <v>5.5</v>
      </c>
      <c r="J955" s="3" t="s">
        <v>1416</v>
      </c>
      <c r="K955" s="3" t="s">
        <v>1434</v>
      </c>
    </row>
    <row r="956" spans="1:11" x14ac:dyDescent="0.2">
      <c r="A956" s="2" t="s">
        <v>732</v>
      </c>
      <c r="B956" s="2" t="s">
        <v>733</v>
      </c>
      <c r="C956" s="2" t="s">
        <v>734</v>
      </c>
      <c r="D956" s="2" t="s">
        <v>1418</v>
      </c>
      <c r="E956" s="2" t="s">
        <v>1419</v>
      </c>
      <c r="F956" s="2">
        <v>5.41</v>
      </c>
      <c r="G956" s="2" t="s">
        <v>1415</v>
      </c>
      <c r="H956" s="2">
        <v>3.5</v>
      </c>
      <c r="I956" s="2">
        <v>5</v>
      </c>
      <c r="J956" s="5" t="s">
        <v>1426</v>
      </c>
      <c r="K956" s="2" t="s">
        <v>1417</v>
      </c>
    </row>
    <row r="957" spans="1:11" x14ac:dyDescent="0.2">
      <c r="A957" s="3" t="s">
        <v>732</v>
      </c>
      <c r="B957" s="3" t="s">
        <v>733</v>
      </c>
      <c r="C957" s="3" t="s">
        <v>734</v>
      </c>
      <c r="D957" s="3" t="s">
        <v>1440</v>
      </c>
      <c r="E957" s="3" t="s">
        <v>1441</v>
      </c>
      <c r="F957" s="3">
        <v>7.39</v>
      </c>
      <c r="G957" s="3" t="s">
        <v>1442</v>
      </c>
      <c r="H957" s="3">
        <v>4</v>
      </c>
      <c r="I957" s="3">
        <v>5.6</v>
      </c>
      <c r="J957" s="5" t="s">
        <v>1426</v>
      </c>
      <c r="K957" s="3" t="s">
        <v>1420</v>
      </c>
    </row>
    <row r="958" spans="1:11" x14ac:dyDescent="0.2">
      <c r="A958" s="2" t="s">
        <v>732</v>
      </c>
      <c r="B958" s="2" t="s">
        <v>737</v>
      </c>
      <c r="C958" s="2" t="s">
        <v>738</v>
      </c>
      <c r="D958" s="2" t="s">
        <v>1418</v>
      </c>
      <c r="E958" s="2" t="s">
        <v>1419</v>
      </c>
      <c r="F958" s="2">
        <v>5.07</v>
      </c>
      <c r="G958" s="2" t="s">
        <v>1415</v>
      </c>
      <c r="H958" s="2">
        <v>3.5</v>
      </c>
      <c r="I958" s="2">
        <v>5</v>
      </c>
      <c r="J958" s="5" t="s">
        <v>1426</v>
      </c>
      <c r="K958" s="2" t="s">
        <v>1431</v>
      </c>
    </row>
    <row r="959" spans="1:11" x14ac:dyDescent="0.2">
      <c r="A959" s="3" t="s">
        <v>732</v>
      </c>
      <c r="B959" s="3" t="s">
        <v>737</v>
      </c>
      <c r="C959" s="3" t="s">
        <v>738</v>
      </c>
      <c r="D959" s="3" t="s">
        <v>1435</v>
      </c>
      <c r="E959" s="3" t="s">
        <v>1436</v>
      </c>
      <c r="F959" s="3">
        <v>0.54</v>
      </c>
      <c r="G959" s="3" t="s">
        <v>1415</v>
      </c>
      <c r="H959" s="3">
        <v>0.8</v>
      </c>
      <c r="I959" s="3">
        <v>1.5</v>
      </c>
      <c r="J959" s="5" t="s">
        <v>1430</v>
      </c>
      <c r="K959" s="3" t="s">
        <v>1417</v>
      </c>
    </row>
    <row r="960" spans="1:11" x14ac:dyDescent="0.2">
      <c r="A960" s="2" t="s">
        <v>732</v>
      </c>
      <c r="B960" s="2" t="s">
        <v>737</v>
      </c>
      <c r="C960" s="2" t="s">
        <v>738</v>
      </c>
      <c r="D960" s="2" t="s">
        <v>1450</v>
      </c>
      <c r="E960" s="2" t="s">
        <v>1451</v>
      </c>
      <c r="F960" s="2">
        <v>28.81</v>
      </c>
      <c r="G960" s="2" t="s">
        <v>1452</v>
      </c>
      <c r="H960" s="2">
        <v>60</v>
      </c>
      <c r="I960" s="2">
        <v>120</v>
      </c>
      <c r="J960" s="5" t="s">
        <v>1430</v>
      </c>
      <c r="K960" s="2" t="s">
        <v>1417</v>
      </c>
    </row>
    <row r="961" spans="1:11" x14ac:dyDescent="0.2">
      <c r="A961" s="3" t="s">
        <v>732</v>
      </c>
      <c r="B961" s="3" t="s">
        <v>737</v>
      </c>
      <c r="C961" s="3" t="s">
        <v>738</v>
      </c>
      <c r="D961" s="3" t="s">
        <v>1453</v>
      </c>
      <c r="E961" s="3" t="s">
        <v>1454</v>
      </c>
      <c r="F961" s="3">
        <v>4.0599999999999996</v>
      </c>
      <c r="G961" s="3" t="s">
        <v>1415</v>
      </c>
      <c r="H961" s="3">
        <v>3.9</v>
      </c>
      <c r="I961" s="3">
        <v>5.5</v>
      </c>
      <c r="J961" s="3" t="s">
        <v>1416</v>
      </c>
      <c r="K961" s="3" t="s">
        <v>1420</v>
      </c>
    </row>
    <row r="962" spans="1:11" x14ac:dyDescent="0.2">
      <c r="A962" s="2" t="s">
        <v>732</v>
      </c>
      <c r="B962" s="2" t="s">
        <v>737</v>
      </c>
      <c r="C962" s="2" t="s">
        <v>738</v>
      </c>
      <c r="D962" s="2" t="s">
        <v>1448</v>
      </c>
      <c r="E962" s="2" t="s">
        <v>1449</v>
      </c>
      <c r="F962" s="2">
        <v>133.51</v>
      </c>
      <c r="G962" s="2" t="s">
        <v>1415</v>
      </c>
      <c r="H962" s="2">
        <v>136</v>
      </c>
      <c r="I962" s="2">
        <v>145</v>
      </c>
      <c r="J962" s="5" t="s">
        <v>1430</v>
      </c>
      <c r="K962" s="2" t="s">
        <v>1417</v>
      </c>
    </row>
    <row r="963" spans="1:11" x14ac:dyDescent="0.2">
      <c r="A963" s="3" t="s">
        <v>732</v>
      </c>
      <c r="B963" s="3" t="s">
        <v>737</v>
      </c>
      <c r="C963" s="3" t="s">
        <v>738</v>
      </c>
      <c r="D963" s="3" t="s">
        <v>1455</v>
      </c>
      <c r="E963" s="3" t="s">
        <v>1456</v>
      </c>
      <c r="F963" s="3">
        <v>43.64</v>
      </c>
      <c r="G963" s="3" t="s">
        <v>1457</v>
      </c>
      <c r="H963" s="3">
        <v>40</v>
      </c>
      <c r="I963" s="3">
        <v>130</v>
      </c>
      <c r="J963" s="3" t="s">
        <v>1416</v>
      </c>
      <c r="K963" s="3" t="s">
        <v>1420</v>
      </c>
    </row>
    <row r="964" spans="1:11" x14ac:dyDescent="0.2">
      <c r="A964" s="2" t="s">
        <v>732</v>
      </c>
      <c r="B964" s="2" t="s">
        <v>740</v>
      </c>
      <c r="C964" s="2" t="s">
        <v>741</v>
      </c>
      <c r="D964" s="2" t="s">
        <v>1448</v>
      </c>
      <c r="E964" s="2" t="s">
        <v>1449</v>
      </c>
      <c r="F964" s="2">
        <v>133.13999999999999</v>
      </c>
      <c r="G964" s="2" t="s">
        <v>1415</v>
      </c>
      <c r="H964" s="2">
        <v>136</v>
      </c>
      <c r="I964" s="2">
        <v>145</v>
      </c>
      <c r="J964" s="5" t="s">
        <v>1430</v>
      </c>
      <c r="K964" s="2" t="s">
        <v>1431</v>
      </c>
    </row>
    <row r="965" spans="1:11" x14ac:dyDescent="0.2">
      <c r="A965" s="3" t="s">
        <v>732</v>
      </c>
      <c r="B965" s="3" t="s">
        <v>740</v>
      </c>
      <c r="C965" s="3" t="s">
        <v>741</v>
      </c>
      <c r="D965" s="3" t="s">
        <v>1435</v>
      </c>
      <c r="E965" s="3" t="s">
        <v>1436</v>
      </c>
      <c r="F965" s="3">
        <v>0.97</v>
      </c>
      <c r="G965" s="3" t="s">
        <v>1415</v>
      </c>
      <c r="H965" s="3">
        <v>0.8</v>
      </c>
      <c r="I965" s="3">
        <v>1.5</v>
      </c>
      <c r="J965" s="3" t="s">
        <v>1416</v>
      </c>
      <c r="K965" s="3" t="s">
        <v>1431</v>
      </c>
    </row>
    <row r="966" spans="1:11" x14ac:dyDescent="0.2">
      <c r="A966" s="2" t="s">
        <v>732</v>
      </c>
      <c r="B966" s="2" t="s">
        <v>740</v>
      </c>
      <c r="C966" s="2" t="s">
        <v>741</v>
      </c>
      <c r="D966" s="2" t="s">
        <v>1455</v>
      </c>
      <c r="E966" s="2" t="s">
        <v>1456</v>
      </c>
      <c r="F966" s="2">
        <v>141.63</v>
      </c>
      <c r="G966" s="2" t="s">
        <v>1457</v>
      </c>
      <c r="H966" s="2">
        <v>40</v>
      </c>
      <c r="I966" s="2">
        <v>130</v>
      </c>
      <c r="J966" s="5" t="s">
        <v>1426</v>
      </c>
      <c r="K966" s="2" t="s">
        <v>1417</v>
      </c>
    </row>
    <row r="967" spans="1:11" x14ac:dyDescent="0.2">
      <c r="A967" s="3" t="s">
        <v>732</v>
      </c>
      <c r="B967" s="3" t="s">
        <v>740</v>
      </c>
      <c r="C967" s="3" t="s">
        <v>741</v>
      </c>
      <c r="D967" s="3" t="s">
        <v>1413</v>
      </c>
      <c r="E967" s="3" t="s">
        <v>1414</v>
      </c>
      <c r="F967" s="3">
        <v>1.47</v>
      </c>
      <c r="G967" s="3" t="s">
        <v>1415</v>
      </c>
      <c r="H967" s="3">
        <v>1</v>
      </c>
      <c r="I967" s="3">
        <v>5</v>
      </c>
      <c r="J967" s="3" t="s">
        <v>1416</v>
      </c>
      <c r="K967" s="3" t="s">
        <v>1431</v>
      </c>
    </row>
    <row r="968" spans="1:11" x14ac:dyDescent="0.2">
      <c r="A968" s="2" t="s">
        <v>732</v>
      </c>
      <c r="B968" s="2" t="s">
        <v>743</v>
      </c>
      <c r="C968" s="2" t="s">
        <v>744</v>
      </c>
      <c r="D968" s="2" t="s">
        <v>1440</v>
      </c>
      <c r="E968" s="2" t="s">
        <v>1441</v>
      </c>
      <c r="F968" s="2">
        <v>6.81</v>
      </c>
      <c r="G968" s="2" t="s">
        <v>1442</v>
      </c>
      <c r="H968" s="2">
        <v>4</v>
      </c>
      <c r="I968" s="2">
        <v>5.6</v>
      </c>
      <c r="J968" s="5" t="s">
        <v>1426</v>
      </c>
      <c r="K968" s="2" t="s">
        <v>1420</v>
      </c>
    </row>
    <row r="969" spans="1:11" x14ac:dyDescent="0.2">
      <c r="A969" s="3" t="s">
        <v>732</v>
      </c>
      <c r="B969" s="3" t="s">
        <v>743</v>
      </c>
      <c r="C969" s="3" t="s">
        <v>744</v>
      </c>
      <c r="D969" s="3" t="s">
        <v>1432</v>
      </c>
      <c r="E969" s="3" t="s">
        <v>1433</v>
      </c>
      <c r="F969" s="3">
        <v>4.71</v>
      </c>
      <c r="G969" s="3" t="s">
        <v>1415</v>
      </c>
      <c r="H969" s="3">
        <v>0</v>
      </c>
      <c r="I969" s="3">
        <v>3</v>
      </c>
      <c r="J969" s="5" t="s">
        <v>1426</v>
      </c>
      <c r="K969" s="3" t="s">
        <v>1434</v>
      </c>
    </row>
    <row r="970" spans="1:11" x14ac:dyDescent="0.2">
      <c r="A970" s="2" t="s">
        <v>732</v>
      </c>
      <c r="B970" s="2" t="s">
        <v>743</v>
      </c>
      <c r="C970" s="2" t="s">
        <v>744</v>
      </c>
      <c r="D970" s="2" t="s">
        <v>1437</v>
      </c>
      <c r="E970" s="2" t="s">
        <v>1438</v>
      </c>
      <c r="F970" s="2">
        <v>17.91</v>
      </c>
      <c r="G970" s="2" t="s">
        <v>1439</v>
      </c>
      <c r="H970" s="2">
        <v>12</v>
      </c>
      <c r="I970" s="2">
        <v>17.5</v>
      </c>
      <c r="J970" s="5" t="s">
        <v>1426</v>
      </c>
      <c r="K970" s="2" t="s">
        <v>1417</v>
      </c>
    </row>
    <row r="971" spans="1:11" x14ac:dyDescent="0.2">
      <c r="A971" s="3" t="s">
        <v>732</v>
      </c>
      <c r="B971" s="3" t="s">
        <v>743</v>
      </c>
      <c r="C971" s="3" t="s">
        <v>744</v>
      </c>
      <c r="D971" s="3" t="s">
        <v>1435</v>
      </c>
      <c r="E971" s="3" t="s">
        <v>1436</v>
      </c>
      <c r="F971" s="3">
        <v>0.99</v>
      </c>
      <c r="G971" s="3" t="s">
        <v>1415</v>
      </c>
      <c r="H971" s="3">
        <v>0.8</v>
      </c>
      <c r="I971" s="3">
        <v>1.5</v>
      </c>
      <c r="J971" s="3" t="s">
        <v>1416</v>
      </c>
      <c r="K971" s="3" t="s">
        <v>1417</v>
      </c>
    </row>
    <row r="972" spans="1:11" x14ac:dyDescent="0.2">
      <c r="A972" s="2" t="s">
        <v>732</v>
      </c>
      <c r="B972" s="2" t="s">
        <v>743</v>
      </c>
      <c r="C972" s="2" t="s">
        <v>744</v>
      </c>
      <c r="D972" s="2" t="s">
        <v>1423</v>
      </c>
      <c r="E972" s="2" t="s">
        <v>1424</v>
      </c>
      <c r="F972" s="2">
        <v>4.82</v>
      </c>
      <c r="G972" s="2" t="s">
        <v>1425</v>
      </c>
      <c r="H972" s="2">
        <v>4.5</v>
      </c>
      <c r="I972" s="2">
        <v>5.5</v>
      </c>
      <c r="J972" s="2" t="s">
        <v>1416</v>
      </c>
      <c r="K972" s="2" t="s">
        <v>1431</v>
      </c>
    </row>
    <row r="973" spans="1:11" x14ac:dyDescent="0.2">
      <c r="A973" s="3" t="s">
        <v>732</v>
      </c>
      <c r="B973" s="3" t="s">
        <v>743</v>
      </c>
      <c r="C973" s="3" t="s">
        <v>744</v>
      </c>
      <c r="D973" s="3" t="s">
        <v>1446</v>
      </c>
      <c r="E973" s="3" t="s">
        <v>1447</v>
      </c>
      <c r="F973" s="3">
        <v>2.4900000000000002</v>
      </c>
      <c r="G973" s="3" t="s">
        <v>1415</v>
      </c>
      <c r="H973" s="3">
        <v>2.1</v>
      </c>
      <c r="I973" s="3">
        <v>2.6</v>
      </c>
      <c r="J973" s="3" t="s">
        <v>1416</v>
      </c>
      <c r="K973" s="3" t="s">
        <v>1420</v>
      </c>
    </row>
    <row r="974" spans="1:11" x14ac:dyDescent="0.2">
      <c r="A974" s="2" t="s">
        <v>732</v>
      </c>
      <c r="B974" s="2" t="s">
        <v>743</v>
      </c>
      <c r="C974" s="2" t="s">
        <v>744</v>
      </c>
      <c r="D974" s="2" t="s">
        <v>1448</v>
      </c>
      <c r="E974" s="2" t="s">
        <v>1449</v>
      </c>
      <c r="F974" s="2">
        <v>134.94</v>
      </c>
      <c r="G974" s="2" t="s">
        <v>1415</v>
      </c>
      <c r="H974" s="2">
        <v>136</v>
      </c>
      <c r="I974" s="2">
        <v>145</v>
      </c>
      <c r="J974" s="5" t="s">
        <v>1430</v>
      </c>
      <c r="K974" s="2" t="s">
        <v>1420</v>
      </c>
    </row>
    <row r="975" spans="1:11" x14ac:dyDescent="0.2">
      <c r="A975" s="3" t="s">
        <v>732</v>
      </c>
      <c r="B975" s="3" t="s">
        <v>743</v>
      </c>
      <c r="C975" s="3" t="s">
        <v>744</v>
      </c>
      <c r="D975" s="3" t="s">
        <v>1455</v>
      </c>
      <c r="E975" s="3" t="s">
        <v>1456</v>
      </c>
      <c r="F975" s="3">
        <v>218.43</v>
      </c>
      <c r="G975" s="3" t="s">
        <v>1457</v>
      </c>
      <c r="H975" s="3">
        <v>40</v>
      </c>
      <c r="I975" s="3">
        <v>130</v>
      </c>
      <c r="J975" s="5" t="s">
        <v>1426</v>
      </c>
      <c r="K975" s="3" t="s">
        <v>1420</v>
      </c>
    </row>
    <row r="976" spans="1:11" x14ac:dyDescent="0.2">
      <c r="A976" s="2" t="s">
        <v>746</v>
      </c>
      <c r="B976" s="2" t="s">
        <v>747</v>
      </c>
      <c r="C976" s="2" t="s">
        <v>748</v>
      </c>
      <c r="D976" s="2" t="s">
        <v>1423</v>
      </c>
      <c r="E976" s="2" t="s">
        <v>1424</v>
      </c>
      <c r="F976" s="2">
        <v>3.7</v>
      </c>
      <c r="G976" s="2" t="s">
        <v>1425</v>
      </c>
      <c r="H976" s="2">
        <v>4.5</v>
      </c>
      <c r="I976" s="2">
        <v>5.5</v>
      </c>
      <c r="J976" s="5" t="s">
        <v>1430</v>
      </c>
      <c r="K976" s="2" t="s">
        <v>1434</v>
      </c>
    </row>
    <row r="977" spans="1:11" x14ac:dyDescent="0.2">
      <c r="A977" s="3" t="s">
        <v>746</v>
      </c>
      <c r="B977" s="3" t="s">
        <v>747</v>
      </c>
      <c r="C977" s="3" t="s">
        <v>748</v>
      </c>
      <c r="D977" s="3" t="s">
        <v>1446</v>
      </c>
      <c r="E977" s="3" t="s">
        <v>1447</v>
      </c>
      <c r="F977" s="3">
        <v>2.4</v>
      </c>
      <c r="G977" s="3" t="s">
        <v>1415</v>
      </c>
      <c r="H977" s="3">
        <v>2.1</v>
      </c>
      <c r="I977" s="3">
        <v>2.6</v>
      </c>
      <c r="J977" s="3" t="s">
        <v>1416</v>
      </c>
      <c r="K977" s="3" t="s">
        <v>1417</v>
      </c>
    </row>
    <row r="978" spans="1:11" x14ac:dyDescent="0.2">
      <c r="A978" s="2" t="s">
        <v>746</v>
      </c>
      <c r="B978" s="2" t="s">
        <v>747</v>
      </c>
      <c r="C978" s="2" t="s">
        <v>748</v>
      </c>
      <c r="D978" s="2" t="s">
        <v>1418</v>
      </c>
      <c r="E978" s="2" t="s">
        <v>1419</v>
      </c>
      <c r="F978" s="2">
        <v>3.94</v>
      </c>
      <c r="G978" s="2" t="s">
        <v>1415</v>
      </c>
      <c r="H978" s="2">
        <v>3.5</v>
      </c>
      <c r="I978" s="2">
        <v>5</v>
      </c>
      <c r="J978" s="2" t="s">
        <v>1416</v>
      </c>
      <c r="K978" s="2" t="s">
        <v>1431</v>
      </c>
    </row>
    <row r="979" spans="1:11" x14ac:dyDescent="0.2">
      <c r="A979" s="3" t="s">
        <v>746</v>
      </c>
      <c r="B979" s="3" t="s">
        <v>747</v>
      </c>
      <c r="C979" s="3" t="s">
        <v>748</v>
      </c>
      <c r="D979" s="3" t="s">
        <v>1453</v>
      </c>
      <c r="E979" s="3" t="s">
        <v>1454</v>
      </c>
      <c r="F979" s="3">
        <v>8.91</v>
      </c>
      <c r="G979" s="3" t="s">
        <v>1415</v>
      </c>
      <c r="H979" s="3">
        <v>3.9</v>
      </c>
      <c r="I979" s="3">
        <v>5.5</v>
      </c>
      <c r="J979" s="5" t="s">
        <v>1426</v>
      </c>
      <c r="K979" s="3" t="s">
        <v>1431</v>
      </c>
    </row>
    <row r="980" spans="1:11" x14ac:dyDescent="0.2">
      <c r="A980" s="2" t="s">
        <v>746</v>
      </c>
      <c r="B980" s="2" t="s">
        <v>747</v>
      </c>
      <c r="C980" s="2" t="s">
        <v>748</v>
      </c>
      <c r="D980" s="2" t="s">
        <v>1443</v>
      </c>
      <c r="E980" s="2" t="s">
        <v>1444</v>
      </c>
      <c r="F980" s="2">
        <v>59.22</v>
      </c>
      <c r="G980" s="2" t="s">
        <v>1445</v>
      </c>
      <c r="H980" s="2">
        <v>53</v>
      </c>
      <c r="I980" s="2">
        <v>97</v>
      </c>
      <c r="J980" s="2" t="s">
        <v>1416</v>
      </c>
      <c r="K980" s="2" t="s">
        <v>1431</v>
      </c>
    </row>
    <row r="981" spans="1:11" x14ac:dyDescent="0.2">
      <c r="A981" s="3" t="s">
        <v>746</v>
      </c>
      <c r="B981" s="3" t="s">
        <v>747</v>
      </c>
      <c r="C981" s="3" t="s">
        <v>748</v>
      </c>
      <c r="D981" s="3" t="s">
        <v>1437</v>
      </c>
      <c r="E981" s="3" t="s">
        <v>1438</v>
      </c>
      <c r="F981" s="3">
        <v>15.47</v>
      </c>
      <c r="G981" s="3" t="s">
        <v>1439</v>
      </c>
      <c r="H981" s="3">
        <v>12</v>
      </c>
      <c r="I981" s="3">
        <v>17.5</v>
      </c>
      <c r="J981" s="3" t="s">
        <v>1416</v>
      </c>
      <c r="K981" s="3" t="s">
        <v>1417</v>
      </c>
    </row>
    <row r="982" spans="1:11" x14ac:dyDescent="0.2">
      <c r="A982" s="2" t="s">
        <v>746</v>
      </c>
      <c r="B982" s="2" t="s">
        <v>747</v>
      </c>
      <c r="C982" s="2" t="s">
        <v>748</v>
      </c>
      <c r="D982" s="2" t="s">
        <v>1440</v>
      </c>
      <c r="E982" s="2" t="s">
        <v>1441</v>
      </c>
      <c r="F982" s="2">
        <v>9.91</v>
      </c>
      <c r="G982" s="2" t="s">
        <v>1442</v>
      </c>
      <c r="H982" s="2">
        <v>4</v>
      </c>
      <c r="I982" s="2">
        <v>5.6</v>
      </c>
      <c r="J982" s="5" t="s">
        <v>1426</v>
      </c>
      <c r="K982" s="2" t="s">
        <v>1417</v>
      </c>
    </row>
    <row r="983" spans="1:11" x14ac:dyDescent="0.2">
      <c r="A983" s="3" t="s">
        <v>746</v>
      </c>
      <c r="B983" s="3" t="s">
        <v>751</v>
      </c>
      <c r="C983" s="3" t="s">
        <v>752</v>
      </c>
      <c r="D983" s="3" t="s">
        <v>1443</v>
      </c>
      <c r="E983" s="3" t="s">
        <v>1444</v>
      </c>
      <c r="F983" s="3">
        <v>59.58</v>
      </c>
      <c r="G983" s="3" t="s">
        <v>1445</v>
      </c>
      <c r="H983" s="3">
        <v>53</v>
      </c>
      <c r="I983" s="3">
        <v>97</v>
      </c>
      <c r="J983" s="3" t="s">
        <v>1416</v>
      </c>
      <c r="K983" s="3" t="s">
        <v>1434</v>
      </c>
    </row>
    <row r="984" spans="1:11" x14ac:dyDescent="0.2">
      <c r="A984" s="2" t="s">
        <v>746</v>
      </c>
      <c r="B984" s="2" t="s">
        <v>751</v>
      </c>
      <c r="C984" s="2" t="s">
        <v>752</v>
      </c>
      <c r="D984" s="2" t="s">
        <v>1423</v>
      </c>
      <c r="E984" s="2" t="s">
        <v>1424</v>
      </c>
      <c r="F984" s="2">
        <v>4.32</v>
      </c>
      <c r="G984" s="2" t="s">
        <v>1425</v>
      </c>
      <c r="H984" s="2">
        <v>4.5</v>
      </c>
      <c r="I984" s="2">
        <v>5.5</v>
      </c>
      <c r="J984" s="5" t="s">
        <v>1430</v>
      </c>
      <c r="K984" s="2" t="s">
        <v>1420</v>
      </c>
    </row>
    <row r="985" spans="1:11" x14ac:dyDescent="0.2">
      <c r="A985" s="3" t="s">
        <v>746</v>
      </c>
      <c r="B985" s="3" t="s">
        <v>751</v>
      </c>
      <c r="C985" s="3" t="s">
        <v>752</v>
      </c>
      <c r="D985" s="3" t="s">
        <v>1413</v>
      </c>
      <c r="E985" s="3" t="s">
        <v>1414</v>
      </c>
      <c r="F985" s="3">
        <v>1.61</v>
      </c>
      <c r="G985" s="3" t="s">
        <v>1415</v>
      </c>
      <c r="H985" s="3">
        <v>1</v>
      </c>
      <c r="I985" s="3">
        <v>5</v>
      </c>
      <c r="J985" s="3" t="s">
        <v>1416</v>
      </c>
      <c r="K985" s="3" t="s">
        <v>1434</v>
      </c>
    </row>
    <row r="986" spans="1:11" x14ac:dyDescent="0.2">
      <c r="A986" s="2" t="s">
        <v>754</v>
      </c>
      <c r="B986" s="2" t="s">
        <v>755</v>
      </c>
      <c r="C986" s="2" t="s">
        <v>756</v>
      </c>
      <c r="D986" s="2" t="s">
        <v>1432</v>
      </c>
      <c r="E986" s="2" t="s">
        <v>1433</v>
      </c>
      <c r="F986" s="2">
        <v>2.63</v>
      </c>
      <c r="G986" s="2" t="s">
        <v>1415</v>
      </c>
      <c r="H986" s="2">
        <v>0</v>
      </c>
      <c r="I986" s="2">
        <v>3</v>
      </c>
      <c r="J986" s="2" t="s">
        <v>1416</v>
      </c>
      <c r="K986" s="2" t="s">
        <v>1431</v>
      </c>
    </row>
    <row r="987" spans="1:11" x14ac:dyDescent="0.2">
      <c r="A987" s="3" t="s">
        <v>754</v>
      </c>
      <c r="B987" s="3" t="s">
        <v>755</v>
      </c>
      <c r="C987" s="3" t="s">
        <v>756</v>
      </c>
      <c r="D987" s="3" t="s">
        <v>1453</v>
      </c>
      <c r="E987" s="3" t="s">
        <v>1454</v>
      </c>
      <c r="F987" s="3">
        <v>4.9800000000000004</v>
      </c>
      <c r="G987" s="3" t="s">
        <v>1415</v>
      </c>
      <c r="H987" s="3">
        <v>3.9</v>
      </c>
      <c r="I987" s="3">
        <v>5.5</v>
      </c>
      <c r="J987" s="3" t="s">
        <v>1416</v>
      </c>
      <c r="K987" s="3" t="s">
        <v>1417</v>
      </c>
    </row>
    <row r="988" spans="1:11" x14ac:dyDescent="0.2">
      <c r="A988" s="2" t="s">
        <v>754</v>
      </c>
      <c r="B988" s="2" t="s">
        <v>755</v>
      </c>
      <c r="C988" s="2" t="s">
        <v>756</v>
      </c>
      <c r="D988" s="2" t="s">
        <v>1435</v>
      </c>
      <c r="E988" s="2" t="s">
        <v>1436</v>
      </c>
      <c r="F988" s="2">
        <v>1.07</v>
      </c>
      <c r="G988" s="2" t="s">
        <v>1415</v>
      </c>
      <c r="H988" s="2">
        <v>0.8</v>
      </c>
      <c r="I988" s="2">
        <v>1.5</v>
      </c>
      <c r="J988" s="2" t="s">
        <v>1416</v>
      </c>
      <c r="K988" s="2" t="s">
        <v>1420</v>
      </c>
    </row>
    <row r="989" spans="1:11" x14ac:dyDescent="0.2">
      <c r="A989" s="3" t="s">
        <v>754</v>
      </c>
      <c r="B989" s="3" t="s">
        <v>755</v>
      </c>
      <c r="C989" s="3" t="s">
        <v>756</v>
      </c>
      <c r="D989" s="3" t="s">
        <v>1448</v>
      </c>
      <c r="E989" s="3" t="s">
        <v>1449</v>
      </c>
      <c r="F989" s="3">
        <v>136.38</v>
      </c>
      <c r="G989" s="3" t="s">
        <v>1415</v>
      </c>
      <c r="H989" s="3">
        <v>136</v>
      </c>
      <c r="I989" s="3">
        <v>145</v>
      </c>
      <c r="J989" s="3" t="s">
        <v>1416</v>
      </c>
      <c r="K989" s="3" t="s">
        <v>1431</v>
      </c>
    </row>
    <row r="990" spans="1:11" x14ac:dyDescent="0.2">
      <c r="A990" s="2" t="s">
        <v>759</v>
      </c>
      <c r="B990" s="2" t="s">
        <v>760</v>
      </c>
      <c r="C990" s="2" t="s">
        <v>761</v>
      </c>
      <c r="D990" s="2" t="s">
        <v>1446</v>
      </c>
      <c r="E990" s="2" t="s">
        <v>1447</v>
      </c>
      <c r="F990" s="2">
        <v>1.83</v>
      </c>
      <c r="G990" s="2" t="s">
        <v>1415</v>
      </c>
      <c r="H990" s="2">
        <v>2.1</v>
      </c>
      <c r="I990" s="2">
        <v>2.6</v>
      </c>
      <c r="J990" s="5" t="s">
        <v>1430</v>
      </c>
      <c r="K990" s="2" t="s">
        <v>1434</v>
      </c>
    </row>
    <row r="991" spans="1:11" x14ac:dyDescent="0.2">
      <c r="A991" s="3" t="s">
        <v>759</v>
      </c>
      <c r="B991" s="3" t="s">
        <v>760</v>
      </c>
      <c r="C991" s="3" t="s">
        <v>761</v>
      </c>
      <c r="D991" s="3" t="s">
        <v>1427</v>
      </c>
      <c r="E991" s="3" t="s">
        <v>1428</v>
      </c>
      <c r="F991" s="3">
        <v>5.65</v>
      </c>
      <c r="G991" s="3" t="s">
        <v>1429</v>
      </c>
      <c r="H991" s="3">
        <v>4</v>
      </c>
      <c r="I991" s="3">
        <v>11</v>
      </c>
      <c r="J991" s="3" t="s">
        <v>1416</v>
      </c>
      <c r="K991" s="3" t="s">
        <v>1431</v>
      </c>
    </row>
    <row r="992" spans="1:11" x14ac:dyDescent="0.2">
      <c r="A992" s="2" t="s">
        <v>759</v>
      </c>
      <c r="B992" s="2" t="s">
        <v>760</v>
      </c>
      <c r="C992" s="2" t="s">
        <v>761</v>
      </c>
      <c r="D992" s="2" t="s">
        <v>1450</v>
      </c>
      <c r="E992" s="2" t="s">
        <v>1451</v>
      </c>
      <c r="F992" s="2">
        <v>117.73</v>
      </c>
      <c r="G992" s="2" t="s">
        <v>1452</v>
      </c>
      <c r="H992" s="2">
        <v>60</v>
      </c>
      <c r="I992" s="2">
        <v>120</v>
      </c>
      <c r="J992" s="2" t="s">
        <v>1416</v>
      </c>
      <c r="K992" s="2" t="s">
        <v>1420</v>
      </c>
    </row>
    <row r="993" spans="1:11" x14ac:dyDescent="0.2">
      <c r="A993" s="3" t="s">
        <v>759</v>
      </c>
      <c r="B993" s="3" t="s">
        <v>760</v>
      </c>
      <c r="C993" s="3" t="s">
        <v>761</v>
      </c>
      <c r="D993" s="3" t="s">
        <v>1421</v>
      </c>
      <c r="E993" s="3" t="s">
        <v>1422</v>
      </c>
      <c r="F993" s="3">
        <v>6.6</v>
      </c>
      <c r="G993" s="3" t="s">
        <v>1415</v>
      </c>
      <c r="H993" s="3">
        <v>0</v>
      </c>
      <c r="I993" s="3">
        <v>5</v>
      </c>
      <c r="J993" s="5" t="s">
        <v>1426</v>
      </c>
      <c r="K993" s="3" t="s">
        <v>1434</v>
      </c>
    </row>
    <row r="994" spans="1:11" x14ac:dyDescent="0.2">
      <c r="A994" s="2" t="s">
        <v>759</v>
      </c>
      <c r="B994" s="2" t="s">
        <v>760</v>
      </c>
      <c r="C994" s="2" t="s">
        <v>761</v>
      </c>
      <c r="D994" s="2" t="s">
        <v>1453</v>
      </c>
      <c r="E994" s="2" t="s">
        <v>1454</v>
      </c>
      <c r="F994" s="2">
        <v>5.7</v>
      </c>
      <c r="G994" s="2" t="s">
        <v>1415</v>
      </c>
      <c r="H994" s="2">
        <v>3.9</v>
      </c>
      <c r="I994" s="2">
        <v>5.5</v>
      </c>
      <c r="J994" s="5" t="s">
        <v>1426</v>
      </c>
      <c r="K994" s="2" t="s">
        <v>1417</v>
      </c>
    </row>
    <row r="995" spans="1:11" x14ac:dyDescent="0.2">
      <c r="A995" s="3" t="s">
        <v>759</v>
      </c>
      <c r="B995" s="3" t="s">
        <v>760</v>
      </c>
      <c r="C995" s="3" t="s">
        <v>761</v>
      </c>
      <c r="D995" s="3" t="s">
        <v>1423</v>
      </c>
      <c r="E995" s="3" t="s">
        <v>1424</v>
      </c>
      <c r="F995" s="3">
        <v>3.57</v>
      </c>
      <c r="G995" s="3" t="s">
        <v>1425</v>
      </c>
      <c r="H995" s="3">
        <v>4.5</v>
      </c>
      <c r="I995" s="3">
        <v>5.5</v>
      </c>
      <c r="J995" s="5" t="s">
        <v>1430</v>
      </c>
      <c r="K995" s="3" t="s">
        <v>1431</v>
      </c>
    </row>
    <row r="996" spans="1:11" x14ac:dyDescent="0.2">
      <c r="A996" s="2" t="s">
        <v>759</v>
      </c>
      <c r="B996" s="2" t="s">
        <v>764</v>
      </c>
      <c r="C996" s="2" t="s">
        <v>765</v>
      </c>
      <c r="D996" s="2" t="s">
        <v>1446</v>
      </c>
      <c r="E996" s="2" t="s">
        <v>1447</v>
      </c>
      <c r="F996" s="2">
        <v>2.82</v>
      </c>
      <c r="G996" s="2" t="s">
        <v>1415</v>
      </c>
      <c r="H996" s="2">
        <v>2.1</v>
      </c>
      <c r="I996" s="2">
        <v>2.6</v>
      </c>
      <c r="J996" s="5" t="s">
        <v>1426</v>
      </c>
      <c r="K996" s="2" t="s">
        <v>1434</v>
      </c>
    </row>
    <row r="997" spans="1:11" x14ac:dyDescent="0.2">
      <c r="A997" s="3" t="s">
        <v>759</v>
      </c>
      <c r="B997" s="3" t="s">
        <v>764</v>
      </c>
      <c r="C997" s="3" t="s">
        <v>765</v>
      </c>
      <c r="D997" s="3" t="s">
        <v>1448</v>
      </c>
      <c r="E997" s="3" t="s">
        <v>1449</v>
      </c>
      <c r="F997" s="3">
        <v>139.58000000000001</v>
      </c>
      <c r="G997" s="3" t="s">
        <v>1415</v>
      </c>
      <c r="H997" s="3">
        <v>136</v>
      </c>
      <c r="I997" s="3">
        <v>145</v>
      </c>
      <c r="J997" s="3" t="s">
        <v>1416</v>
      </c>
      <c r="K997" s="3" t="s">
        <v>1417</v>
      </c>
    </row>
    <row r="998" spans="1:11" x14ac:dyDescent="0.2">
      <c r="A998" s="2" t="s">
        <v>759</v>
      </c>
      <c r="B998" s="2" t="s">
        <v>764</v>
      </c>
      <c r="C998" s="2" t="s">
        <v>765</v>
      </c>
      <c r="D998" s="2" t="s">
        <v>1427</v>
      </c>
      <c r="E998" s="2" t="s">
        <v>1428</v>
      </c>
      <c r="F998" s="2">
        <v>16.05</v>
      </c>
      <c r="G998" s="2" t="s">
        <v>1429</v>
      </c>
      <c r="H998" s="2">
        <v>4</v>
      </c>
      <c r="I998" s="2">
        <v>11</v>
      </c>
      <c r="J998" s="5" t="s">
        <v>1426</v>
      </c>
      <c r="K998" s="2" t="s">
        <v>1434</v>
      </c>
    </row>
    <row r="999" spans="1:11" x14ac:dyDescent="0.2">
      <c r="A999" s="3" t="s">
        <v>759</v>
      </c>
      <c r="B999" s="3" t="s">
        <v>764</v>
      </c>
      <c r="C999" s="3" t="s">
        <v>765</v>
      </c>
      <c r="D999" s="3" t="s">
        <v>1432</v>
      </c>
      <c r="E999" s="3" t="s">
        <v>1433</v>
      </c>
      <c r="F999" s="3">
        <v>1.68</v>
      </c>
      <c r="G999" s="3" t="s">
        <v>1415</v>
      </c>
      <c r="H999" s="3">
        <v>0</v>
      </c>
      <c r="I999" s="3">
        <v>3</v>
      </c>
      <c r="J999" s="3" t="s">
        <v>1416</v>
      </c>
      <c r="K999" s="3" t="s">
        <v>1420</v>
      </c>
    </row>
    <row r="1000" spans="1:11" x14ac:dyDescent="0.2">
      <c r="A1000" s="2" t="s">
        <v>759</v>
      </c>
      <c r="B1000" s="2" t="s">
        <v>764</v>
      </c>
      <c r="C1000" s="2" t="s">
        <v>765</v>
      </c>
      <c r="D1000" s="2" t="s">
        <v>1435</v>
      </c>
      <c r="E1000" s="2" t="s">
        <v>1436</v>
      </c>
      <c r="F1000" s="2">
        <v>0.63</v>
      </c>
      <c r="G1000" s="2" t="s">
        <v>1415</v>
      </c>
      <c r="H1000" s="2">
        <v>0.8</v>
      </c>
      <c r="I1000" s="2">
        <v>1.5</v>
      </c>
      <c r="J1000" s="5" t="s">
        <v>1430</v>
      </c>
      <c r="K1000" s="2" t="s">
        <v>1417</v>
      </c>
    </row>
    <row r="1001" spans="1:11" x14ac:dyDescent="0.2">
      <c r="A1001" s="3" t="s">
        <v>759</v>
      </c>
      <c r="B1001" s="3" t="s">
        <v>764</v>
      </c>
      <c r="C1001" s="3" t="s">
        <v>765</v>
      </c>
      <c r="D1001" s="3" t="s">
        <v>1423</v>
      </c>
      <c r="E1001" s="3" t="s">
        <v>1424</v>
      </c>
      <c r="F1001" s="3">
        <v>3.69</v>
      </c>
      <c r="G1001" s="3" t="s">
        <v>1425</v>
      </c>
      <c r="H1001" s="3">
        <v>4.5</v>
      </c>
      <c r="I1001" s="3">
        <v>5.5</v>
      </c>
      <c r="J1001" s="5" t="s">
        <v>1430</v>
      </c>
      <c r="K1001" s="3" t="s">
        <v>1420</v>
      </c>
    </row>
    <row r="1002" spans="1:11" x14ac:dyDescent="0.2">
      <c r="A1002" s="2" t="s">
        <v>759</v>
      </c>
      <c r="B1002" s="2" t="s">
        <v>764</v>
      </c>
      <c r="C1002" s="2" t="s">
        <v>765</v>
      </c>
      <c r="D1002" s="2" t="s">
        <v>1450</v>
      </c>
      <c r="E1002" s="2" t="s">
        <v>1451</v>
      </c>
      <c r="F1002" s="2">
        <v>17.59</v>
      </c>
      <c r="G1002" s="2" t="s">
        <v>1452</v>
      </c>
      <c r="H1002" s="2">
        <v>60</v>
      </c>
      <c r="I1002" s="2">
        <v>120</v>
      </c>
      <c r="J1002" s="5" t="s">
        <v>1430</v>
      </c>
      <c r="K1002" s="2" t="s">
        <v>1420</v>
      </c>
    </row>
    <row r="1003" spans="1:11" x14ac:dyDescent="0.2">
      <c r="A1003" s="3" t="s">
        <v>759</v>
      </c>
      <c r="B1003" s="3" t="s">
        <v>766</v>
      </c>
      <c r="C1003" s="3" t="s">
        <v>728</v>
      </c>
      <c r="D1003" s="3" t="s">
        <v>1418</v>
      </c>
      <c r="E1003" s="3" t="s">
        <v>1419</v>
      </c>
      <c r="F1003" s="3">
        <v>5.43</v>
      </c>
      <c r="G1003" s="3" t="s">
        <v>1415</v>
      </c>
      <c r="H1003" s="3">
        <v>3.5</v>
      </c>
      <c r="I1003" s="3">
        <v>5</v>
      </c>
      <c r="J1003" s="5" t="s">
        <v>1426</v>
      </c>
      <c r="K1003" s="3" t="s">
        <v>1434</v>
      </c>
    </row>
    <row r="1004" spans="1:11" x14ac:dyDescent="0.2">
      <c r="A1004" s="2" t="s">
        <v>759</v>
      </c>
      <c r="B1004" s="2" t="s">
        <v>766</v>
      </c>
      <c r="C1004" s="2" t="s">
        <v>728</v>
      </c>
      <c r="D1004" s="2" t="s">
        <v>1435</v>
      </c>
      <c r="E1004" s="2" t="s">
        <v>1436</v>
      </c>
      <c r="F1004" s="2">
        <v>1.19</v>
      </c>
      <c r="G1004" s="2" t="s">
        <v>1415</v>
      </c>
      <c r="H1004" s="2">
        <v>0.8</v>
      </c>
      <c r="I1004" s="2">
        <v>1.5</v>
      </c>
      <c r="J1004" s="2" t="s">
        <v>1416</v>
      </c>
      <c r="K1004" s="2" t="s">
        <v>1431</v>
      </c>
    </row>
    <row r="1005" spans="1:11" x14ac:dyDescent="0.2">
      <c r="A1005" s="3" t="s">
        <v>759</v>
      </c>
      <c r="B1005" s="3" t="s">
        <v>766</v>
      </c>
      <c r="C1005" s="3" t="s">
        <v>728</v>
      </c>
      <c r="D1005" s="3" t="s">
        <v>1432</v>
      </c>
      <c r="E1005" s="3" t="s">
        <v>1433</v>
      </c>
      <c r="F1005" s="3">
        <v>4.4400000000000004</v>
      </c>
      <c r="G1005" s="3" t="s">
        <v>1415</v>
      </c>
      <c r="H1005" s="3">
        <v>0</v>
      </c>
      <c r="I1005" s="3">
        <v>3</v>
      </c>
      <c r="J1005" s="5" t="s">
        <v>1426</v>
      </c>
      <c r="K1005" s="3" t="s">
        <v>1420</v>
      </c>
    </row>
    <row r="1006" spans="1:11" x14ac:dyDescent="0.2">
      <c r="A1006" s="2" t="s">
        <v>759</v>
      </c>
      <c r="B1006" s="2" t="s">
        <v>766</v>
      </c>
      <c r="C1006" s="2" t="s">
        <v>728</v>
      </c>
      <c r="D1006" s="2" t="s">
        <v>1453</v>
      </c>
      <c r="E1006" s="2" t="s">
        <v>1454</v>
      </c>
      <c r="F1006" s="2">
        <v>6</v>
      </c>
      <c r="G1006" s="2" t="s">
        <v>1415</v>
      </c>
      <c r="H1006" s="2">
        <v>3.9</v>
      </c>
      <c r="I1006" s="2">
        <v>5.5</v>
      </c>
      <c r="J1006" s="5" t="s">
        <v>1426</v>
      </c>
      <c r="K1006" s="2" t="s">
        <v>1434</v>
      </c>
    </row>
    <row r="1007" spans="1:11" x14ac:dyDescent="0.2">
      <c r="A1007" s="3" t="s">
        <v>759</v>
      </c>
      <c r="B1007" s="3" t="s">
        <v>766</v>
      </c>
      <c r="C1007" s="3" t="s">
        <v>728</v>
      </c>
      <c r="D1007" s="3" t="s">
        <v>1440</v>
      </c>
      <c r="E1007" s="3" t="s">
        <v>1441</v>
      </c>
      <c r="F1007" s="3">
        <v>8.5500000000000007</v>
      </c>
      <c r="G1007" s="3" t="s">
        <v>1442</v>
      </c>
      <c r="H1007" s="3">
        <v>4</v>
      </c>
      <c r="I1007" s="3">
        <v>5.6</v>
      </c>
      <c r="J1007" s="5" t="s">
        <v>1426</v>
      </c>
      <c r="K1007" s="3" t="s">
        <v>1434</v>
      </c>
    </row>
    <row r="1008" spans="1:11" x14ac:dyDescent="0.2">
      <c r="A1008" s="2" t="s">
        <v>759</v>
      </c>
      <c r="B1008" s="2" t="s">
        <v>768</v>
      </c>
      <c r="C1008" s="2" t="s">
        <v>769</v>
      </c>
      <c r="D1008" s="2" t="s">
        <v>1448</v>
      </c>
      <c r="E1008" s="2" t="s">
        <v>1449</v>
      </c>
      <c r="F1008" s="2">
        <v>136.91</v>
      </c>
      <c r="G1008" s="2" t="s">
        <v>1415</v>
      </c>
      <c r="H1008" s="2">
        <v>136</v>
      </c>
      <c r="I1008" s="2">
        <v>145</v>
      </c>
      <c r="J1008" s="2" t="s">
        <v>1416</v>
      </c>
      <c r="K1008" s="2" t="s">
        <v>1420</v>
      </c>
    </row>
    <row r="1009" spans="1:11" x14ac:dyDescent="0.2">
      <c r="A1009" s="3" t="s">
        <v>759</v>
      </c>
      <c r="B1009" s="3" t="s">
        <v>768</v>
      </c>
      <c r="C1009" s="3" t="s">
        <v>769</v>
      </c>
      <c r="D1009" s="3" t="s">
        <v>1413</v>
      </c>
      <c r="E1009" s="3" t="s">
        <v>1414</v>
      </c>
      <c r="F1009" s="3">
        <v>2.0299999999999998</v>
      </c>
      <c r="G1009" s="3" t="s">
        <v>1415</v>
      </c>
      <c r="H1009" s="3">
        <v>1</v>
      </c>
      <c r="I1009" s="3">
        <v>5</v>
      </c>
      <c r="J1009" s="3" t="s">
        <v>1416</v>
      </c>
      <c r="K1009" s="3" t="s">
        <v>1434</v>
      </c>
    </row>
    <row r="1010" spans="1:11" x14ac:dyDescent="0.2">
      <c r="A1010" s="2" t="s">
        <v>759</v>
      </c>
      <c r="B1010" s="2" t="s">
        <v>768</v>
      </c>
      <c r="C1010" s="2" t="s">
        <v>769</v>
      </c>
      <c r="D1010" s="2" t="s">
        <v>1437</v>
      </c>
      <c r="E1010" s="2" t="s">
        <v>1438</v>
      </c>
      <c r="F1010" s="2">
        <v>7.81</v>
      </c>
      <c r="G1010" s="2" t="s">
        <v>1439</v>
      </c>
      <c r="H1010" s="2">
        <v>12</v>
      </c>
      <c r="I1010" s="2">
        <v>17.5</v>
      </c>
      <c r="J1010" s="5" t="s">
        <v>1430</v>
      </c>
      <c r="K1010" s="2" t="s">
        <v>1420</v>
      </c>
    </row>
    <row r="1011" spans="1:11" x14ac:dyDescent="0.2">
      <c r="A1011" s="3" t="s">
        <v>759</v>
      </c>
      <c r="B1011" s="3" t="s">
        <v>768</v>
      </c>
      <c r="C1011" s="3" t="s">
        <v>769</v>
      </c>
      <c r="D1011" s="3" t="s">
        <v>1443</v>
      </c>
      <c r="E1011" s="3" t="s">
        <v>1444</v>
      </c>
      <c r="F1011" s="3">
        <v>91.97</v>
      </c>
      <c r="G1011" s="3" t="s">
        <v>1445</v>
      </c>
      <c r="H1011" s="3">
        <v>53</v>
      </c>
      <c r="I1011" s="3">
        <v>97</v>
      </c>
      <c r="J1011" s="3" t="s">
        <v>1416</v>
      </c>
      <c r="K1011" s="3" t="s">
        <v>1434</v>
      </c>
    </row>
    <row r="1012" spans="1:11" x14ac:dyDescent="0.2">
      <c r="A1012" s="2" t="s">
        <v>759</v>
      </c>
      <c r="B1012" s="2" t="s">
        <v>768</v>
      </c>
      <c r="C1012" s="2" t="s">
        <v>769</v>
      </c>
      <c r="D1012" s="2" t="s">
        <v>1435</v>
      </c>
      <c r="E1012" s="2" t="s">
        <v>1436</v>
      </c>
      <c r="F1012" s="2">
        <v>0.81</v>
      </c>
      <c r="G1012" s="2" t="s">
        <v>1415</v>
      </c>
      <c r="H1012" s="2">
        <v>0.8</v>
      </c>
      <c r="I1012" s="2">
        <v>1.5</v>
      </c>
      <c r="J1012" s="2" t="s">
        <v>1416</v>
      </c>
      <c r="K1012" s="2" t="s">
        <v>1434</v>
      </c>
    </row>
    <row r="1013" spans="1:11" x14ac:dyDescent="0.2">
      <c r="A1013" s="3" t="s">
        <v>759</v>
      </c>
      <c r="B1013" s="3" t="s">
        <v>768</v>
      </c>
      <c r="C1013" s="3" t="s">
        <v>769</v>
      </c>
      <c r="D1013" s="3" t="s">
        <v>1432</v>
      </c>
      <c r="E1013" s="3" t="s">
        <v>1433</v>
      </c>
      <c r="F1013" s="3">
        <v>4.26</v>
      </c>
      <c r="G1013" s="3" t="s">
        <v>1415</v>
      </c>
      <c r="H1013" s="3">
        <v>0</v>
      </c>
      <c r="I1013" s="3">
        <v>3</v>
      </c>
      <c r="J1013" s="5" t="s">
        <v>1426</v>
      </c>
      <c r="K1013" s="3" t="s">
        <v>1434</v>
      </c>
    </row>
    <row r="1014" spans="1:11" x14ac:dyDescent="0.2">
      <c r="A1014" s="2" t="s">
        <v>759</v>
      </c>
      <c r="B1014" s="2" t="s">
        <v>768</v>
      </c>
      <c r="C1014" s="2" t="s">
        <v>769</v>
      </c>
      <c r="D1014" s="2" t="s">
        <v>1418</v>
      </c>
      <c r="E1014" s="2" t="s">
        <v>1419</v>
      </c>
      <c r="F1014" s="2">
        <v>4</v>
      </c>
      <c r="G1014" s="2" t="s">
        <v>1415</v>
      </c>
      <c r="H1014" s="2">
        <v>3.5</v>
      </c>
      <c r="I1014" s="2">
        <v>5</v>
      </c>
      <c r="J1014" s="2" t="s">
        <v>1416</v>
      </c>
      <c r="K1014" s="2" t="s">
        <v>1434</v>
      </c>
    </row>
    <row r="1015" spans="1:11" x14ac:dyDescent="0.2">
      <c r="A1015" s="3" t="s">
        <v>759</v>
      </c>
      <c r="B1015" s="3" t="s">
        <v>771</v>
      </c>
      <c r="C1015" s="3" t="s">
        <v>772</v>
      </c>
      <c r="D1015" s="3" t="s">
        <v>1423</v>
      </c>
      <c r="E1015" s="3" t="s">
        <v>1424</v>
      </c>
      <c r="F1015" s="3">
        <v>5.84</v>
      </c>
      <c r="G1015" s="3" t="s">
        <v>1425</v>
      </c>
      <c r="H1015" s="3">
        <v>4.5</v>
      </c>
      <c r="I1015" s="3">
        <v>5.5</v>
      </c>
      <c r="J1015" s="5" t="s">
        <v>1426</v>
      </c>
      <c r="K1015" s="3" t="s">
        <v>1420</v>
      </c>
    </row>
    <row r="1016" spans="1:11" x14ac:dyDescent="0.2">
      <c r="A1016" s="2" t="s">
        <v>759</v>
      </c>
      <c r="B1016" s="2" t="s">
        <v>771</v>
      </c>
      <c r="C1016" s="2" t="s">
        <v>772</v>
      </c>
      <c r="D1016" s="2" t="s">
        <v>1435</v>
      </c>
      <c r="E1016" s="2" t="s">
        <v>1436</v>
      </c>
      <c r="F1016" s="2">
        <v>1.44</v>
      </c>
      <c r="G1016" s="2" t="s">
        <v>1415</v>
      </c>
      <c r="H1016" s="2">
        <v>0.8</v>
      </c>
      <c r="I1016" s="2">
        <v>1.5</v>
      </c>
      <c r="J1016" s="2" t="s">
        <v>1416</v>
      </c>
      <c r="K1016" s="2" t="s">
        <v>1434</v>
      </c>
    </row>
    <row r="1017" spans="1:11" x14ac:dyDescent="0.2">
      <c r="A1017" s="3" t="s">
        <v>759</v>
      </c>
      <c r="B1017" s="3" t="s">
        <v>771</v>
      </c>
      <c r="C1017" s="3" t="s">
        <v>772</v>
      </c>
      <c r="D1017" s="3" t="s">
        <v>1455</v>
      </c>
      <c r="E1017" s="3" t="s">
        <v>1456</v>
      </c>
      <c r="F1017" s="3">
        <v>41.39</v>
      </c>
      <c r="G1017" s="3" t="s">
        <v>1457</v>
      </c>
      <c r="H1017" s="3">
        <v>40</v>
      </c>
      <c r="I1017" s="3">
        <v>130</v>
      </c>
      <c r="J1017" s="3" t="s">
        <v>1416</v>
      </c>
      <c r="K1017" s="3" t="s">
        <v>1431</v>
      </c>
    </row>
    <row r="1018" spans="1:11" x14ac:dyDescent="0.2">
      <c r="A1018" s="2" t="s">
        <v>759</v>
      </c>
      <c r="B1018" s="2" t="s">
        <v>771</v>
      </c>
      <c r="C1018" s="2" t="s">
        <v>772</v>
      </c>
      <c r="D1018" s="2" t="s">
        <v>1453</v>
      </c>
      <c r="E1018" s="2" t="s">
        <v>1454</v>
      </c>
      <c r="F1018" s="2">
        <v>7.25</v>
      </c>
      <c r="G1018" s="2" t="s">
        <v>1415</v>
      </c>
      <c r="H1018" s="2">
        <v>3.9</v>
      </c>
      <c r="I1018" s="2">
        <v>5.5</v>
      </c>
      <c r="J1018" s="5" t="s">
        <v>1426</v>
      </c>
      <c r="K1018" s="2" t="s">
        <v>1417</v>
      </c>
    </row>
    <row r="1019" spans="1:11" x14ac:dyDescent="0.2">
      <c r="A1019" s="3" t="s">
        <v>759</v>
      </c>
      <c r="B1019" s="3" t="s">
        <v>771</v>
      </c>
      <c r="C1019" s="3" t="s">
        <v>772</v>
      </c>
      <c r="D1019" s="3" t="s">
        <v>1427</v>
      </c>
      <c r="E1019" s="3" t="s">
        <v>1428</v>
      </c>
      <c r="F1019" s="3">
        <v>9.9</v>
      </c>
      <c r="G1019" s="3" t="s">
        <v>1429</v>
      </c>
      <c r="H1019" s="3">
        <v>4</v>
      </c>
      <c r="I1019" s="3">
        <v>11</v>
      </c>
      <c r="J1019" s="3" t="s">
        <v>1416</v>
      </c>
      <c r="K1019" s="3" t="s">
        <v>1431</v>
      </c>
    </row>
    <row r="1020" spans="1:11" x14ac:dyDescent="0.2">
      <c r="A1020" s="2" t="s">
        <v>759</v>
      </c>
      <c r="B1020" s="2" t="s">
        <v>771</v>
      </c>
      <c r="C1020" s="2" t="s">
        <v>772</v>
      </c>
      <c r="D1020" s="2" t="s">
        <v>1448</v>
      </c>
      <c r="E1020" s="2" t="s">
        <v>1449</v>
      </c>
      <c r="F1020" s="2">
        <v>133.32</v>
      </c>
      <c r="G1020" s="2" t="s">
        <v>1415</v>
      </c>
      <c r="H1020" s="2">
        <v>136</v>
      </c>
      <c r="I1020" s="2">
        <v>145</v>
      </c>
      <c r="J1020" s="5" t="s">
        <v>1430</v>
      </c>
      <c r="K1020" s="2" t="s">
        <v>1434</v>
      </c>
    </row>
    <row r="1021" spans="1:11" x14ac:dyDescent="0.2">
      <c r="A1021" s="3" t="s">
        <v>773</v>
      </c>
      <c r="B1021" s="3" t="s">
        <v>774</v>
      </c>
      <c r="C1021" s="3" t="s">
        <v>775</v>
      </c>
      <c r="D1021" s="3" t="s">
        <v>1450</v>
      </c>
      <c r="E1021" s="3" t="s">
        <v>1451</v>
      </c>
      <c r="F1021" s="3">
        <v>37.56</v>
      </c>
      <c r="G1021" s="3" t="s">
        <v>1452</v>
      </c>
      <c r="H1021" s="3">
        <v>60</v>
      </c>
      <c r="I1021" s="3">
        <v>120</v>
      </c>
      <c r="J1021" s="5" t="s">
        <v>1430</v>
      </c>
      <c r="K1021" s="3" t="s">
        <v>1417</v>
      </c>
    </row>
    <row r="1022" spans="1:11" x14ac:dyDescent="0.2">
      <c r="A1022" s="2" t="s">
        <v>773</v>
      </c>
      <c r="B1022" s="2" t="s">
        <v>774</v>
      </c>
      <c r="C1022" s="2" t="s">
        <v>775</v>
      </c>
      <c r="D1022" s="2" t="s">
        <v>1455</v>
      </c>
      <c r="E1022" s="2" t="s">
        <v>1456</v>
      </c>
      <c r="F1022" s="2">
        <v>248.22</v>
      </c>
      <c r="G1022" s="2" t="s">
        <v>1457</v>
      </c>
      <c r="H1022" s="2">
        <v>40</v>
      </c>
      <c r="I1022" s="2">
        <v>130</v>
      </c>
      <c r="J1022" s="5" t="s">
        <v>1426</v>
      </c>
      <c r="K1022" s="2" t="s">
        <v>1434</v>
      </c>
    </row>
    <row r="1023" spans="1:11" x14ac:dyDescent="0.2">
      <c r="A1023" s="3" t="s">
        <v>773</v>
      </c>
      <c r="B1023" s="3" t="s">
        <v>774</v>
      </c>
      <c r="C1023" s="3" t="s">
        <v>775</v>
      </c>
      <c r="D1023" s="3" t="s">
        <v>1446</v>
      </c>
      <c r="E1023" s="3" t="s">
        <v>1447</v>
      </c>
      <c r="F1023" s="3">
        <v>2.46</v>
      </c>
      <c r="G1023" s="3" t="s">
        <v>1415</v>
      </c>
      <c r="H1023" s="3">
        <v>2.1</v>
      </c>
      <c r="I1023" s="3">
        <v>2.6</v>
      </c>
      <c r="J1023" s="3" t="s">
        <v>1416</v>
      </c>
      <c r="K1023" s="3" t="s">
        <v>1434</v>
      </c>
    </row>
    <row r="1024" spans="1:11" x14ac:dyDescent="0.2">
      <c r="A1024" s="2" t="s">
        <v>773</v>
      </c>
      <c r="B1024" s="2" t="s">
        <v>778</v>
      </c>
      <c r="C1024" s="2" t="s">
        <v>779</v>
      </c>
      <c r="D1024" s="2" t="s">
        <v>1450</v>
      </c>
      <c r="E1024" s="2" t="s">
        <v>1451</v>
      </c>
      <c r="F1024" s="2">
        <v>78.2</v>
      </c>
      <c r="G1024" s="2" t="s">
        <v>1452</v>
      </c>
      <c r="H1024" s="2">
        <v>60</v>
      </c>
      <c r="I1024" s="2">
        <v>120</v>
      </c>
      <c r="J1024" s="2" t="s">
        <v>1416</v>
      </c>
      <c r="K1024" s="2" t="s">
        <v>1434</v>
      </c>
    </row>
    <row r="1025" spans="1:11" x14ac:dyDescent="0.2">
      <c r="A1025" s="3" t="s">
        <v>773</v>
      </c>
      <c r="B1025" s="3" t="s">
        <v>778</v>
      </c>
      <c r="C1025" s="3" t="s">
        <v>779</v>
      </c>
      <c r="D1025" s="3" t="s">
        <v>1418</v>
      </c>
      <c r="E1025" s="3" t="s">
        <v>1419</v>
      </c>
      <c r="F1025" s="3">
        <v>4.21</v>
      </c>
      <c r="G1025" s="3" t="s">
        <v>1415</v>
      </c>
      <c r="H1025" s="3">
        <v>3.5</v>
      </c>
      <c r="I1025" s="3">
        <v>5</v>
      </c>
      <c r="J1025" s="3" t="s">
        <v>1416</v>
      </c>
      <c r="K1025" s="3" t="s">
        <v>1420</v>
      </c>
    </row>
    <row r="1026" spans="1:11" x14ac:dyDescent="0.2">
      <c r="A1026" s="2" t="s">
        <v>773</v>
      </c>
      <c r="B1026" s="2" t="s">
        <v>778</v>
      </c>
      <c r="C1026" s="2" t="s">
        <v>779</v>
      </c>
      <c r="D1026" s="2" t="s">
        <v>1435</v>
      </c>
      <c r="E1026" s="2" t="s">
        <v>1436</v>
      </c>
      <c r="F1026" s="2">
        <v>0.96</v>
      </c>
      <c r="G1026" s="2" t="s">
        <v>1415</v>
      </c>
      <c r="H1026" s="2">
        <v>0.8</v>
      </c>
      <c r="I1026" s="2">
        <v>1.5</v>
      </c>
      <c r="J1026" s="2" t="s">
        <v>1416</v>
      </c>
      <c r="K1026" s="2" t="s">
        <v>1420</v>
      </c>
    </row>
    <row r="1027" spans="1:11" x14ac:dyDescent="0.2">
      <c r="A1027" s="3" t="s">
        <v>773</v>
      </c>
      <c r="B1027" s="3" t="s">
        <v>778</v>
      </c>
      <c r="C1027" s="3" t="s">
        <v>779</v>
      </c>
      <c r="D1027" s="3" t="s">
        <v>1440</v>
      </c>
      <c r="E1027" s="3" t="s">
        <v>1441</v>
      </c>
      <c r="F1027" s="3">
        <v>7.84</v>
      </c>
      <c r="G1027" s="3" t="s">
        <v>1442</v>
      </c>
      <c r="H1027" s="3">
        <v>4</v>
      </c>
      <c r="I1027" s="3">
        <v>5.6</v>
      </c>
      <c r="J1027" s="5" t="s">
        <v>1426</v>
      </c>
      <c r="K1027" s="3" t="s">
        <v>1434</v>
      </c>
    </row>
    <row r="1028" spans="1:11" x14ac:dyDescent="0.2">
      <c r="A1028" s="2" t="s">
        <v>773</v>
      </c>
      <c r="B1028" s="2" t="s">
        <v>778</v>
      </c>
      <c r="C1028" s="2" t="s">
        <v>779</v>
      </c>
      <c r="D1028" s="2" t="s">
        <v>1446</v>
      </c>
      <c r="E1028" s="2" t="s">
        <v>1447</v>
      </c>
      <c r="F1028" s="2">
        <v>2.09</v>
      </c>
      <c r="G1028" s="2" t="s">
        <v>1415</v>
      </c>
      <c r="H1028" s="2">
        <v>2.1</v>
      </c>
      <c r="I1028" s="2">
        <v>2.6</v>
      </c>
      <c r="J1028" s="5" t="s">
        <v>1430</v>
      </c>
      <c r="K1028" s="2" t="s">
        <v>1434</v>
      </c>
    </row>
    <row r="1029" spans="1:11" x14ac:dyDescent="0.2">
      <c r="A1029" s="3" t="s">
        <v>773</v>
      </c>
      <c r="B1029" s="3" t="s">
        <v>778</v>
      </c>
      <c r="C1029" s="3" t="s">
        <v>779</v>
      </c>
      <c r="D1029" s="3" t="s">
        <v>1437</v>
      </c>
      <c r="E1029" s="3" t="s">
        <v>1438</v>
      </c>
      <c r="F1029" s="3">
        <v>13.65</v>
      </c>
      <c r="G1029" s="3" t="s">
        <v>1439</v>
      </c>
      <c r="H1029" s="3">
        <v>12</v>
      </c>
      <c r="I1029" s="3">
        <v>17.5</v>
      </c>
      <c r="J1029" s="3" t="s">
        <v>1416</v>
      </c>
      <c r="K1029" s="3" t="s">
        <v>1431</v>
      </c>
    </row>
    <row r="1030" spans="1:11" x14ac:dyDescent="0.2">
      <c r="A1030" s="2" t="s">
        <v>773</v>
      </c>
      <c r="B1030" s="2" t="s">
        <v>780</v>
      </c>
      <c r="C1030" s="2" t="s">
        <v>781</v>
      </c>
      <c r="D1030" s="2" t="s">
        <v>1435</v>
      </c>
      <c r="E1030" s="2" t="s">
        <v>1436</v>
      </c>
      <c r="F1030" s="2">
        <v>1.79</v>
      </c>
      <c r="G1030" s="2" t="s">
        <v>1415</v>
      </c>
      <c r="H1030" s="2">
        <v>0.8</v>
      </c>
      <c r="I1030" s="2">
        <v>1.5</v>
      </c>
      <c r="J1030" s="5" t="s">
        <v>1426</v>
      </c>
      <c r="K1030" s="2" t="s">
        <v>1434</v>
      </c>
    </row>
    <row r="1031" spans="1:11" x14ac:dyDescent="0.2">
      <c r="A1031" s="3" t="s">
        <v>773</v>
      </c>
      <c r="B1031" s="3" t="s">
        <v>780</v>
      </c>
      <c r="C1031" s="3" t="s">
        <v>781</v>
      </c>
      <c r="D1031" s="3" t="s">
        <v>1450</v>
      </c>
      <c r="E1031" s="3" t="s">
        <v>1451</v>
      </c>
      <c r="F1031" s="3">
        <v>115.42</v>
      </c>
      <c r="G1031" s="3" t="s">
        <v>1452</v>
      </c>
      <c r="H1031" s="3">
        <v>60</v>
      </c>
      <c r="I1031" s="3">
        <v>120</v>
      </c>
      <c r="J1031" s="3" t="s">
        <v>1416</v>
      </c>
      <c r="K1031" s="3" t="s">
        <v>1431</v>
      </c>
    </row>
    <row r="1032" spans="1:11" x14ac:dyDescent="0.2">
      <c r="A1032" s="2" t="s">
        <v>773</v>
      </c>
      <c r="B1032" s="2" t="s">
        <v>780</v>
      </c>
      <c r="C1032" s="2" t="s">
        <v>781</v>
      </c>
      <c r="D1032" s="2" t="s">
        <v>1446</v>
      </c>
      <c r="E1032" s="2" t="s">
        <v>1447</v>
      </c>
      <c r="F1032" s="2">
        <v>2.78</v>
      </c>
      <c r="G1032" s="2" t="s">
        <v>1415</v>
      </c>
      <c r="H1032" s="2">
        <v>2.1</v>
      </c>
      <c r="I1032" s="2">
        <v>2.6</v>
      </c>
      <c r="J1032" s="5" t="s">
        <v>1426</v>
      </c>
      <c r="K1032" s="2" t="s">
        <v>1434</v>
      </c>
    </row>
    <row r="1033" spans="1:11" x14ac:dyDescent="0.2">
      <c r="A1033" s="3" t="s">
        <v>773</v>
      </c>
      <c r="B1033" s="3" t="s">
        <v>780</v>
      </c>
      <c r="C1033" s="3" t="s">
        <v>781</v>
      </c>
      <c r="D1033" s="3" t="s">
        <v>1427</v>
      </c>
      <c r="E1033" s="3" t="s">
        <v>1428</v>
      </c>
      <c r="F1033" s="3">
        <v>3.38</v>
      </c>
      <c r="G1033" s="3" t="s">
        <v>1429</v>
      </c>
      <c r="H1033" s="3">
        <v>4</v>
      </c>
      <c r="I1033" s="3">
        <v>11</v>
      </c>
      <c r="J1033" s="5" t="s">
        <v>1430</v>
      </c>
      <c r="K1033" s="3" t="s">
        <v>1417</v>
      </c>
    </row>
    <row r="1034" spans="1:11" x14ac:dyDescent="0.2">
      <c r="A1034" s="2" t="s">
        <v>773</v>
      </c>
      <c r="B1034" s="2" t="s">
        <v>780</v>
      </c>
      <c r="C1034" s="2" t="s">
        <v>781</v>
      </c>
      <c r="D1034" s="2" t="s">
        <v>1423</v>
      </c>
      <c r="E1034" s="2" t="s">
        <v>1424</v>
      </c>
      <c r="F1034" s="2">
        <v>3.54</v>
      </c>
      <c r="G1034" s="2" t="s">
        <v>1425</v>
      </c>
      <c r="H1034" s="2">
        <v>4.5</v>
      </c>
      <c r="I1034" s="2">
        <v>5.5</v>
      </c>
      <c r="J1034" s="5" t="s">
        <v>1430</v>
      </c>
      <c r="K1034" s="2" t="s">
        <v>1434</v>
      </c>
    </row>
    <row r="1035" spans="1:11" x14ac:dyDescent="0.2">
      <c r="A1035" s="3" t="s">
        <v>773</v>
      </c>
      <c r="B1035" s="3" t="s">
        <v>780</v>
      </c>
      <c r="C1035" s="3" t="s">
        <v>781</v>
      </c>
      <c r="D1035" s="3" t="s">
        <v>1443</v>
      </c>
      <c r="E1035" s="3" t="s">
        <v>1444</v>
      </c>
      <c r="F1035" s="3">
        <v>67.569999999999993</v>
      </c>
      <c r="G1035" s="3" t="s">
        <v>1445</v>
      </c>
      <c r="H1035" s="3">
        <v>53</v>
      </c>
      <c r="I1035" s="3">
        <v>97</v>
      </c>
      <c r="J1035" s="3" t="s">
        <v>1416</v>
      </c>
      <c r="K1035" s="3" t="s">
        <v>1431</v>
      </c>
    </row>
    <row r="1036" spans="1:11" x14ac:dyDescent="0.2">
      <c r="A1036" s="2" t="s">
        <v>783</v>
      </c>
      <c r="B1036" s="2" t="s">
        <v>784</v>
      </c>
      <c r="C1036" s="2" t="s">
        <v>432</v>
      </c>
      <c r="D1036" s="2" t="s">
        <v>1440</v>
      </c>
      <c r="E1036" s="2" t="s">
        <v>1441</v>
      </c>
      <c r="F1036" s="2">
        <v>5.8</v>
      </c>
      <c r="G1036" s="2" t="s">
        <v>1442</v>
      </c>
      <c r="H1036" s="2">
        <v>4</v>
      </c>
      <c r="I1036" s="2">
        <v>5.6</v>
      </c>
      <c r="J1036" s="5" t="s">
        <v>1426</v>
      </c>
      <c r="K1036" s="2" t="s">
        <v>1434</v>
      </c>
    </row>
    <row r="1037" spans="1:11" x14ac:dyDescent="0.2">
      <c r="A1037" s="3" t="s">
        <v>783</v>
      </c>
      <c r="B1037" s="3" t="s">
        <v>784</v>
      </c>
      <c r="C1037" s="3" t="s">
        <v>432</v>
      </c>
      <c r="D1037" s="3" t="s">
        <v>1423</v>
      </c>
      <c r="E1037" s="3" t="s">
        <v>1424</v>
      </c>
      <c r="F1037" s="3">
        <v>3.23</v>
      </c>
      <c r="G1037" s="3" t="s">
        <v>1425</v>
      </c>
      <c r="H1037" s="3">
        <v>4.5</v>
      </c>
      <c r="I1037" s="3">
        <v>5.5</v>
      </c>
      <c r="J1037" s="5" t="s">
        <v>1430</v>
      </c>
      <c r="K1037" s="3" t="s">
        <v>1431</v>
      </c>
    </row>
    <row r="1038" spans="1:11" x14ac:dyDescent="0.2">
      <c r="A1038" s="2" t="s">
        <v>783</v>
      </c>
      <c r="B1038" s="2" t="s">
        <v>784</v>
      </c>
      <c r="C1038" s="2" t="s">
        <v>432</v>
      </c>
      <c r="D1038" s="2" t="s">
        <v>1418</v>
      </c>
      <c r="E1038" s="2" t="s">
        <v>1419</v>
      </c>
      <c r="F1038" s="2">
        <v>4.34</v>
      </c>
      <c r="G1038" s="2" t="s">
        <v>1415</v>
      </c>
      <c r="H1038" s="2">
        <v>3.5</v>
      </c>
      <c r="I1038" s="2">
        <v>5</v>
      </c>
      <c r="J1038" s="2" t="s">
        <v>1416</v>
      </c>
      <c r="K1038" s="2" t="s">
        <v>1420</v>
      </c>
    </row>
    <row r="1039" spans="1:11" x14ac:dyDescent="0.2">
      <c r="A1039" s="3" t="s">
        <v>783</v>
      </c>
      <c r="B1039" s="3" t="s">
        <v>784</v>
      </c>
      <c r="C1039" s="3" t="s">
        <v>432</v>
      </c>
      <c r="D1039" s="3" t="s">
        <v>1448</v>
      </c>
      <c r="E1039" s="3" t="s">
        <v>1449</v>
      </c>
      <c r="F1039" s="3">
        <v>146.46</v>
      </c>
      <c r="G1039" s="3" t="s">
        <v>1415</v>
      </c>
      <c r="H1039" s="3">
        <v>136</v>
      </c>
      <c r="I1039" s="3">
        <v>145</v>
      </c>
      <c r="J1039" s="5" t="s">
        <v>1426</v>
      </c>
      <c r="K1039" s="3" t="s">
        <v>1431</v>
      </c>
    </row>
    <row r="1040" spans="1:11" x14ac:dyDescent="0.2">
      <c r="A1040" s="2" t="s">
        <v>783</v>
      </c>
      <c r="B1040" s="2" t="s">
        <v>784</v>
      </c>
      <c r="C1040" s="2" t="s">
        <v>432</v>
      </c>
      <c r="D1040" s="2" t="s">
        <v>1437</v>
      </c>
      <c r="E1040" s="2" t="s">
        <v>1438</v>
      </c>
      <c r="F1040" s="2">
        <v>11.77</v>
      </c>
      <c r="G1040" s="2" t="s">
        <v>1439</v>
      </c>
      <c r="H1040" s="2">
        <v>12</v>
      </c>
      <c r="I1040" s="2">
        <v>17.5</v>
      </c>
      <c r="J1040" s="5" t="s">
        <v>1430</v>
      </c>
      <c r="K1040" s="2" t="s">
        <v>1420</v>
      </c>
    </row>
    <row r="1041" spans="1:11" x14ac:dyDescent="0.2">
      <c r="A1041" s="3" t="s">
        <v>783</v>
      </c>
      <c r="B1041" s="3" t="s">
        <v>786</v>
      </c>
      <c r="C1041" s="3" t="s">
        <v>787</v>
      </c>
      <c r="D1041" s="3" t="s">
        <v>1450</v>
      </c>
      <c r="E1041" s="3" t="s">
        <v>1451</v>
      </c>
      <c r="F1041" s="3">
        <v>75.59</v>
      </c>
      <c r="G1041" s="3" t="s">
        <v>1452</v>
      </c>
      <c r="H1041" s="3">
        <v>60</v>
      </c>
      <c r="I1041" s="3">
        <v>120</v>
      </c>
      <c r="J1041" s="3" t="s">
        <v>1416</v>
      </c>
      <c r="K1041" s="3" t="s">
        <v>1420</v>
      </c>
    </row>
    <row r="1042" spans="1:11" x14ac:dyDescent="0.2">
      <c r="A1042" s="2" t="s">
        <v>783</v>
      </c>
      <c r="B1042" s="2" t="s">
        <v>786</v>
      </c>
      <c r="C1042" s="2" t="s">
        <v>787</v>
      </c>
      <c r="D1042" s="2" t="s">
        <v>1427</v>
      </c>
      <c r="E1042" s="2" t="s">
        <v>1428</v>
      </c>
      <c r="F1042" s="2">
        <v>7.44</v>
      </c>
      <c r="G1042" s="2" t="s">
        <v>1429</v>
      </c>
      <c r="H1042" s="2">
        <v>4</v>
      </c>
      <c r="I1042" s="2">
        <v>11</v>
      </c>
      <c r="J1042" s="2" t="s">
        <v>1416</v>
      </c>
      <c r="K1042" s="2" t="s">
        <v>1434</v>
      </c>
    </row>
    <row r="1043" spans="1:11" x14ac:dyDescent="0.2">
      <c r="A1043" s="3" t="s">
        <v>783</v>
      </c>
      <c r="B1043" s="3" t="s">
        <v>786</v>
      </c>
      <c r="C1043" s="3" t="s">
        <v>787</v>
      </c>
      <c r="D1043" s="3" t="s">
        <v>1413</v>
      </c>
      <c r="E1043" s="3" t="s">
        <v>1414</v>
      </c>
      <c r="F1043" s="3">
        <v>0.78</v>
      </c>
      <c r="G1043" s="3" t="s">
        <v>1415</v>
      </c>
      <c r="H1043" s="3">
        <v>1</v>
      </c>
      <c r="I1043" s="3">
        <v>5</v>
      </c>
      <c r="J1043" s="5" t="s">
        <v>1430</v>
      </c>
      <c r="K1043" s="3" t="s">
        <v>1417</v>
      </c>
    </row>
    <row r="1044" spans="1:11" x14ac:dyDescent="0.2">
      <c r="A1044" s="2" t="s">
        <v>783</v>
      </c>
      <c r="B1044" s="2" t="s">
        <v>786</v>
      </c>
      <c r="C1044" s="2" t="s">
        <v>787</v>
      </c>
      <c r="D1044" s="2" t="s">
        <v>1437</v>
      </c>
      <c r="E1044" s="2" t="s">
        <v>1438</v>
      </c>
      <c r="F1044" s="2">
        <v>15.17</v>
      </c>
      <c r="G1044" s="2" t="s">
        <v>1439</v>
      </c>
      <c r="H1044" s="2">
        <v>12</v>
      </c>
      <c r="I1044" s="2">
        <v>17.5</v>
      </c>
      <c r="J1044" s="2" t="s">
        <v>1416</v>
      </c>
      <c r="K1044" s="2" t="s">
        <v>1417</v>
      </c>
    </row>
    <row r="1045" spans="1:11" x14ac:dyDescent="0.2">
      <c r="A1045" s="3" t="s">
        <v>783</v>
      </c>
      <c r="B1045" s="3" t="s">
        <v>786</v>
      </c>
      <c r="C1045" s="3" t="s">
        <v>787</v>
      </c>
      <c r="D1045" s="3" t="s">
        <v>1421</v>
      </c>
      <c r="E1045" s="3" t="s">
        <v>1422</v>
      </c>
      <c r="F1045" s="3">
        <v>4.62</v>
      </c>
      <c r="G1045" s="3" t="s">
        <v>1415</v>
      </c>
      <c r="H1045" s="3">
        <v>0</v>
      </c>
      <c r="I1045" s="3">
        <v>5</v>
      </c>
      <c r="J1045" s="3" t="s">
        <v>1416</v>
      </c>
      <c r="K1045" s="3" t="s">
        <v>1431</v>
      </c>
    </row>
    <row r="1046" spans="1:11" x14ac:dyDescent="0.2">
      <c r="A1046" s="2" t="s">
        <v>783</v>
      </c>
      <c r="B1046" s="2" t="s">
        <v>789</v>
      </c>
      <c r="C1046" s="2" t="s">
        <v>752</v>
      </c>
      <c r="D1046" s="2" t="s">
        <v>1446</v>
      </c>
      <c r="E1046" s="2" t="s">
        <v>1447</v>
      </c>
      <c r="F1046" s="2">
        <v>2.69</v>
      </c>
      <c r="G1046" s="2" t="s">
        <v>1415</v>
      </c>
      <c r="H1046" s="2">
        <v>2.1</v>
      </c>
      <c r="I1046" s="2">
        <v>2.6</v>
      </c>
      <c r="J1046" s="5" t="s">
        <v>1426</v>
      </c>
      <c r="K1046" s="2" t="s">
        <v>1431</v>
      </c>
    </row>
    <row r="1047" spans="1:11" x14ac:dyDescent="0.2">
      <c r="A1047" s="3" t="s">
        <v>783</v>
      </c>
      <c r="B1047" s="3" t="s">
        <v>789</v>
      </c>
      <c r="C1047" s="3" t="s">
        <v>752</v>
      </c>
      <c r="D1047" s="3" t="s">
        <v>1427</v>
      </c>
      <c r="E1047" s="3" t="s">
        <v>1428</v>
      </c>
      <c r="F1047" s="3">
        <v>4.4000000000000004</v>
      </c>
      <c r="G1047" s="3" t="s">
        <v>1429</v>
      </c>
      <c r="H1047" s="3">
        <v>4</v>
      </c>
      <c r="I1047" s="3">
        <v>11</v>
      </c>
      <c r="J1047" s="3" t="s">
        <v>1416</v>
      </c>
      <c r="K1047" s="3" t="s">
        <v>1431</v>
      </c>
    </row>
    <row r="1048" spans="1:11" x14ac:dyDescent="0.2">
      <c r="A1048" s="2" t="s">
        <v>783</v>
      </c>
      <c r="B1048" s="2" t="s">
        <v>789</v>
      </c>
      <c r="C1048" s="2" t="s">
        <v>752</v>
      </c>
      <c r="D1048" s="2" t="s">
        <v>1421</v>
      </c>
      <c r="E1048" s="2" t="s">
        <v>1422</v>
      </c>
      <c r="F1048" s="2">
        <v>3.64</v>
      </c>
      <c r="G1048" s="2" t="s">
        <v>1415</v>
      </c>
      <c r="H1048" s="2">
        <v>0</v>
      </c>
      <c r="I1048" s="2">
        <v>5</v>
      </c>
      <c r="J1048" s="2" t="s">
        <v>1416</v>
      </c>
      <c r="K1048" s="2" t="s">
        <v>1431</v>
      </c>
    </row>
    <row r="1049" spans="1:11" x14ac:dyDescent="0.2">
      <c r="A1049" s="3" t="s">
        <v>783</v>
      </c>
      <c r="B1049" s="3" t="s">
        <v>789</v>
      </c>
      <c r="C1049" s="3" t="s">
        <v>752</v>
      </c>
      <c r="D1049" s="3" t="s">
        <v>1413</v>
      </c>
      <c r="E1049" s="3" t="s">
        <v>1414</v>
      </c>
      <c r="F1049" s="3">
        <v>1.75</v>
      </c>
      <c r="G1049" s="3" t="s">
        <v>1415</v>
      </c>
      <c r="H1049" s="3">
        <v>1</v>
      </c>
      <c r="I1049" s="3">
        <v>5</v>
      </c>
      <c r="J1049" s="3" t="s">
        <v>1416</v>
      </c>
      <c r="K1049" s="3" t="s">
        <v>1417</v>
      </c>
    </row>
    <row r="1050" spans="1:11" x14ac:dyDescent="0.2">
      <c r="A1050" s="2" t="s">
        <v>783</v>
      </c>
      <c r="B1050" s="2" t="s">
        <v>790</v>
      </c>
      <c r="C1050" s="2" t="s">
        <v>791</v>
      </c>
      <c r="D1050" s="2" t="s">
        <v>1443</v>
      </c>
      <c r="E1050" s="2" t="s">
        <v>1444</v>
      </c>
      <c r="F1050" s="2">
        <v>65.81</v>
      </c>
      <c r="G1050" s="2" t="s">
        <v>1445</v>
      </c>
      <c r="H1050" s="2">
        <v>53</v>
      </c>
      <c r="I1050" s="2">
        <v>97</v>
      </c>
      <c r="J1050" s="2" t="s">
        <v>1416</v>
      </c>
      <c r="K1050" s="2" t="s">
        <v>1417</v>
      </c>
    </row>
    <row r="1051" spans="1:11" x14ac:dyDescent="0.2">
      <c r="A1051" s="3" t="s">
        <v>783</v>
      </c>
      <c r="B1051" s="3" t="s">
        <v>790</v>
      </c>
      <c r="C1051" s="3" t="s">
        <v>791</v>
      </c>
      <c r="D1051" s="3" t="s">
        <v>1448</v>
      </c>
      <c r="E1051" s="3" t="s">
        <v>1449</v>
      </c>
      <c r="F1051" s="3">
        <v>137.51</v>
      </c>
      <c r="G1051" s="3" t="s">
        <v>1415</v>
      </c>
      <c r="H1051" s="3">
        <v>136</v>
      </c>
      <c r="I1051" s="3">
        <v>145</v>
      </c>
      <c r="J1051" s="3" t="s">
        <v>1416</v>
      </c>
      <c r="K1051" s="3" t="s">
        <v>1434</v>
      </c>
    </row>
    <row r="1052" spans="1:11" x14ac:dyDescent="0.2">
      <c r="A1052" s="2" t="s">
        <v>783</v>
      </c>
      <c r="B1052" s="2" t="s">
        <v>790</v>
      </c>
      <c r="C1052" s="2" t="s">
        <v>791</v>
      </c>
      <c r="D1052" s="2" t="s">
        <v>1455</v>
      </c>
      <c r="E1052" s="2" t="s">
        <v>1456</v>
      </c>
      <c r="F1052" s="2">
        <v>49.11</v>
      </c>
      <c r="G1052" s="2" t="s">
        <v>1457</v>
      </c>
      <c r="H1052" s="2">
        <v>40</v>
      </c>
      <c r="I1052" s="2">
        <v>130</v>
      </c>
      <c r="J1052" s="2" t="s">
        <v>1416</v>
      </c>
      <c r="K1052" s="2" t="s">
        <v>1417</v>
      </c>
    </row>
    <row r="1053" spans="1:11" x14ac:dyDescent="0.2">
      <c r="A1053" s="3" t="s">
        <v>783</v>
      </c>
      <c r="B1053" s="3" t="s">
        <v>793</v>
      </c>
      <c r="C1053" s="3" t="s">
        <v>794</v>
      </c>
      <c r="D1053" s="3" t="s">
        <v>1443</v>
      </c>
      <c r="E1053" s="3" t="s">
        <v>1444</v>
      </c>
      <c r="F1053" s="3">
        <v>63.98</v>
      </c>
      <c r="G1053" s="3" t="s">
        <v>1445</v>
      </c>
      <c r="H1053" s="3">
        <v>53</v>
      </c>
      <c r="I1053" s="3">
        <v>97</v>
      </c>
      <c r="J1053" s="3" t="s">
        <v>1416</v>
      </c>
      <c r="K1053" s="3" t="s">
        <v>1417</v>
      </c>
    </row>
    <row r="1054" spans="1:11" x14ac:dyDescent="0.2">
      <c r="A1054" s="2" t="s">
        <v>783</v>
      </c>
      <c r="B1054" s="2" t="s">
        <v>793</v>
      </c>
      <c r="C1054" s="2" t="s">
        <v>794</v>
      </c>
      <c r="D1054" s="2" t="s">
        <v>1446</v>
      </c>
      <c r="E1054" s="2" t="s">
        <v>1447</v>
      </c>
      <c r="F1054" s="2">
        <v>2.02</v>
      </c>
      <c r="G1054" s="2" t="s">
        <v>1415</v>
      </c>
      <c r="H1054" s="2">
        <v>2.1</v>
      </c>
      <c r="I1054" s="2">
        <v>2.6</v>
      </c>
      <c r="J1054" s="5" t="s">
        <v>1430</v>
      </c>
      <c r="K1054" s="2" t="s">
        <v>1417</v>
      </c>
    </row>
    <row r="1055" spans="1:11" x14ac:dyDescent="0.2">
      <c r="A1055" s="3" t="s">
        <v>783</v>
      </c>
      <c r="B1055" s="3" t="s">
        <v>793</v>
      </c>
      <c r="C1055" s="3" t="s">
        <v>794</v>
      </c>
      <c r="D1055" s="3" t="s">
        <v>1418</v>
      </c>
      <c r="E1055" s="3" t="s">
        <v>1419</v>
      </c>
      <c r="F1055" s="3">
        <v>4.42</v>
      </c>
      <c r="G1055" s="3" t="s">
        <v>1415</v>
      </c>
      <c r="H1055" s="3">
        <v>3.5</v>
      </c>
      <c r="I1055" s="3">
        <v>5</v>
      </c>
      <c r="J1055" s="3" t="s">
        <v>1416</v>
      </c>
      <c r="K1055" s="3" t="s">
        <v>1420</v>
      </c>
    </row>
    <row r="1056" spans="1:11" x14ac:dyDescent="0.2">
      <c r="A1056" s="2" t="s">
        <v>783</v>
      </c>
      <c r="B1056" s="2" t="s">
        <v>793</v>
      </c>
      <c r="C1056" s="2" t="s">
        <v>794</v>
      </c>
      <c r="D1056" s="2" t="s">
        <v>1450</v>
      </c>
      <c r="E1056" s="2" t="s">
        <v>1451</v>
      </c>
      <c r="F1056" s="2">
        <v>18.600000000000001</v>
      </c>
      <c r="G1056" s="2" t="s">
        <v>1452</v>
      </c>
      <c r="H1056" s="2">
        <v>60</v>
      </c>
      <c r="I1056" s="2">
        <v>120</v>
      </c>
      <c r="J1056" s="5" t="s">
        <v>1430</v>
      </c>
      <c r="K1056" s="2" t="s">
        <v>1420</v>
      </c>
    </row>
    <row r="1057" spans="1:11" x14ac:dyDescent="0.2">
      <c r="A1057" s="3" t="s">
        <v>783</v>
      </c>
      <c r="B1057" s="3" t="s">
        <v>793</v>
      </c>
      <c r="C1057" s="3" t="s">
        <v>794</v>
      </c>
      <c r="D1057" s="3" t="s">
        <v>1448</v>
      </c>
      <c r="E1057" s="3" t="s">
        <v>1449</v>
      </c>
      <c r="F1057" s="3">
        <v>147.06</v>
      </c>
      <c r="G1057" s="3" t="s">
        <v>1415</v>
      </c>
      <c r="H1057" s="3">
        <v>136</v>
      </c>
      <c r="I1057" s="3">
        <v>145</v>
      </c>
      <c r="J1057" s="5" t="s">
        <v>1426</v>
      </c>
      <c r="K1057" s="3" t="s">
        <v>1420</v>
      </c>
    </row>
    <row r="1058" spans="1:11" x14ac:dyDescent="0.2">
      <c r="A1058" s="2" t="s">
        <v>783</v>
      </c>
      <c r="B1058" s="2" t="s">
        <v>793</v>
      </c>
      <c r="C1058" s="2" t="s">
        <v>794</v>
      </c>
      <c r="D1058" s="2" t="s">
        <v>1455</v>
      </c>
      <c r="E1058" s="2" t="s">
        <v>1456</v>
      </c>
      <c r="F1058" s="2">
        <v>325.26</v>
      </c>
      <c r="G1058" s="2" t="s">
        <v>1457</v>
      </c>
      <c r="H1058" s="2">
        <v>40</v>
      </c>
      <c r="I1058" s="2">
        <v>130</v>
      </c>
      <c r="J1058" s="5" t="s">
        <v>1426</v>
      </c>
      <c r="K1058" s="2" t="s">
        <v>1420</v>
      </c>
    </row>
    <row r="1059" spans="1:11" x14ac:dyDescent="0.2">
      <c r="A1059" s="3" t="s">
        <v>783</v>
      </c>
      <c r="B1059" s="3" t="s">
        <v>796</v>
      </c>
      <c r="C1059" s="3" t="s">
        <v>797</v>
      </c>
      <c r="D1059" s="3" t="s">
        <v>1421</v>
      </c>
      <c r="E1059" s="3" t="s">
        <v>1422</v>
      </c>
      <c r="F1059" s="3">
        <v>6.63</v>
      </c>
      <c r="G1059" s="3" t="s">
        <v>1415</v>
      </c>
      <c r="H1059" s="3">
        <v>0</v>
      </c>
      <c r="I1059" s="3">
        <v>5</v>
      </c>
      <c r="J1059" s="5" t="s">
        <v>1426</v>
      </c>
      <c r="K1059" s="3" t="s">
        <v>1434</v>
      </c>
    </row>
    <row r="1060" spans="1:11" x14ac:dyDescent="0.2">
      <c r="A1060" s="2" t="s">
        <v>783</v>
      </c>
      <c r="B1060" s="2" t="s">
        <v>796</v>
      </c>
      <c r="C1060" s="2" t="s">
        <v>797</v>
      </c>
      <c r="D1060" s="2" t="s">
        <v>1450</v>
      </c>
      <c r="E1060" s="2" t="s">
        <v>1451</v>
      </c>
      <c r="F1060" s="2">
        <v>107.85</v>
      </c>
      <c r="G1060" s="2" t="s">
        <v>1452</v>
      </c>
      <c r="H1060" s="2">
        <v>60</v>
      </c>
      <c r="I1060" s="2">
        <v>120</v>
      </c>
      <c r="J1060" s="2" t="s">
        <v>1416</v>
      </c>
      <c r="K1060" s="2" t="s">
        <v>1417</v>
      </c>
    </row>
    <row r="1061" spans="1:11" x14ac:dyDescent="0.2">
      <c r="A1061" s="3" t="s">
        <v>783</v>
      </c>
      <c r="B1061" s="3" t="s">
        <v>796</v>
      </c>
      <c r="C1061" s="3" t="s">
        <v>797</v>
      </c>
      <c r="D1061" s="3" t="s">
        <v>1443</v>
      </c>
      <c r="E1061" s="3" t="s">
        <v>1444</v>
      </c>
      <c r="F1061" s="3">
        <v>93.1</v>
      </c>
      <c r="G1061" s="3" t="s">
        <v>1445</v>
      </c>
      <c r="H1061" s="3">
        <v>53</v>
      </c>
      <c r="I1061" s="3">
        <v>97</v>
      </c>
      <c r="J1061" s="3" t="s">
        <v>1416</v>
      </c>
      <c r="K1061" s="3" t="s">
        <v>1420</v>
      </c>
    </row>
    <row r="1062" spans="1:11" x14ac:dyDescent="0.2">
      <c r="A1062" s="2" t="s">
        <v>783</v>
      </c>
      <c r="B1062" s="2" t="s">
        <v>796</v>
      </c>
      <c r="C1062" s="2" t="s">
        <v>797</v>
      </c>
      <c r="D1062" s="2" t="s">
        <v>1432</v>
      </c>
      <c r="E1062" s="2" t="s">
        <v>1433</v>
      </c>
      <c r="F1062" s="2">
        <v>4.46</v>
      </c>
      <c r="G1062" s="2" t="s">
        <v>1415</v>
      </c>
      <c r="H1062" s="2">
        <v>0</v>
      </c>
      <c r="I1062" s="2">
        <v>3</v>
      </c>
      <c r="J1062" s="5" t="s">
        <v>1426</v>
      </c>
      <c r="K1062" s="2" t="s">
        <v>1417</v>
      </c>
    </row>
    <row r="1063" spans="1:11" x14ac:dyDescent="0.2">
      <c r="A1063" s="3" t="s">
        <v>783</v>
      </c>
      <c r="B1063" s="3" t="s">
        <v>796</v>
      </c>
      <c r="C1063" s="3" t="s">
        <v>797</v>
      </c>
      <c r="D1063" s="3" t="s">
        <v>1423</v>
      </c>
      <c r="E1063" s="3" t="s">
        <v>1424</v>
      </c>
      <c r="F1063" s="3">
        <v>4.2699999999999996</v>
      </c>
      <c r="G1063" s="3" t="s">
        <v>1425</v>
      </c>
      <c r="H1063" s="3">
        <v>4.5</v>
      </c>
      <c r="I1063" s="3">
        <v>5.5</v>
      </c>
      <c r="J1063" s="5" t="s">
        <v>1430</v>
      </c>
      <c r="K1063" s="3" t="s">
        <v>1420</v>
      </c>
    </row>
    <row r="1064" spans="1:11" x14ac:dyDescent="0.2">
      <c r="A1064" s="2" t="s">
        <v>783</v>
      </c>
      <c r="B1064" s="2" t="s">
        <v>796</v>
      </c>
      <c r="C1064" s="2" t="s">
        <v>797</v>
      </c>
      <c r="D1064" s="2" t="s">
        <v>1418</v>
      </c>
      <c r="E1064" s="2" t="s">
        <v>1419</v>
      </c>
      <c r="F1064" s="2">
        <v>3.57</v>
      </c>
      <c r="G1064" s="2" t="s">
        <v>1415</v>
      </c>
      <c r="H1064" s="2">
        <v>3.5</v>
      </c>
      <c r="I1064" s="2">
        <v>5</v>
      </c>
      <c r="J1064" s="2" t="s">
        <v>1416</v>
      </c>
      <c r="K1064" s="2" t="s">
        <v>1417</v>
      </c>
    </row>
    <row r="1065" spans="1:11" x14ac:dyDescent="0.2">
      <c r="A1065" s="3" t="s">
        <v>783</v>
      </c>
      <c r="B1065" s="3" t="s">
        <v>796</v>
      </c>
      <c r="C1065" s="3" t="s">
        <v>797</v>
      </c>
      <c r="D1065" s="3" t="s">
        <v>1437</v>
      </c>
      <c r="E1065" s="3" t="s">
        <v>1438</v>
      </c>
      <c r="F1065" s="3">
        <v>12.08</v>
      </c>
      <c r="G1065" s="3" t="s">
        <v>1439</v>
      </c>
      <c r="H1065" s="3">
        <v>12</v>
      </c>
      <c r="I1065" s="3">
        <v>17.5</v>
      </c>
      <c r="J1065" s="3" t="s">
        <v>1416</v>
      </c>
      <c r="K1065" s="3" t="s">
        <v>1431</v>
      </c>
    </row>
    <row r="1066" spans="1:11" x14ac:dyDescent="0.2">
      <c r="A1066" s="2" t="s">
        <v>799</v>
      </c>
      <c r="B1066" s="2" t="s">
        <v>800</v>
      </c>
      <c r="C1066" s="2" t="s">
        <v>801</v>
      </c>
      <c r="D1066" s="2" t="s">
        <v>1455</v>
      </c>
      <c r="E1066" s="2" t="s">
        <v>1456</v>
      </c>
      <c r="F1066" s="2">
        <v>334.31</v>
      </c>
      <c r="G1066" s="2" t="s">
        <v>1457</v>
      </c>
      <c r="H1066" s="2">
        <v>40</v>
      </c>
      <c r="I1066" s="2">
        <v>130</v>
      </c>
      <c r="J1066" s="5" t="s">
        <v>1426</v>
      </c>
      <c r="K1066" s="2" t="s">
        <v>1434</v>
      </c>
    </row>
    <row r="1067" spans="1:11" x14ac:dyDescent="0.2">
      <c r="A1067" s="3" t="s">
        <v>799</v>
      </c>
      <c r="B1067" s="3" t="s">
        <v>800</v>
      </c>
      <c r="C1067" s="3" t="s">
        <v>801</v>
      </c>
      <c r="D1067" s="3" t="s">
        <v>1443</v>
      </c>
      <c r="E1067" s="3" t="s">
        <v>1444</v>
      </c>
      <c r="F1067" s="3">
        <v>94.95</v>
      </c>
      <c r="G1067" s="3" t="s">
        <v>1445</v>
      </c>
      <c r="H1067" s="3">
        <v>53</v>
      </c>
      <c r="I1067" s="3">
        <v>97</v>
      </c>
      <c r="J1067" s="3" t="s">
        <v>1416</v>
      </c>
      <c r="K1067" s="3" t="s">
        <v>1420</v>
      </c>
    </row>
    <row r="1068" spans="1:11" x14ac:dyDescent="0.2">
      <c r="A1068" s="2" t="s">
        <v>799</v>
      </c>
      <c r="B1068" s="2" t="s">
        <v>800</v>
      </c>
      <c r="C1068" s="2" t="s">
        <v>801</v>
      </c>
      <c r="D1068" s="2" t="s">
        <v>1413</v>
      </c>
      <c r="E1068" s="2" t="s">
        <v>1414</v>
      </c>
      <c r="F1068" s="2">
        <v>1.21</v>
      </c>
      <c r="G1068" s="2" t="s">
        <v>1415</v>
      </c>
      <c r="H1068" s="2">
        <v>1</v>
      </c>
      <c r="I1068" s="2">
        <v>5</v>
      </c>
      <c r="J1068" s="2" t="s">
        <v>1416</v>
      </c>
      <c r="K1068" s="2" t="s">
        <v>1417</v>
      </c>
    </row>
    <row r="1069" spans="1:11" x14ac:dyDescent="0.2">
      <c r="A1069" s="3" t="s">
        <v>799</v>
      </c>
      <c r="B1069" s="3" t="s">
        <v>800</v>
      </c>
      <c r="C1069" s="3" t="s">
        <v>801</v>
      </c>
      <c r="D1069" s="3" t="s">
        <v>1437</v>
      </c>
      <c r="E1069" s="3" t="s">
        <v>1438</v>
      </c>
      <c r="F1069" s="3">
        <v>6.5</v>
      </c>
      <c r="G1069" s="3" t="s">
        <v>1439</v>
      </c>
      <c r="H1069" s="3">
        <v>12</v>
      </c>
      <c r="I1069" s="3">
        <v>17.5</v>
      </c>
      <c r="J1069" s="5" t="s">
        <v>1430</v>
      </c>
      <c r="K1069" s="3" t="s">
        <v>1420</v>
      </c>
    </row>
    <row r="1070" spans="1:11" x14ac:dyDescent="0.2">
      <c r="A1070" s="2" t="s">
        <v>799</v>
      </c>
      <c r="B1070" s="2" t="s">
        <v>804</v>
      </c>
      <c r="C1070" s="2" t="s">
        <v>805</v>
      </c>
      <c r="D1070" s="2" t="s">
        <v>1413</v>
      </c>
      <c r="E1070" s="2" t="s">
        <v>1414</v>
      </c>
      <c r="F1070" s="2">
        <v>0.72</v>
      </c>
      <c r="G1070" s="2" t="s">
        <v>1415</v>
      </c>
      <c r="H1070" s="2">
        <v>1</v>
      </c>
      <c r="I1070" s="2">
        <v>5</v>
      </c>
      <c r="J1070" s="5" t="s">
        <v>1430</v>
      </c>
      <c r="K1070" s="2" t="s">
        <v>1420</v>
      </c>
    </row>
    <row r="1071" spans="1:11" x14ac:dyDescent="0.2">
      <c r="A1071" s="3" t="s">
        <v>799</v>
      </c>
      <c r="B1071" s="3" t="s">
        <v>804</v>
      </c>
      <c r="C1071" s="3" t="s">
        <v>805</v>
      </c>
      <c r="D1071" s="3" t="s">
        <v>1437</v>
      </c>
      <c r="E1071" s="3" t="s">
        <v>1438</v>
      </c>
      <c r="F1071" s="3">
        <v>13.39</v>
      </c>
      <c r="G1071" s="3" t="s">
        <v>1439</v>
      </c>
      <c r="H1071" s="3">
        <v>12</v>
      </c>
      <c r="I1071" s="3">
        <v>17.5</v>
      </c>
      <c r="J1071" s="3" t="s">
        <v>1416</v>
      </c>
      <c r="K1071" s="3" t="s">
        <v>1420</v>
      </c>
    </row>
    <row r="1072" spans="1:11" x14ac:dyDescent="0.2">
      <c r="A1072" s="2" t="s">
        <v>799</v>
      </c>
      <c r="B1072" s="2" t="s">
        <v>804</v>
      </c>
      <c r="C1072" s="2" t="s">
        <v>805</v>
      </c>
      <c r="D1072" s="2" t="s">
        <v>1455</v>
      </c>
      <c r="E1072" s="2" t="s">
        <v>1456</v>
      </c>
      <c r="F1072" s="2">
        <v>297.52</v>
      </c>
      <c r="G1072" s="2" t="s">
        <v>1457</v>
      </c>
      <c r="H1072" s="2">
        <v>40</v>
      </c>
      <c r="I1072" s="2">
        <v>130</v>
      </c>
      <c r="J1072" s="5" t="s">
        <v>1426</v>
      </c>
      <c r="K1072" s="2" t="s">
        <v>1431</v>
      </c>
    </row>
    <row r="1073" spans="1:11" x14ac:dyDescent="0.2">
      <c r="A1073" s="3" t="s">
        <v>799</v>
      </c>
      <c r="B1073" s="3" t="s">
        <v>804</v>
      </c>
      <c r="C1073" s="3" t="s">
        <v>805</v>
      </c>
      <c r="D1073" s="3" t="s">
        <v>1446</v>
      </c>
      <c r="E1073" s="3" t="s">
        <v>1447</v>
      </c>
      <c r="F1073" s="3">
        <v>2.33</v>
      </c>
      <c r="G1073" s="3" t="s">
        <v>1415</v>
      </c>
      <c r="H1073" s="3">
        <v>2.1</v>
      </c>
      <c r="I1073" s="3">
        <v>2.6</v>
      </c>
      <c r="J1073" s="3" t="s">
        <v>1416</v>
      </c>
      <c r="K1073" s="3" t="s">
        <v>1434</v>
      </c>
    </row>
    <row r="1074" spans="1:11" x14ac:dyDescent="0.2">
      <c r="A1074" s="2" t="s">
        <v>799</v>
      </c>
      <c r="B1074" s="2" t="s">
        <v>804</v>
      </c>
      <c r="C1074" s="2" t="s">
        <v>805</v>
      </c>
      <c r="D1074" s="2" t="s">
        <v>1423</v>
      </c>
      <c r="E1074" s="2" t="s">
        <v>1424</v>
      </c>
      <c r="F1074" s="2">
        <v>4.32</v>
      </c>
      <c r="G1074" s="2" t="s">
        <v>1425</v>
      </c>
      <c r="H1074" s="2">
        <v>4.5</v>
      </c>
      <c r="I1074" s="2">
        <v>5.5</v>
      </c>
      <c r="J1074" s="5" t="s">
        <v>1430</v>
      </c>
      <c r="K1074" s="2" t="s">
        <v>1417</v>
      </c>
    </row>
    <row r="1075" spans="1:11" x14ac:dyDescent="0.2">
      <c r="A1075" s="3" t="s">
        <v>799</v>
      </c>
      <c r="B1075" s="3" t="s">
        <v>807</v>
      </c>
      <c r="C1075" s="3" t="s">
        <v>708</v>
      </c>
      <c r="D1075" s="3" t="s">
        <v>1432</v>
      </c>
      <c r="E1075" s="3" t="s">
        <v>1433</v>
      </c>
      <c r="F1075" s="3">
        <v>4.41</v>
      </c>
      <c r="G1075" s="3" t="s">
        <v>1415</v>
      </c>
      <c r="H1075" s="3">
        <v>0</v>
      </c>
      <c r="I1075" s="3">
        <v>3</v>
      </c>
      <c r="J1075" s="5" t="s">
        <v>1426</v>
      </c>
      <c r="K1075" s="3" t="s">
        <v>1431</v>
      </c>
    </row>
    <row r="1076" spans="1:11" x14ac:dyDescent="0.2">
      <c r="A1076" s="2" t="s">
        <v>799</v>
      </c>
      <c r="B1076" s="2" t="s">
        <v>807</v>
      </c>
      <c r="C1076" s="2" t="s">
        <v>708</v>
      </c>
      <c r="D1076" s="2" t="s">
        <v>1448</v>
      </c>
      <c r="E1076" s="2" t="s">
        <v>1449</v>
      </c>
      <c r="F1076" s="2">
        <v>139.13</v>
      </c>
      <c r="G1076" s="2" t="s">
        <v>1415</v>
      </c>
      <c r="H1076" s="2">
        <v>136</v>
      </c>
      <c r="I1076" s="2">
        <v>145</v>
      </c>
      <c r="J1076" s="2" t="s">
        <v>1416</v>
      </c>
      <c r="K1076" s="2" t="s">
        <v>1434</v>
      </c>
    </row>
    <row r="1077" spans="1:11" x14ac:dyDescent="0.2">
      <c r="A1077" s="3" t="s">
        <v>799</v>
      </c>
      <c r="B1077" s="3" t="s">
        <v>807</v>
      </c>
      <c r="C1077" s="3" t="s">
        <v>708</v>
      </c>
      <c r="D1077" s="3" t="s">
        <v>1437</v>
      </c>
      <c r="E1077" s="3" t="s">
        <v>1438</v>
      </c>
      <c r="F1077" s="3">
        <v>9.59</v>
      </c>
      <c r="G1077" s="3" t="s">
        <v>1439</v>
      </c>
      <c r="H1077" s="3">
        <v>12</v>
      </c>
      <c r="I1077" s="3">
        <v>17.5</v>
      </c>
      <c r="J1077" s="5" t="s">
        <v>1430</v>
      </c>
      <c r="K1077" s="3" t="s">
        <v>1420</v>
      </c>
    </row>
    <row r="1078" spans="1:11" x14ac:dyDescent="0.2">
      <c r="A1078" s="2" t="s">
        <v>799</v>
      </c>
      <c r="B1078" s="2" t="s">
        <v>809</v>
      </c>
      <c r="C1078" s="2" t="s">
        <v>810</v>
      </c>
      <c r="D1078" s="2" t="s">
        <v>1448</v>
      </c>
      <c r="E1078" s="2" t="s">
        <v>1449</v>
      </c>
      <c r="F1078" s="2">
        <v>144.49</v>
      </c>
      <c r="G1078" s="2" t="s">
        <v>1415</v>
      </c>
      <c r="H1078" s="2">
        <v>136</v>
      </c>
      <c r="I1078" s="2">
        <v>145</v>
      </c>
      <c r="J1078" s="2" t="s">
        <v>1416</v>
      </c>
      <c r="K1078" s="2" t="s">
        <v>1420</v>
      </c>
    </row>
    <row r="1079" spans="1:11" x14ac:dyDescent="0.2">
      <c r="A1079" s="3" t="s">
        <v>799</v>
      </c>
      <c r="B1079" s="3" t="s">
        <v>809</v>
      </c>
      <c r="C1079" s="3" t="s">
        <v>810</v>
      </c>
      <c r="D1079" s="3" t="s">
        <v>1440</v>
      </c>
      <c r="E1079" s="3" t="s">
        <v>1441</v>
      </c>
      <c r="F1079" s="3">
        <v>6.69</v>
      </c>
      <c r="G1079" s="3" t="s">
        <v>1442</v>
      </c>
      <c r="H1079" s="3">
        <v>4</v>
      </c>
      <c r="I1079" s="3">
        <v>5.6</v>
      </c>
      <c r="J1079" s="5" t="s">
        <v>1426</v>
      </c>
      <c r="K1079" s="3" t="s">
        <v>1417</v>
      </c>
    </row>
    <row r="1080" spans="1:11" x14ac:dyDescent="0.2">
      <c r="A1080" s="2" t="s">
        <v>799</v>
      </c>
      <c r="B1080" s="2" t="s">
        <v>809</v>
      </c>
      <c r="C1080" s="2" t="s">
        <v>810</v>
      </c>
      <c r="D1080" s="2" t="s">
        <v>1413</v>
      </c>
      <c r="E1080" s="2" t="s">
        <v>1414</v>
      </c>
      <c r="F1080" s="2">
        <v>0.89</v>
      </c>
      <c r="G1080" s="2" t="s">
        <v>1415</v>
      </c>
      <c r="H1080" s="2">
        <v>1</v>
      </c>
      <c r="I1080" s="2">
        <v>5</v>
      </c>
      <c r="J1080" s="5" t="s">
        <v>1430</v>
      </c>
      <c r="K1080" s="2" t="s">
        <v>1431</v>
      </c>
    </row>
    <row r="1081" spans="1:11" x14ac:dyDescent="0.2">
      <c r="A1081" s="3" t="s">
        <v>799</v>
      </c>
      <c r="B1081" s="3" t="s">
        <v>811</v>
      </c>
      <c r="C1081" s="3" t="s">
        <v>812</v>
      </c>
      <c r="D1081" s="3" t="s">
        <v>1446</v>
      </c>
      <c r="E1081" s="3" t="s">
        <v>1447</v>
      </c>
      <c r="F1081" s="3">
        <v>2.08</v>
      </c>
      <c r="G1081" s="3" t="s">
        <v>1415</v>
      </c>
      <c r="H1081" s="3">
        <v>2.1</v>
      </c>
      <c r="I1081" s="3">
        <v>2.6</v>
      </c>
      <c r="J1081" s="5" t="s">
        <v>1430</v>
      </c>
      <c r="K1081" s="3" t="s">
        <v>1434</v>
      </c>
    </row>
    <row r="1082" spans="1:11" x14ac:dyDescent="0.2">
      <c r="A1082" s="2" t="s">
        <v>799</v>
      </c>
      <c r="B1082" s="2" t="s">
        <v>811</v>
      </c>
      <c r="C1082" s="2" t="s">
        <v>812</v>
      </c>
      <c r="D1082" s="2" t="s">
        <v>1423</v>
      </c>
      <c r="E1082" s="2" t="s">
        <v>1424</v>
      </c>
      <c r="F1082" s="2">
        <v>3.55</v>
      </c>
      <c r="G1082" s="2" t="s">
        <v>1425</v>
      </c>
      <c r="H1082" s="2">
        <v>4.5</v>
      </c>
      <c r="I1082" s="2">
        <v>5.5</v>
      </c>
      <c r="J1082" s="5" t="s">
        <v>1430</v>
      </c>
      <c r="K1082" s="2" t="s">
        <v>1417</v>
      </c>
    </row>
    <row r="1083" spans="1:11" x14ac:dyDescent="0.2">
      <c r="A1083" s="3" t="s">
        <v>799</v>
      </c>
      <c r="B1083" s="3" t="s">
        <v>811</v>
      </c>
      <c r="C1083" s="3" t="s">
        <v>812</v>
      </c>
      <c r="D1083" s="3" t="s">
        <v>1437</v>
      </c>
      <c r="E1083" s="3" t="s">
        <v>1438</v>
      </c>
      <c r="F1083" s="3">
        <v>13.54</v>
      </c>
      <c r="G1083" s="3" t="s">
        <v>1439</v>
      </c>
      <c r="H1083" s="3">
        <v>12</v>
      </c>
      <c r="I1083" s="3">
        <v>17.5</v>
      </c>
      <c r="J1083" s="3" t="s">
        <v>1416</v>
      </c>
      <c r="K1083" s="3" t="s">
        <v>1434</v>
      </c>
    </row>
    <row r="1084" spans="1:11" x14ac:dyDescent="0.2">
      <c r="A1084" s="2" t="s">
        <v>799</v>
      </c>
      <c r="B1084" s="2" t="s">
        <v>811</v>
      </c>
      <c r="C1084" s="2" t="s">
        <v>812</v>
      </c>
      <c r="D1084" s="2" t="s">
        <v>1443</v>
      </c>
      <c r="E1084" s="2" t="s">
        <v>1444</v>
      </c>
      <c r="F1084" s="2">
        <v>77.14</v>
      </c>
      <c r="G1084" s="2" t="s">
        <v>1445</v>
      </c>
      <c r="H1084" s="2">
        <v>53</v>
      </c>
      <c r="I1084" s="2">
        <v>97</v>
      </c>
      <c r="J1084" s="2" t="s">
        <v>1416</v>
      </c>
      <c r="K1084" s="2" t="s">
        <v>1431</v>
      </c>
    </row>
    <row r="1085" spans="1:11" x14ac:dyDescent="0.2">
      <c r="A1085" s="3" t="s">
        <v>799</v>
      </c>
      <c r="B1085" s="3" t="s">
        <v>814</v>
      </c>
      <c r="C1085" s="3" t="s">
        <v>293</v>
      </c>
      <c r="D1085" s="3" t="s">
        <v>1435</v>
      </c>
      <c r="E1085" s="3" t="s">
        <v>1436</v>
      </c>
      <c r="F1085" s="3">
        <v>0.52</v>
      </c>
      <c r="G1085" s="3" t="s">
        <v>1415</v>
      </c>
      <c r="H1085" s="3">
        <v>0.8</v>
      </c>
      <c r="I1085" s="3">
        <v>1.5</v>
      </c>
      <c r="J1085" s="5" t="s">
        <v>1430</v>
      </c>
      <c r="K1085" s="3" t="s">
        <v>1420</v>
      </c>
    </row>
    <row r="1086" spans="1:11" x14ac:dyDescent="0.2">
      <c r="A1086" s="2" t="s">
        <v>799</v>
      </c>
      <c r="B1086" s="2" t="s">
        <v>814</v>
      </c>
      <c r="C1086" s="2" t="s">
        <v>293</v>
      </c>
      <c r="D1086" s="2" t="s">
        <v>1413</v>
      </c>
      <c r="E1086" s="2" t="s">
        <v>1414</v>
      </c>
      <c r="F1086" s="2">
        <v>1.51</v>
      </c>
      <c r="G1086" s="2" t="s">
        <v>1415</v>
      </c>
      <c r="H1086" s="2">
        <v>1</v>
      </c>
      <c r="I1086" s="2">
        <v>5</v>
      </c>
      <c r="J1086" s="2" t="s">
        <v>1416</v>
      </c>
      <c r="K1086" s="2" t="s">
        <v>1434</v>
      </c>
    </row>
    <row r="1087" spans="1:11" x14ac:dyDescent="0.2">
      <c r="A1087" s="3" t="s">
        <v>799</v>
      </c>
      <c r="B1087" s="3" t="s">
        <v>814</v>
      </c>
      <c r="C1087" s="3" t="s">
        <v>293</v>
      </c>
      <c r="D1087" s="3" t="s">
        <v>1446</v>
      </c>
      <c r="E1087" s="3" t="s">
        <v>1447</v>
      </c>
      <c r="F1087" s="3">
        <v>2.52</v>
      </c>
      <c r="G1087" s="3" t="s">
        <v>1415</v>
      </c>
      <c r="H1087" s="3">
        <v>2.1</v>
      </c>
      <c r="I1087" s="3">
        <v>2.6</v>
      </c>
      <c r="J1087" s="3" t="s">
        <v>1416</v>
      </c>
      <c r="K1087" s="3" t="s">
        <v>1420</v>
      </c>
    </row>
    <row r="1088" spans="1:11" x14ac:dyDescent="0.2">
      <c r="A1088" s="2" t="s">
        <v>816</v>
      </c>
      <c r="B1088" s="2" t="s">
        <v>817</v>
      </c>
      <c r="C1088" s="2" t="s">
        <v>818</v>
      </c>
      <c r="D1088" s="2" t="s">
        <v>1453</v>
      </c>
      <c r="E1088" s="2" t="s">
        <v>1454</v>
      </c>
      <c r="F1088" s="2">
        <v>4.57</v>
      </c>
      <c r="G1088" s="2" t="s">
        <v>1415</v>
      </c>
      <c r="H1088" s="2">
        <v>3.9</v>
      </c>
      <c r="I1088" s="2">
        <v>5.5</v>
      </c>
      <c r="J1088" s="2" t="s">
        <v>1416</v>
      </c>
      <c r="K1088" s="2" t="s">
        <v>1434</v>
      </c>
    </row>
    <row r="1089" spans="1:11" x14ac:dyDescent="0.2">
      <c r="A1089" s="3" t="s">
        <v>816</v>
      </c>
      <c r="B1089" s="3" t="s">
        <v>817</v>
      </c>
      <c r="C1089" s="3" t="s">
        <v>818</v>
      </c>
      <c r="D1089" s="3" t="s">
        <v>1427</v>
      </c>
      <c r="E1089" s="3" t="s">
        <v>1428</v>
      </c>
      <c r="F1089" s="3">
        <v>6.17</v>
      </c>
      <c r="G1089" s="3" t="s">
        <v>1429</v>
      </c>
      <c r="H1089" s="3">
        <v>4</v>
      </c>
      <c r="I1089" s="3">
        <v>11</v>
      </c>
      <c r="J1089" s="3" t="s">
        <v>1416</v>
      </c>
      <c r="K1089" s="3" t="s">
        <v>1420</v>
      </c>
    </row>
    <row r="1090" spans="1:11" x14ac:dyDescent="0.2">
      <c r="A1090" s="2" t="s">
        <v>816</v>
      </c>
      <c r="B1090" s="2" t="s">
        <v>817</v>
      </c>
      <c r="C1090" s="2" t="s">
        <v>818</v>
      </c>
      <c r="D1090" s="2" t="s">
        <v>1448</v>
      </c>
      <c r="E1090" s="2" t="s">
        <v>1449</v>
      </c>
      <c r="F1090" s="2">
        <v>141.56</v>
      </c>
      <c r="G1090" s="2" t="s">
        <v>1415</v>
      </c>
      <c r="H1090" s="2">
        <v>136</v>
      </c>
      <c r="I1090" s="2">
        <v>145</v>
      </c>
      <c r="J1090" s="2" t="s">
        <v>1416</v>
      </c>
      <c r="K1090" s="2" t="s">
        <v>1417</v>
      </c>
    </row>
    <row r="1091" spans="1:11" x14ac:dyDescent="0.2">
      <c r="A1091" s="3" t="s">
        <v>816</v>
      </c>
      <c r="B1091" s="3" t="s">
        <v>821</v>
      </c>
      <c r="C1091" s="3" t="s">
        <v>822</v>
      </c>
      <c r="D1091" s="3" t="s">
        <v>1437</v>
      </c>
      <c r="E1091" s="3" t="s">
        <v>1438</v>
      </c>
      <c r="F1091" s="3">
        <v>7.86</v>
      </c>
      <c r="G1091" s="3" t="s">
        <v>1439</v>
      </c>
      <c r="H1091" s="3">
        <v>12</v>
      </c>
      <c r="I1091" s="3">
        <v>17.5</v>
      </c>
      <c r="J1091" s="5" t="s">
        <v>1430</v>
      </c>
      <c r="K1091" s="3" t="s">
        <v>1420</v>
      </c>
    </row>
    <row r="1092" spans="1:11" x14ac:dyDescent="0.2">
      <c r="A1092" s="2" t="s">
        <v>816</v>
      </c>
      <c r="B1092" s="2" t="s">
        <v>821</v>
      </c>
      <c r="C1092" s="2" t="s">
        <v>822</v>
      </c>
      <c r="D1092" s="2" t="s">
        <v>1418</v>
      </c>
      <c r="E1092" s="2" t="s">
        <v>1419</v>
      </c>
      <c r="F1092" s="2">
        <v>4.5999999999999996</v>
      </c>
      <c r="G1092" s="2" t="s">
        <v>1415</v>
      </c>
      <c r="H1092" s="2">
        <v>3.5</v>
      </c>
      <c r="I1092" s="2">
        <v>5</v>
      </c>
      <c r="J1092" s="2" t="s">
        <v>1416</v>
      </c>
      <c r="K1092" s="2" t="s">
        <v>1420</v>
      </c>
    </row>
    <row r="1093" spans="1:11" x14ac:dyDescent="0.2">
      <c r="A1093" s="3" t="s">
        <v>816</v>
      </c>
      <c r="B1093" s="3" t="s">
        <v>821</v>
      </c>
      <c r="C1093" s="3" t="s">
        <v>822</v>
      </c>
      <c r="D1093" s="3" t="s">
        <v>1413</v>
      </c>
      <c r="E1093" s="3" t="s">
        <v>1414</v>
      </c>
      <c r="F1093" s="3">
        <v>1.2</v>
      </c>
      <c r="G1093" s="3" t="s">
        <v>1415</v>
      </c>
      <c r="H1093" s="3">
        <v>1</v>
      </c>
      <c r="I1093" s="3">
        <v>5</v>
      </c>
      <c r="J1093" s="3" t="s">
        <v>1416</v>
      </c>
      <c r="K1093" s="3" t="s">
        <v>1417</v>
      </c>
    </row>
    <row r="1094" spans="1:11" x14ac:dyDescent="0.2">
      <c r="A1094" s="2" t="s">
        <v>816</v>
      </c>
      <c r="B1094" s="2" t="s">
        <v>824</v>
      </c>
      <c r="C1094" s="2" t="s">
        <v>598</v>
      </c>
      <c r="D1094" s="2" t="s">
        <v>1432</v>
      </c>
      <c r="E1094" s="2" t="s">
        <v>1433</v>
      </c>
      <c r="F1094" s="2">
        <v>2.31</v>
      </c>
      <c r="G1094" s="2" t="s">
        <v>1415</v>
      </c>
      <c r="H1094" s="2">
        <v>0</v>
      </c>
      <c r="I1094" s="2">
        <v>3</v>
      </c>
      <c r="J1094" s="2" t="s">
        <v>1416</v>
      </c>
      <c r="K1094" s="2" t="s">
        <v>1431</v>
      </c>
    </row>
    <row r="1095" spans="1:11" x14ac:dyDescent="0.2">
      <c r="A1095" s="3" t="s">
        <v>816</v>
      </c>
      <c r="B1095" s="3" t="s">
        <v>824</v>
      </c>
      <c r="C1095" s="3" t="s">
        <v>598</v>
      </c>
      <c r="D1095" s="3" t="s">
        <v>1448</v>
      </c>
      <c r="E1095" s="3" t="s">
        <v>1449</v>
      </c>
      <c r="F1095" s="3">
        <v>146.68</v>
      </c>
      <c r="G1095" s="3" t="s">
        <v>1415</v>
      </c>
      <c r="H1095" s="3">
        <v>136</v>
      </c>
      <c r="I1095" s="3">
        <v>145</v>
      </c>
      <c r="J1095" s="5" t="s">
        <v>1426</v>
      </c>
      <c r="K1095" s="3" t="s">
        <v>1434</v>
      </c>
    </row>
    <row r="1096" spans="1:11" x14ac:dyDescent="0.2">
      <c r="A1096" s="2" t="s">
        <v>816</v>
      </c>
      <c r="B1096" s="2" t="s">
        <v>824</v>
      </c>
      <c r="C1096" s="2" t="s">
        <v>598</v>
      </c>
      <c r="D1096" s="2" t="s">
        <v>1413</v>
      </c>
      <c r="E1096" s="2" t="s">
        <v>1414</v>
      </c>
      <c r="F1096" s="2">
        <v>0.86</v>
      </c>
      <c r="G1096" s="2" t="s">
        <v>1415</v>
      </c>
      <c r="H1096" s="2">
        <v>1</v>
      </c>
      <c r="I1096" s="2">
        <v>5</v>
      </c>
      <c r="J1096" s="5" t="s">
        <v>1430</v>
      </c>
      <c r="K1096" s="2" t="s">
        <v>1431</v>
      </c>
    </row>
    <row r="1097" spans="1:11" x14ac:dyDescent="0.2">
      <c r="A1097" s="3" t="s">
        <v>816</v>
      </c>
      <c r="B1097" s="3" t="s">
        <v>824</v>
      </c>
      <c r="C1097" s="3" t="s">
        <v>598</v>
      </c>
      <c r="D1097" s="3" t="s">
        <v>1423</v>
      </c>
      <c r="E1097" s="3" t="s">
        <v>1424</v>
      </c>
      <c r="F1097" s="3">
        <v>5.42</v>
      </c>
      <c r="G1097" s="3" t="s">
        <v>1425</v>
      </c>
      <c r="H1097" s="3">
        <v>4.5</v>
      </c>
      <c r="I1097" s="3">
        <v>5.5</v>
      </c>
      <c r="J1097" s="3" t="s">
        <v>1416</v>
      </c>
      <c r="K1097" s="3" t="s">
        <v>1420</v>
      </c>
    </row>
    <row r="1098" spans="1:11" x14ac:dyDescent="0.2">
      <c r="A1098" s="2" t="s">
        <v>816</v>
      </c>
      <c r="B1098" s="2" t="s">
        <v>824</v>
      </c>
      <c r="C1098" s="2" t="s">
        <v>598</v>
      </c>
      <c r="D1098" s="2" t="s">
        <v>1443</v>
      </c>
      <c r="E1098" s="2" t="s">
        <v>1444</v>
      </c>
      <c r="F1098" s="2">
        <v>92.6</v>
      </c>
      <c r="G1098" s="2" t="s">
        <v>1445</v>
      </c>
      <c r="H1098" s="2">
        <v>53</v>
      </c>
      <c r="I1098" s="2">
        <v>97</v>
      </c>
      <c r="J1098" s="2" t="s">
        <v>1416</v>
      </c>
      <c r="K1098" s="2" t="s">
        <v>1417</v>
      </c>
    </row>
    <row r="1099" spans="1:11" x14ac:dyDescent="0.2">
      <c r="A1099" s="3" t="s">
        <v>816</v>
      </c>
      <c r="B1099" s="3" t="s">
        <v>824</v>
      </c>
      <c r="C1099" s="3" t="s">
        <v>598</v>
      </c>
      <c r="D1099" s="3" t="s">
        <v>1440</v>
      </c>
      <c r="E1099" s="3" t="s">
        <v>1441</v>
      </c>
      <c r="F1099" s="3">
        <v>10.4</v>
      </c>
      <c r="G1099" s="3" t="s">
        <v>1442</v>
      </c>
      <c r="H1099" s="3">
        <v>4</v>
      </c>
      <c r="I1099" s="3">
        <v>5.6</v>
      </c>
      <c r="J1099" s="5" t="s">
        <v>1426</v>
      </c>
      <c r="K1099" s="3" t="s">
        <v>1434</v>
      </c>
    </row>
    <row r="1100" spans="1:11" x14ac:dyDescent="0.2">
      <c r="A1100" s="2" t="s">
        <v>816</v>
      </c>
      <c r="B1100" s="2" t="s">
        <v>824</v>
      </c>
      <c r="C1100" s="2" t="s">
        <v>598</v>
      </c>
      <c r="D1100" s="2" t="s">
        <v>1455</v>
      </c>
      <c r="E1100" s="2" t="s">
        <v>1456</v>
      </c>
      <c r="F1100" s="2">
        <v>240.26</v>
      </c>
      <c r="G1100" s="2" t="s">
        <v>1457</v>
      </c>
      <c r="H1100" s="2">
        <v>40</v>
      </c>
      <c r="I1100" s="2">
        <v>130</v>
      </c>
      <c r="J1100" s="5" t="s">
        <v>1426</v>
      </c>
      <c r="K1100" s="2" t="s">
        <v>1431</v>
      </c>
    </row>
    <row r="1101" spans="1:11" x14ac:dyDescent="0.2">
      <c r="A1101" s="3" t="s">
        <v>816</v>
      </c>
      <c r="B1101" s="3" t="s">
        <v>824</v>
      </c>
      <c r="C1101" s="3" t="s">
        <v>598</v>
      </c>
      <c r="D1101" s="3" t="s">
        <v>1437</v>
      </c>
      <c r="E1101" s="3" t="s">
        <v>1438</v>
      </c>
      <c r="F1101" s="3">
        <v>10.95</v>
      </c>
      <c r="G1101" s="3" t="s">
        <v>1439</v>
      </c>
      <c r="H1101" s="3">
        <v>12</v>
      </c>
      <c r="I1101" s="3">
        <v>17.5</v>
      </c>
      <c r="J1101" s="5" t="s">
        <v>1430</v>
      </c>
      <c r="K1101" s="3" t="s">
        <v>1434</v>
      </c>
    </row>
    <row r="1102" spans="1:11" x14ac:dyDescent="0.2">
      <c r="A1102" s="2" t="s">
        <v>816</v>
      </c>
      <c r="B1102" s="2" t="s">
        <v>825</v>
      </c>
      <c r="C1102" s="2" t="s">
        <v>826</v>
      </c>
      <c r="D1102" s="2" t="s">
        <v>1455</v>
      </c>
      <c r="E1102" s="2" t="s">
        <v>1456</v>
      </c>
      <c r="F1102" s="2">
        <v>191.12</v>
      </c>
      <c r="G1102" s="2" t="s">
        <v>1457</v>
      </c>
      <c r="H1102" s="2">
        <v>40</v>
      </c>
      <c r="I1102" s="2">
        <v>130</v>
      </c>
      <c r="J1102" s="5" t="s">
        <v>1426</v>
      </c>
      <c r="K1102" s="2" t="s">
        <v>1417</v>
      </c>
    </row>
    <row r="1103" spans="1:11" x14ac:dyDescent="0.2">
      <c r="A1103" s="3" t="s">
        <v>816</v>
      </c>
      <c r="B1103" s="3" t="s">
        <v>825</v>
      </c>
      <c r="C1103" s="3" t="s">
        <v>826</v>
      </c>
      <c r="D1103" s="3" t="s">
        <v>1421</v>
      </c>
      <c r="E1103" s="3" t="s">
        <v>1422</v>
      </c>
      <c r="F1103" s="3">
        <v>5.66</v>
      </c>
      <c r="G1103" s="3" t="s">
        <v>1415</v>
      </c>
      <c r="H1103" s="3">
        <v>0</v>
      </c>
      <c r="I1103" s="3">
        <v>5</v>
      </c>
      <c r="J1103" s="5" t="s">
        <v>1426</v>
      </c>
      <c r="K1103" s="3" t="s">
        <v>1434</v>
      </c>
    </row>
    <row r="1104" spans="1:11" x14ac:dyDescent="0.2">
      <c r="A1104" s="2" t="s">
        <v>816</v>
      </c>
      <c r="B1104" s="2" t="s">
        <v>825</v>
      </c>
      <c r="C1104" s="2" t="s">
        <v>826</v>
      </c>
      <c r="D1104" s="2" t="s">
        <v>1423</v>
      </c>
      <c r="E1104" s="2" t="s">
        <v>1424</v>
      </c>
      <c r="F1104" s="2">
        <v>5.54</v>
      </c>
      <c r="G1104" s="2" t="s">
        <v>1425</v>
      </c>
      <c r="H1104" s="2">
        <v>4.5</v>
      </c>
      <c r="I1104" s="2">
        <v>5.5</v>
      </c>
      <c r="J1104" s="5" t="s">
        <v>1426</v>
      </c>
      <c r="K1104" s="2" t="s">
        <v>1434</v>
      </c>
    </row>
    <row r="1105" spans="1:11" x14ac:dyDescent="0.2">
      <c r="A1105" s="3" t="s">
        <v>816</v>
      </c>
      <c r="B1105" s="3" t="s">
        <v>828</v>
      </c>
      <c r="C1105" s="3" t="s">
        <v>829</v>
      </c>
      <c r="D1105" s="3" t="s">
        <v>1448</v>
      </c>
      <c r="E1105" s="3" t="s">
        <v>1449</v>
      </c>
      <c r="F1105" s="3">
        <v>135.93</v>
      </c>
      <c r="G1105" s="3" t="s">
        <v>1415</v>
      </c>
      <c r="H1105" s="3">
        <v>136</v>
      </c>
      <c r="I1105" s="3">
        <v>145</v>
      </c>
      <c r="J1105" s="5" t="s">
        <v>1430</v>
      </c>
      <c r="K1105" s="3" t="s">
        <v>1420</v>
      </c>
    </row>
    <row r="1106" spans="1:11" x14ac:dyDescent="0.2">
      <c r="A1106" s="2" t="s">
        <v>816</v>
      </c>
      <c r="B1106" s="2" t="s">
        <v>828</v>
      </c>
      <c r="C1106" s="2" t="s">
        <v>829</v>
      </c>
      <c r="D1106" s="2" t="s">
        <v>1437</v>
      </c>
      <c r="E1106" s="2" t="s">
        <v>1438</v>
      </c>
      <c r="F1106" s="2">
        <v>17.84</v>
      </c>
      <c r="G1106" s="2" t="s">
        <v>1439</v>
      </c>
      <c r="H1106" s="2">
        <v>12</v>
      </c>
      <c r="I1106" s="2">
        <v>17.5</v>
      </c>
      <c r="J1106" s="5" t="s">
        <v>1426</v>
      </c>
      <c r="K1106" s="2" t="s">
        <v>1420</v>
      </c>
    </row>
    <row r="1107" spans="1:11" x14ac:dyDescent="0.2">
      <c r="A1107" s="3" t="s">
        <v>816</v>
      </c>
      <c r="B1107" s="3" t="s">
        <v>828</v>
      </c>
      <c r="C1107" s="3" t="s">
        <v>829</v>
      </c>
      <c r="D1107" s="3" t="s">
        <v>1427</v>
      </c>
      <c r="E1107" s="3" t="s">
        <v>1428</v>
      </c>
      <c r="F1107" s="3">
        <v>6.27</v>
      </c>
      <c r="G1107" s="3" t="s">
        <v>1429</v>
      </c>
      <c r="H1107" s="3">
        <v>4</v>
      </c>
      <c r="I1107" s="3">
        <v>11</v>
      </c>
      <c r="J1107" s="3" t="s">
        <v>1416</v>
      </c>
      <c r="K1107" s="3" t="s">
        <v>1420</v>
      </c>
    </row>
    <row r="1108" spans="1:11" x14ac:dyDescent="0.2">
      <c r="A1108" s="2" t="s">
        <v>816</v>
      </c>
      <c r="B1108" s="2" t="s">
        <v>828</v>
      </c>
      <c r="C1108" s="2" t="s">
        <v>829</v>
      </c>
      <c r="D1108" s="2" t="s">
        <v>1450</v>
      </c>
      <c r="E1108" s="2" t="s">
        <v>1451</v>
      </c>
      <c r="F1108" s="2">
        <v>41.55</v>
      </c>
      <c r="G1108" s="2" t="s">
        <v>1452</v>
      </c>
      <c r="H1108" s="2">
        <v>60</v>
      </c>
      <c r="I1108" s="2">
        <v>120</v>
      </c>
      <c r="J1108" s="5" t="s">
        <v>1430</v>
      </c>
      <c r="K1108" s="2" t="s">
        <v>1420</v>
      </c>
    </row>
    <row r="1109" spans="1:11" x14ac:dyDescent="0.2">
      <c r="A1109" s="3" t="s">
        <v>816</v>
      </c>
      <c r="B1109" s="3" t="s">
        <v>828</v>
      </c>
      <c r="C1109" s="3" t="s">
        <v>829</v>
      </c>
      <c r="D1109" s="3" t="s">
        <v>1455</v>
      </c>
      <c r="E1109" s="3" t="s">
        <v>1456</v>
      </c>
      <c r="F1109" s="3">
        <v>269.42</v>
      </c>
      <c r="G1109" s="3" t="s">
        <v>1457</v>
      </c>
      <c r="H1109" s="3">
        <v>40</v>
      </c>
      <c r="I1109" s="3">
        <v>130</v>
      </c>
      <c r="J1109" s="5" t="s">
        <v>1426</v>
      </c>
      <c r="K1109" s="3" t="s">
        <v>1434</v>
      </c>
    </row>
    <row r="1110" spans="1:11" x14ac:dyDescent="0.2">
      <c r="A1110" s="2" t="s">
        <v>816</v>
      </c>
      <c r="B1110" s="2" t="s">
        <v>828</v>
      </c>
      <c r="C1110" s="2" t="s">
        <v>829</v>
      </c>
      <c r="D1110" s="2" t="s">
        <v>1432</v>
      </c>
      <c r="E1110" s="2" t="s">
        <v>1433</v>
      </c>
      <c r="F1110" s="2">
        <v>3.83</v>
      </c>
      <c r="G1110" s="2" t="s">
        <v>1415</v>
      </c>
      <c r="H1110" s="2">
        <v>0</v>
      </c>
      <c r="I1110" s="2">
        <v>3</v>
      </c>
      <c r="J1110" s="5" t="s">
        <v>1426</v>
      </c>
      <c r="K1110" s="2" t="s">
        <v>1417</v>
      </c>
    </row>
    <row r="1111" spans="1:11" x14ac:dyDescent="0.2">
      <c r="A1111" s="3" t="s">
        <v>816</v>
      </c>
      <c r="B1111" s="3" t="s">
        <v>828</v>
      </c>
      <c r="C1111" s="3" t="s">
        <v>829</v>
      </c>
      <c r="D1111" s="3" t="s">
        <v>1413</v>
      </c>
      <c r="E1111" s="3" t="s">
        <v>1414</v>
      </c>
      <c r="F1111" s="3">
        <v>1.8</v>
      </c>
      <c r="G1111" s="3" t="s">
        <v>1415</v>
      </c>
      <c r="H1111" s="3">
        <v>1</v>
      </c>
      <c r="I1111" s="3">
        <v>5</v>
      </c>
      <c r="J1111" s="3" t="s">
        <v>1416</v>
      </c>
      <c r="K1111" s="3" t="s">
        <v>1417</v>
      </c>
    </row>
    <row r="1112" spans="1:11" x14ac:dyDescent="0.2">
      <c r="A1112" s="2" t="s">
        <v>831</v>
      </c>
      <c r="B1112" s="2" t="s">
        <v>832</v>
      </c>
      <c r="C1112" s="2" t="s">
        <v>833</v>
      </c>
      <c r="D1112" s="2" t="s">
        <v>1453</v>
      </c>
      <c r="E1112" s="2" t="s">
        <v>1454</v>
      </c>
      <c r="F1112" s="2">
        <v>8.57</v>
      </c>
      <c r="G1112" s="2" t="s">
        <v>1415</v>
      </c>
      <c r="H1112" s="2">
        <v>3.9</v>
      </c>
      <c r="I1112" s="2">
        <v>5.5</v>
      </c>
      <c r="J1112" s="5" t="s">
        <v>1426</v>
      </c>
      <c r="K1112" s="2" t="s">
        <v>1417</v>
      </c>
    </row>
    <row r="1113" spans="1:11" x14ac:dyDescent="0.2">
      <c r="A1113" s="3" t="s">
        <v>831</v>
      </c>
      <c r="B1113" s="3" t="s">
        <v>832</v>
      </c>
      <c r="C1113" s="3" t="s">
        <v>833</v>
      </c>
      <c r="D1113" s="3" t="s">
        <v>1432</v>
      </c>
      <c r="E1113" s="3" t="s">
        <v>1433</v>
      </c>
      <c r="F1113" s="3">
        <v>3.5</v>
      </c>
      <c r="G1113" s="3" t="s">
        <v>1415</v>
      </c>
      <c r="H1113" s="3">
        <v>0</v>
      </c>
      <c r="I1113" s="3">
        <v>3</v>
      </c>
      <c r="J1113" s="5" t="s">
        <v>1426</v>
      </c>
      <c r="K1113" s="3" t="s">
        <v>1417</v>
      </c>
    </row>
    <row r="1114" spans="1:11" x14ac:dyDescent="0.2">
      <c r="A1114" s="2" t="s">
        <v>831</v>
      </c>
      <c r="B1114" s="2" t="s">
        <v>832</v>
      </c>
      <c r="C1114" s="2" t="s">
        <v>833</v>
      </c>
      <c r="D1114" s="2" t="s">
        <v>1427</v>
      </c>
      <c r="E1114" s="2" t="s">
        <v>1428</v>
      </c>
      <c r="F1114" s="2">
        <v>14.69</v>
      </c>
      <c r="G1114" s="2" t="s">
        <v>1429</v>
      </c>
      <c r="H1114" s="2">
        <v>4</v>
      </c>
      <c r="I1114" s="2">
        <v>11</v>
      </c>
      <c r="J1114" s="5" t="s">
        <v>1426</v>
      </c>
      <c r="K1114" s="2" t="s">
        <v>1431</v>
      </c>
    </row>
    <row r="1115" spans="1:11" x14ac:dyDescent="0.2">
      <c r="A1115" s="3" t="s">
        <v>831</v>
      </c>
      <c r="B1115" s="3" t="s">
        <v>832</v>
      </c>
      <c r="C1115" s="3" t="s">
        <v>833</v>
      </c>
      <c r="D1115" s="3" t="s">
        <v>1450</v>
      </c>
      <c r="E1115" s="3" t="s">
        <v>1451</v>
      </c>
      <c r="F1115" s="3">
        <v>80.47</v>
      </c>
      <c r="G1115" s="3" t="s">
        <v>1452</v>
      </c>
      <c r="H1115" s="3">
        <v>60</v>
      </c>
      <c r="I1115" s="3">
        <v>120</v>
      </c>
      <c r="J1115" s="3" t="s">
        <v>1416</v>
      </c>
      <c r="K1115" s="3" t="s">
        <v>1431</v>
      </c>
    </row>
    <row r="1116" spans="1:11" x14ac:dyDescent="0.2">
      <c r="A1116" s="2" t="s">
        <v>831</v>
      </c>
      <c r="B1116" s="2" t="s">
        <v>832</v>
      </c>
      <c r="C1116" s="2" t="s">
        <v>833</v>
      </c>
      <c r="D1116" s="2" t="s">
        <v>1455</v>
      </c>
      <c r="E1116" s="2" t="s">
        <v>1456</v>
      </c>
      <c r="F1116" s="2">
        <v>326.23</v>
      </c>
      <c r="G1116" s="2" t="s">
        <v>1457</v>
      </c>
      <c r="H1116" s="2">
        <v>40</v>
      </c>
      <c r="I1116" s="2">
        <v>130</v>
      </c>
      <c r="J1116" s="5" t="s">
        <v>1426</v>
      </c>
      <c r="K1116" s="2" t="s">
        <v>1431</v>
      </c>
    </row>
    <row r="1117" spans="1:11" x14ac:dyDescent="0.2">
      <c r="A1117" s="3" t="s">
        <v>831</v>
      </c>
      <c r="B1117" s="3" t="s">
        <v>835</v>
      </c>
      <c r="C1117" s="3" t="s">
        <v>836</v>
      </c>
      <c r="D1117" s="3" t="s">
        <v>1437</v>
      </c>
      <c r="E1117" s="3" t="s">
        <v>1438</v>
      </c>
      <c r="F1117" s="3">
        <v>16.350000000000001</v>
      </c>
      <c r="G1117" s="3" t="s">
        <v>1439</v>
      </c>
      <c r="H1117" s="3">
        <v>12</v>
      </c>
      <c r="I1117" s="3">
        <v>17.5</v>
      </c>
      <c r="J1117" s="3" t="s">
        <v>1416</v>
      </c>
      <c r="K1117" s="3" t="s">
        <v>1420</v>
      </c>
    </row>
    <row r="1118" spans="1:11" x14ac:dyDescent="0.2">
      <c r="A1118" s="2" t="s">
        <v>831</v>
      </c>
      <c r="B1118" s="2" t="s">
        <v>835</v>
      </c>
      <c r="C1118" s="2" t="s">
        <v>836</v>
      </c>
      <c r="D1118" s="2" t="s">
        <v>1423</v>
      </c>
      <c r="E1118" s="2" t="s">
        <v>1424</v>
      </c>
      <c r="F1118" s="2">
        <v>3.94</v>
      </c>
      <c r="G1118" s="2" t="s">
        <v>1425</v>
      </c>
      <c r="H1118" s="2">
        <v>4.5</v>
      </c>
      <c r="I1118" s="2">
        <v>5.5</v>
      </c>
      <c r="J1118" s="5" t="s">
        <v>1430</v>
      </c>
      <c r="K1118" s="2" t="s">
        <v>1434</v>
      </c>
    </row>
    <row r="1119" spans="1:11" x14ac:dyDescent="0.2">
      <c r="A1119" s="3" t="s">
        <v>831</v>
      </c>
      <c r="B1119" s="3" t="s">
        <v>835</v>
      </c>
      <c r="C1119" s="3" t="s">
        <v>836</v>
      </c>
      <c r="D1119" s="3" t="s">
        <v>1455</v>
      </c>
      <c r="E1119" s="3" t="s">
        <v>1456</v>
      </c>
      <c r="F1119" s="3">
        <v>160.72</v>
      </c>
      <c r="G1119" s="3" t="s">
        <v>1457</v>
      </c>
      <c r="H1119" s="3">
        <v>40</v>
      </c>
      <c r="I1119" s="3">
        <v>130</v>
      </c>
      <c r="J1119" s="5" t="s">
        <v>1426</v>
      </c>
      <c r="K1119" s="3" t="s">
        <v>1431</v>
      </c>
    </row>
    <row r="1120" spans="1:11" x14ac:dyDescent="0.2">
      <c r="A1120" s="2" t="s">
        <v>831</v>
      </c>
      <c r="B1120" s="2" t="s">
        <v>835</v>
      </c>
      <c r="C1120" s="2" t="s">
        <v>836</v>
      </c>
      <c r="D1120" s="2" t="s">
        <v>1440</v>
      </c>
      <c r="E1120" s="2" t="s">
        <v>1441</v>
      </c>
      <c r="F1120" s="2">
        <v>8.74</v>
      </c>
      <c r="G1120" s="2" t="s">
        <v>1442</v>
      </c>
      <c r="H1120" s="2">
        <v>4</v>
      </c>
      <c r="I1120" s="2">
        <v>5.6</v>
      </c>
      <c r="J1120" s="5" t="s">
        <v>1426</v>
      </c>
      <c r="K1120" s="2" t="s">
        <v>1431</v>
      </c>
    </row>
    <row r="1121" spans="1:11" x14ac:dyDescent="0.2">
      <c r="A1121" s="3" t="s">
        <v>831</v>
      </c>
      <c r="B1121" s="3" t="s">
        <v>835</v>
      </c>
      <c r="C1121" s="3" t="s">
        <v>836</v>
      </c>
      <c r="D1121" s="3" t="s">
        <v>1446</v>
      </c>
      <c r="E1121" s="3" t="s">
        <v>1447</v>
      </c>
      <c r="F1121" s="3">
        <v>2.88</v>
      </c>
      <c r="G1121" s="3" t="s">
        <v>1415</v>
      </c>
      <c r="H1121" s="3">
        <v>2.1</v>
      </c>
      <c r="I1121" s="3">
        <v>2.6</v>
      </c>
      <c r="J1121" s="5" t="s">
        <v>1426</v>
      </c>
      <c r="K1121" s="3" t="s">
        <v>1417</v>
      </c>
    </row>
    <row r="1122" spans="1:11" x14ac:dyDescent="0.2">
      <c r="A1122" s="2" t="s">
        <v>831</v>
      </c>
      <c r="B1122" s="2" t="s">
        <v>835</v>
      </c>
      <c r="C1122" s="2" t="s">
        <v>836</v>
      </c>
      <c r="D1122" s="2" t="s">
        <v>1413</v>
      </c>
      <c r="E1122" s="2" t="s">
        <v>1414</v>
      </c>
      <c r="F1122" s="2">
        <v>0.72</v>
      </c>
      <c r="G1122" s="2" t="s">
        <v>1415</v>
      </c>
      <c r="H1122" s="2">
        <v>1</v>
      </c>
      <c r="I1122" s="2">
        <v>5</v>
      </c>
      <c r="J1122" s="5" t="s">
        <v>1430</v>
      </c>
      <c r="K1122" s="2" t="s">
        <v>1434</v>
      </c>
    </row>
    <row r="1123" spans="1:11" x14ac:dyDescent="0.2">
      <c r="A1123" s="3" t="s">
        <v>838</v>
      </c>
      <c r="B1123" s="3" t="s">
        <v>839</v>
      </c>
      <c r="C1123" s="3" t="s">
        <v>840</v>
      </c>
      <c r="D1123" s="3" t="s">
        <v>1413</v>
      </c>
      <c r="E1123" s="3" t="s">
        <v>1414</v>
      </c>
      <c r="F1123" s="3">
        <v>0.89</v>
      </c>
      <c r="G1123" s="3" t="s">
        <v>1415</v>
      </c>
      <c r="H1123" s="3">
        <v>1</v>
      </c>
      <c r="I1123" s="3">
        <v>5</v>
      </c>
      <c r="J1123" s="5" t="s">
        <v>1430</v>
      </c>
      <c r="K1123" s="3" t="s">
        <v>1434</v>
      </c>
    </row>
    <row r="1124" spans="1:11" x14ac:dyDescent="0.2">
      <c r="A1124" s="2" t="s">
        <v>838</v>
      </c>
      <c r="B1124" s="2" t="s">
        <v>839</v>
      </c>
      <c r="C1124" s="2" t="s">
        <v>840</v>
      </c>
      <c r="D1124" s="2" t="s">
        <v>1450</v>
      </c>
      <c r="E1124" s="2" t="s">
        <v>1451</v>
      </c>
      <c r="F1124" s="2">
        <v>110.89</v>
      </c>
      <c r="G1124" s="2" t="s">
        <v>1452</v>
      </c>
      <c r="H1124" s="2">
        <v>60</v>
      </c>
      <c r="I1124" s="2">
        <v>120</v>
      </c>
      <c r="J1124" s="2" t="s">
        <v>1416</v>
      </c>
      <c r="K1124" s="2" t="s">
        <v>1434</v>
      </c>
    </row>
    <row r="1125" spans="1:11" x14ac:dyDescent="0.2">
      <c r="A1125" s="3" t="s">
        <v>838</v>
      </c>
      <c r="B1125" s="3" t="s">
        <v>839</v>
      </c>
      <c r="C1125" s="3" t="s">
        <v>840</v>
      </c>
      <c r="D1125" s="3" t="s">
        <v>1427</v>
      </c>
      <c r="E1125" s="3" t="s">
        <v>1428</v>
      </c>
      <c r="F1125" s="3">
        <v>13.2</v>
      </c>
      <c r="G1125" s="3" t="s">
        <v>1429</v>
      </c>
      <c r="H1125" s="3">
        <v>4</v>
      </c>
      <c r="I1125" s="3">
        <v>11</v>
      </c>
      <c r="J1125" s="5" t="s">
        <v>1426</v>
      </c>
      <c r="K1125" s="3" t="s">
        <v>1434</v>
      </c>
    </row>
    <row r="1126" spans="1:11" x14ac:dyDescent="0.2">
      <c r="A1126" s="2" t="s">
        <v>838</v>
      </c>
      <c r="B1126" s="2" t="s">
        <v>839</v>
      </c>
      <c r="C1126" s="2" t="s">
        <v>840</v>
      </c>
      <c r="D1126" s="2" t="s">
        <v>1435</v>
      </c>
      <c r="E1126" s="2" t="s">
        <v>1436</v>
      </c>
      <c r="F1126" s="2">
        <v>0.67</v>
      </c>
      <c r="G1126" s="2" t="s">
        <v>1415</v>
      </c>
      <c r="H1126" s="2">
        <v>0.8</v>
      </c>
      <c r="I1126" s="2">
        <v>1.5</v>
      </c>
      <c r="J1126" s="5" t="s">
        <v>1430</v>
      </c>
      <c r="K1126" s="2" t="s">
        <v>1417</v>
      </c>
    </row>
    <row r="1127" spans="1:11" x14ac:dyDescent="0.2">
      <c r="A1127" s="3" t="s">
        <v>838</v>
      </c>
      <c r="B1127" s="3" t="s">
        <v>839</v>
      </c>
      <c r="C1127" s="3" t="s">
        <v>840</v>
      </c>
      <c r="D1127" s="3" t="s">
        <v>1448</v>
      </c>
      <c r="E1127" s="3" t="s">
        <v>1449</v>
      </c>
      <c r="F1127" s="3">
        <v>146.56</v>
      </c>
      <c r="G1127" s="3" t="s">
        <v>1415</v>
      </c>
      <c r="H1127" s="3">
        <v>136</v>
      </c>
      <c r="I1127" s="3">
        <v>145</v>
      </c>
      <c r="J1127" s="5" t="s">
        <v>1426</v>
      </c>
      <c r="K1127" s="3" t="s">
        <v>1420</v>
      </c>
    </row>
    <row r="1128" spans="1:11" x14ac:dyDescent="0.2">
      <c r="A1128" s="2" t="s">
        <v>838</v>
      </c>
      <c r="B1128" s="2" t="s">
        <v>839</v>
      </c>
      <c r="C1128" s="2" t="s">
        <v>840</v>
      </c>
      <c r="D1128" s="2" t="s">
        <v>1453</v>
      </c>
      <c r="E1128" s="2" t="s">
        <v>1454</v>
      </c>
      <c r="F1128" s="2">
        <v>4.6399999999999997</v>
      </c>
      <c r="G1128" s="2" t="s">
        <v>1415</v>
      </c>
      <c r="H1128" s="2">
        <v>3.9</v>
      </c>
      <c r="I1128" s="2">
        <v>5.5</v>
      </c>
      <c r="J1128" s="2" t="s">
        <v>1416</v>
      </c>
      <c r="K1128" s="2" t="s">
        <v>1431</v>
      </c>
    </row>
    <row r="1129" spans="1:11" x14ac:dyDescent="0.2">
      <c r="A1129" s="3" t="s">
        <v>842</v>
      </c>
      <c r="B1129" s="3" t="s">
        <v>843</v>
      </c>
      <c r="C1129" s="3" t="s">
        <v>844</v>
      </c>
      <c r="D1129" s="3" t="s">
        <v>1413</v>
      </c>
      <c r="E1129" s="3" t="s">
        <v>1414</v>
      </c>
      <c r="F1129" s="3">
        <v>0.81</v>
      </c>
      <c r="G1129" s="3" t="s">
        <v>1415</v>
      </c>
      <c r="H1129" s="3">
        <v>1</v>
      </c>
      <c r="I1129" s="3">
        <v>5</v>
      </c>
      <c r="J1129" s="5" t="s">
        <v>1430</v>
      </c>
      <c r="K1129" s="3" t="s">
        <v>1420</v>
      </c>
    </row>
    <row r="1130" spans="1:11" x14ac:dyDescent="0.2">
      <c r="A1130" s="2" t="s">
        <v>842</v>
      </c>
      <c r="B1130" s="2" t="s">
        <v>843</v>
      </c>
      <c r="C1130" s="2" t="s">
        <v>844</v>
      </c>
      <c r="D1130" s="2" t="s">
        <v>1453</v>
      </c>
      <c r="E1130" s="2" t="s">
        <v>1454</v>
      </c>
      <c r="F1130" s="2">
        <v>8.75</v>
      </c>
      <c r="G1130" s="2" t="s">
        <v>1415</v>
      </c>
      <c r="H1130" s="2">
        <v>3.9</v>
      </c>
      <c r="I1130" s="2">
        <v>5.5</v>
      </c>
      <c r="J1130" s="5" t="s">
        <v>1426</v>
      </c>
      <c r="K1130" s="2" t="s">
        <v>1417</v>
      </c>
    </row>
    <row r="1131" spans="1:11" x14ac:dyDescent="0.2">
      <c r="A1131" s="3" t="s">
        <v>842</v>
      </c>
      <c r="B1131" s="3" t="s">
        <v>843</v>
      </c>
      <c r="C1131" s="3" t="s">
        <v>844</v>
      </c>
      <c r="D1131" s="3" t="s">
        <v>1432</v>
      </c>
      <c r="E1131" s="3" t="s">
        <v>1433</v>
      </c>
      <c r="F1131" s="3">
        <v>3.6</v>
      </c>
      <c r="G1131" s="3" t="s">
        <v>1415</v>
      </c>
      <c r="H1131" s="3">
        <v>0</v>
      </c>
      <c r="I1131" s="3">
        <v>3</v>
      </c>
      <c r="J1131" s="5" t="s">
        <v>1426</v>
      </c>
      <c r="K1131" s="3" t="s">
        <v>1417</v>
      </c>
    </row>
    <row r="1132" spans="1:11" x14ac:dyDescent="0.2">
      <c r="A1132" s="2" t="s">
        <v>842</v>
      </c>
      <c r="B1132" s="2" t="s">
        <v>843</v>
      </c>
      <c r="C1132" s="2" t="s">
        <v>844</v>
      </c>
      <c r="D1132" s="2" t="s">
        <v>1450</v>
      </c>
      <c r="E1132" s="2" t="s">
        <v>1451</v>
      </c>
      <c r="F1132" s="2">
        <v>48.27</v>
      </c>
      <c r="G1132" s="2" t="s">
        <v>1452</v>
      </c>
      <c r="H1132" s="2">
        <v>60</v>
      </c>
      <c r="I1132" s="2">
        <v>120</v>
      </c>
      <c r="J1132" s="5" t="s">
        <v>1430</v>
      </c>
      <c r="K1132" s="2" t="s">
        <v>1417</v>
      </c>
    </row>
    <row r="1133" spans="1:11" x14ac:dyDescent="0.2">
      <c r="A1133" s="3" t="s">
        <v>842</v>
      </c>
      <c r="B1133" s="3" t="s">
        <v>843</v>
      </c>
      <c r="C1133" s="3" t="s">
        <v>844</v>
      </c>
      <c r="D1133" s="3" t="s">
        <v>1423</v>
      </c>
      <c r="E1133" s="3" t="s">
        <v>1424</v>
      </c>
      <c r="F1133" s="3">
        <v>5.0999999999999996</v>
      </c>
      <c r="G1133" s="3" t="s">
        <v>1425</v>
      </c>
      <c r="H1133" s="3">
        <v>4.5</v>
      </c>
      <c r="I1133" s="3">
        <v>5.5</v>
      </c>
      <c r="J1133" s="3" t="s">
        <v>1416</v>
      </c>
      <c r="K1133" s="3" t="s">
        <v>1431</v>
      </c>
    </row>
    <row r="1134" spans="1:11" x14ac:dyDescent="0.2">
      <c r="A1134" s="2" t="s">
        <v>842</v>
      </c>
      <c r="B1134" s="2" t="s">
        <v>843</v>
      </c>
      <c r="C1134" s="2" t="s">
        <v>844</v>
      </c>
      <c r="D1134" s="2" t="s">
        <v>1437</v>
      </c>
      <c r="E1134" s="2" t="s">
        <v>1438</v>
      </c>
      <c r="F1134" s="2">
        <v>15.41</v>
      </c>
      <c r="G1134" s="2" t="s">
        <v>1439</v>
      </c>
      <c r="H1134" s="2">
        <v>12</v>
      </c>
      <c r="I1134" s="2">
        <v>17.5</v>
      </c>
      <c r="J1134" s="2" t="s">
        <v>1416</v>
      </c>
      <c r="K1134" s="2" t="s">
        <v>1434</v>
      </c>
    </row>
    <row r="1135" spans="1:11" x14ac:dyDescent="0.2">
      <c r="A1135" s="3" t="s">
        <v>842</v>
      </c>
      <c r="B1135" s="3" t="s">
        <v>843</v>
      </c>
      <c r="C1135" s="3" t="s">
        <v>844</v>
      </c>
      <c r="D1135" s="3" t="s">
        <v>1446</v>
      </c>
      <c r="E1135" s="3" t="s">
        <v>1447</v>
      </c>
      <c r="F1135" s="3">
        <v>1.98</v>
      </c>
      <c r="G1135" s="3" t="s">
        <v>1415</v>
      </c>
      <c r="H1135" s="3">
        <v>2.1</v>
      </c>
      <c r="I1135" s="3">
        <v>2.6</v>
      </c>
      <c r="J1135" s="5" t="s">
        <v>1430</v>
      </c>
      <c r="K1135" s="3" t="s">
        <v>1434</v>
      </c>
    </row>
    <row r="1136" spans="1:11" x14ac:dyDescent="0.2">
      <c r="A1136" s="2" t="s">
        <v>842</v>
      </c>
      <c r="B1136" s="2" t="s">
        <v>843</v>
      </c>
      <c r="C1136" s="2" t="s">
        <v>844</v>
      </c>
      <c r="D1136" s="2" t="s">
        <v>1443</v>
      </c>
      <c r="E1136" s="2" t="s">
        <v>1444</v>
      </c>
      <c r="F1136" s="2">
        <v>78.739999999999995</v>
      </c>
      <c r="G1136" s="2" t="s">
        <v>1445</v>
      </c>
      <c r="H1136" s="2">
        <v>53</v>
      </c>
      <c r="I1136" s="2">
        <v>97</v>
      </c>
      <c r="J1136" s="2" t="s">
        <v>1416</v>
      </c>
      <c r="K1136" s="2" t="s">
        <v>1420</v>
      </c>
    </row>
    <row r="1137" spans="1:11" x14ac:dyDescent="0.2">
      <c r="A1137" s="3" t="s">
        <v>842</v>
      </c>
      <c r="B1137" s="3" t="s">
        <v>847</v>
      </c>
      <c r="C1137" s="3" t="s">
        <v>848</v>
      </c>
      <c r="D1137" s="3" t="s">
        <v>1437</v>
      </c>
      <c r="E1137" s="3" t="s">
        <v>1438</v>
      </c>
      <c r="F1137" s="3">
        <v>18.28</v>
      </c>
      <c r="G1137" s="3" t="s">
        <v>1439</v>
      </c>
      <c r="H1137" s="3">
        <v>12</v>
      </c>
      <c r="I1137" s="3">
        <v>17.5</v>
      </c>
      <c r="J1137" s="5" t="s">
        <v>1426</v>
      </c>
      <c r="K1137" s="3" t="s">
        <v>1434</v>
      </c>
    </row>
    <row r="1138" spans="1:11" x14ac:dyDescent="0.2">
      <c r="A1138" s="2" t="s">
        <v>842</v>
      </c>
      <c r="B1138" s="2" t="s">
        <v>847</v>
      </c>
      <c r="C1138" s="2" t="s">
        <v>848</v>
      </c>
      <c r="D1138" s="2" t="s">
        <v>1448</v>
      </c>
      <c r="E1138" s="2" t="s">
        <v>1449</v>
      </c>
      <c r="F1138" s="2">
        <v>136.47999999999999</v>
      </c>
      <c r="G1138" s="2" t="s">
        <v>1415</v>
      </c>
      <c r="H1138" s="2">
        <v>136</v>
      </c>
      <c r="I1138" s="2">
        <v>145</v>
      </c>
      <c r="J1138" s="2" t="s">
        <v>1416</v>
      </c>
      <c r="K1138" s="2" t="s">
        <v>1417</v>
      </c>
    </row>
    <row r="1139" spans="1:11" x14ac:dyDescent="0.2">
      <c r="A1139" s="3" t="s">
        <v>842</v>
      </c>
      <c r="B1139" s="3" t="s">
        <v>847</v>
      </c>
      <c r="C1139" s="3" t="s">
        <v>848</v>
      </c>
      <c r="D1139" s="3" t="s">
        <v>1418</v>
      </c>
      <c r="E1139" s="3" t="s">
        <v>1419</v>
      </c>
      <c r="F1139" s="3">
        <v>3.98</v>
      </c>
      <c r="G1139" s="3" t="s">
        <v>1415</v>
      </c>
      <c r="H1139" s="3">
        <v>3.5</v>
      </c>
      <c r="I1139" s="3">
        <v>5</v>
      </c>
      <c r="J1139" s="3" t="s">
        <v>1416</v>
      </c>
      <c r="K1139" s="3" t="s">
        <v>1417</v>
      </c>
    </row>
    <row r="1140" spans="1:11" x14ac:dyDescent="0.2">
      <c r="A1140" s="2" t="s">
        <v>842</v>
      </c>
      <c r="B1140" s="2" t="s">
        <v>847</v>
      </c>
      <c r="C1140" s="2" t="s">
        <v>848</v>
      </c>
      <c r="D1140" s="2" t="s">
        <v>1432</v>
      </c>
      <c r="E1140" s="2" t="s">
        <v>1433</v>
      </c>
      <c r="F1140" s="2">
        <v>2.2799999999999998</v>
      </c>
      <c r="G1140" s="2" t="s">
        <v>1415</v>
      </c>
      <c r="H1140" s="2">
        <v>0</v>
      </c>
      <c r="I1140" s="2">
        <v>3</v>
      </c>
      <c r="J1140" s="2" t="s">
        <v>1416</v>
      </c>
      <c r="K1140" s="2" t="s">
        <v>1417</v>
      </c>
    </row>
    <row r="1141" spans="1:11" x14ac:dyDescent="0.2">
      <c r="A1141" s="3" t="s">
        <v>842</v>
      </c>
      <c r="B1141" s="3" t="s">
        <v>847</v>
      </c>
      <c r="C1141" s="3" t="s">
        <v>848</v>
      </c>
      <c r="D1141" s="3" t="s">
        <v>1446</v>
      </c>
      <c r="E1141" s="3" t="s">
        <v>1447</v>
      </c>
      <c r="F1141" s="3">
        <v>2.1800000000000002</v>
      </c>
      <c r="G1141" s="3" t="s">
        <v>1415</v>
      </c>
      <c r="H1141" s="3">
        <v>2.1</v>
      </c>
      <c r="I1141" s="3">
        <v>2.6</v>
      </c>
      <c r="J1141" s="3" t="s">
        <v>1416</v>
      </c>
      <c r="K1141" s="3" t="s">
        <v>1431</v>
      </c>
    </row>
    <row r="1142" spans="1:11" x14ac:dyDescent="0.2">
      <c r="A1142" s="2" t="s">
        <v>842</v>
      </c>
      <c r="B1142" s="2" t="s">
        <v>847</v>
      </c>
      <c r="C1142" s="2" t="s">
        <v>848</v>
      </c>
      <c r="D1142" s="2" t="s">
        <v>1440</v>
      </c>
      <c r="E1142" s="2" t="s">
        <v>1441</v>
      </c>
      <c r="F1142" s="2">
        <v>11.2</v>
      </c>
      <c r="G1142" s="2" t="s">
        <v>1442</v>
      </c>
      <c r="H1142" s="2">
        <v>4</v>
      </c>
      <c r="I1142" s="2">
        <v>5.6</v>
      </c>
      <c r="J1142" s="5" t="s">
        <v>1426</v>
      </c>
      <c r="K1142" s="2" t="s">
        <v>1434</v>
      </c>
    </row>
    <row r="1143" spans="1:11" x14ac:dyDescent="0.2">
      <c r="A1143" s="3" t="s">
        <v>842</v>
      </c>
      <c r="B1143" s="3" t="s">
        <v>847</v>
      </c>
      <c r="C1143" s="3" t="s">
        <v>848</v>
      </c>
      <c r="D1143" s="3" t="s">
        <v>1427</v>
      </c>
      <c r="E1143" s="3" t="s">
        <v>1428</v>
      </c>
      <c r="F1143" s="3">
        <v>15.12</v>
      </c>
      <c r="G1143" s="3" t="s">
        <v>1429</v>
      </c>
      <c r="H1143" s="3">
        <v>4</v>
      </c>
      <c r="I1143" s="3">
        <v>11</v>
      </c>
      <c r="J1143" s="5" t="s">
        <v>1426</v>
      </c>
      <c r="K1143" s="3" t="s">
        <v>1431</v>
      </c>
    </row>
    <row r="1144" spans="1:11" x14ac:dyDescent="0.2">
      <c r="A1144" s="2" t="s">
        <v>842</v>
      </c>
      <c r="B1144" s="2" t="s">
        <v>847</v>
      </c>
      <c r="C1144" s="2" t="s">
        <v>848</v>
      </c>
      <c r="D1144" s="2" t="s">
        <v>1413</v>
      </c>
      <c r="E1144" s="2" t="s">
        <v>1414</v>
      </c>
      <c r="F1144" s="2">
        <v>1.35</v>
      </c>
      <c r="G1144" s="2" t="s">
        <v>1415</v>
      </c>
      <c r="H1144" s="2">
        <v>1</v>
      </c>
      <c r="I1144" s="2">
        <v>5</v>
      </c>
      <c r="J1144" s="2" t="s">
        <v>1416</v>
      </c>
      <c r="K1144" s="2" t="s">
        <v>1420</v>
      </c>
    </row>
    <row r="1145" spans="1:11" x14ac:dyDescent="0.2">
      <c r="A1145" s="3" t="s">
        <v>842</v>
      </c>
      <c r="B1145" s="3" t="s">
        <v>850</v>
      </c>
      <c r="C1145" s="3" t="s">
        <v>851</v>
      </c>
      <c r="D1145" s="3" t="s">
        <v>1455</v>
      </c>
      <c r="E1145" s="3" t="s">
        <v>1456</v>
      </c>
      <c r="F1145" s="3">
        <v>67.94</v>
      </c>
      <c r="G1145" s="3" t="s">
        <v>1457</v>
      </c>
      <c r="H1145" s="3">
        <v>40</v>
      </c>
      <c r="I1145" s="3">
        <v>130</v>
      </c>
      <c r="J1145" s="3" t="s">
        <v>1416</v>
      </c>
      <c r="K1145" s="3" t="s">
        <v>1420</v>
      </c>
    </row>
    <row r="1146" spans="1:11" x14ac:dyDescent="0.2">
      <c r="A1146" s="2" t="s">
        <v>842</v>
      </c>
      <c r="B1146" s="2" t="s">
        <v>850</v>
      </c>
      <c r="C1146" s="2" t="s">
        <v>851</v>
      </c>
      <c r="D1146" s="2" t="s">
        <v>1423</v>
      </c>
      <c r="E1146" s="2" t="s">
        <v>1424</v>
      </c>
      <c r="F1146" s="2">
        <v>4.46</v>
      </c>
      <c r="G1146" s="2" t="s">
        <v>1425</v>
      </c>
      <c r="H1146" s="2">
        <v>4.5</v>
      </c>
      <c r="I1146" s="2">
        <v>5.5</v>
      </c>
      <c r="J1146" s="5" t="s">
        <v>1430</v>
      </c>
      <c r="K1146" s="2" t="s">
        <v>1431</v>
      </c>
    </row>
    <row r="1147" spans="1:11" x14ac:dyDescent="0.2">
      <c r="A1147" s="3" t="s">
        <v>842</v>
      </c>
      <c r="B1147" s="3" t="s">
        <v>850</v>
      </c>
      <c r="C1147" s="3" t="s">
        <v>851</v>
      </c>
      <c r="D1147" s="3" t="s">
        <v>1432</v>
      </c>
      <c r="E1147" s="3" t="s">
        <v>1433</v>
      </c>
      <c r="F1147" s="3">
        <v>4.5599999999999996</v>
      </c>
      <c r="G1147" s="3" t="s">
        <v>1415</v>
      </c>
      <c r="H1147" s="3">
        <v>0</v>
      </c>
      <c r="I1147" s="3">
        <v>3</v>
      </c>
      <c r="J1147" s="5" t="s">
        <v>1426</v>
      </c>
      <c r="K1147" s="3" t="s">
        <v>1420</v>
      </c>
    </row>
    <row r="1148" spans="1:11" x14ac:dyDescent="0.2">
      <c r="A1148" s="2" t="s">
        <v>842</v>
      </c>
      <c r="B1148" s="2" t="s">
        <v>850</v>
      </c>
      <c r="C1148" s="2" t="s">
        <v>851</v>
      </c>
      <c r="D1148" s="2" t="s">
        <v>1453</v>
      </c>
      <c r="E1148" s="2" t="s">
        <v>1454</v>
      </c>
      <c r="F1148" s="2">
        <v>8.6999999999999993</v>
      </c>
      <c r="G1148" s="2" t="s">
        <v>1415</v>
      </c>
      <c r="H1148" s="2">
        <v>3.9</v>
      </c>
      <c r="I1148" s="2">
        <v>5.5</v>
      </c>
      <c r="J1148" s="5" t="s">
        <v>1426</v>
      </c>
      <c r="K1148" s="2" t="s">
        <v>1420</v>
      </c>
    </row>
    <row r="1149" spans="1:11" x14ac:dyDescent="0.2">
      <c r="A1149" s="3" t="s">
        <v>842</v>
      </c>
      <c r="B1149" s="3" t="s">
        <v>850</v>
      </c>
      <c r="C1149" s="3" t="s">
        <v>851</v>
      </c>
      <c r="D1149" s="3" t="s">
        <v>1450</v>
      </c>
      <c r="E1149" s="3" t="s">
        <v>1451</v>
      </c>
      <c r="F1149" s="3">
        <v>128.71</v>
      </c>
      <c r="G1149" s="3" t="s">
        <v>1452</v>
      </c>
      <c r="H1149" s="3">
        <v>60</v>
      </c>
      <c r="I1149" s="3">
        <v>120</v>
      </c>
      <c r="J1149" s="5" t="s">
        <v>1426</v>
      </c>
      <c r="K1149" s="3" t="s">
        <v>1434</v>
      </c>
    </row>
    <row r="1150" spans="1:11" x14ac:dyDescent="0.2">
      <c r="A1150" s="2" t="s">
        <v>842</v>
      </c>
      <c r="B1150" s="2" t="s">
        <v>850</v>
      </c>
      <c r="C1150" s="2" t="s">
        <v>851</v>
      </c>
      <c r="D1150" s="2" t="s">
        <v>1413</v>
      </c>
      <c r="E1150" s="2" t="s">
        <v>1414</v>
      </c>
      <c r="F1150" s="2">
        <v>2.09</v>
      </c>
      <c r="G1150" s="2" t="s">
        <v>1415</v>
      </c>
      <c r="H1150" s="2">
        <v>1</v>
      </c>
      <c r="I1150" s="2">
        <v>5</v>
      </c>
      <c r="J1150" s="2" t="s">
        <v>1416</v>
      </c>
      <c r="K1150" s="2" t="s">
        <v>1420</v>
      </c>
    </row>
    <row r="1151" spans="1:11" x14ac:dyDescent="0.2">
      <c r="A1151" s="3" t="s">
        <v>842</v>
      </c>
      <c r="B1151" s="3" t="s">
        <v>850</v>
      </c>
      <c r="C1151" s="3" t="s">
        <v>851</v>
      </c>
      <c r="D1151" s="3" t="s">
        <v>1440</v>
      </c>
      <c r="E1151" s="3" t="s">
        <v>1441</v>
      </c>
      <c r="F1151" s="3">
        <v>5.92</v>
      </c>
      <c r="G1151" s="3" t="s">
        <v>1442</v>
      </c>
      <c r="H1151" s="3">
        <v>4</v>
      </c>
      <c r="I1151" s="3">
        <v>5.6</v>
      </c>
      <c r="J1151" s="5" t="s">
        <v>1426</v>
      </c>
      <c r="K1151" s="3" t="s">
        <v>1431</v>
      </c>
    </row>
    <row r="1152" spans="1:11" x14ac:dyDescent="0.2">
      <c r="A1152" s="2" t="s">
        <v>852</v>
      </c>
      <c r="B1152" s="2" t="s">
        <v>853</v>
      </c>
      <c r="C1152" s="2" t="s">
        <v>854</v>
      </c>
      <c r="D1152" s="2" t="s">
        <v>1446</v>
      </c>
      <c r="E1152" s="2" t="s">
        <v>1447</v>
      </c>
      <c r="F1152" s="2">
        <v>2.95</v>
      </c>
      <c r="G1152" s="2" t="s">
        <v>1415</v>
      </c>
      <c r="H1152" s="2">
        <v>2.1</v>
      </c>
      <c r="I1152" s="2">
        <v>2.6</v>
      </c>
      <c r="J1152" s="5" t="s">
        <v>1426</v>
      </c>
      <c r="K1152" s="2" t="s">
        <v>1431</v>
      </c>
    </row>
    <row r="1153" spans="1:11" x14ac:dyDescent="0.2">
      <c r="A1153" s="3" t="s">
        <v>852</v>
      </c>
      <c r="B1153" s="3" t="s">
        <v>853</v>
      </c>
      <c r="C1153" s="3" t="s">
        <v>854</v>
      </c>
      <c r="D1153" s="3" t="s">
        <v>1427</v>
      </c>
      <c r="E1153" s="3" t="s">
        <v>1428</v>
      </c>
      <c r="F1153" s="3">
        <v>2.6</v>
      </c>
      <c r="G1153" s="3" t="s">
        <v>1429</v>
      </c>
      <c r="H1153" s="3">
        <v>4</v>
      </c>
      <c r="I1153" s="3">
        <v>11</v>
      </c>
      <c r="J1153" s="5" t="s">
        <v>1430</v>
      </c>
      <c r="K1153" s="3" t="s">
        <v>1434</v>
      </c>
    </row>
    <row r="1154" spans="1:11" x14ac:dyDescent="0.2">
      <c r="A1154" s="2" t="s">
        <v>852</v>
      </c>
      <c r="B1154" s="2" t="s">
        <v>853</v>
      </c>
      <c r="C1154" s="2" t="s">
        <v>854</v>
      </c>
      <c r="D1154" s="2" t="s">
        <v>1450</v>
      </c>
      <c r="E1154" s="2" t="s">
        <v>1451</v>
      </c>
      <c r="F1154" s="2">
        <v>57.5</v>
      </c>
      <c r="G1154" s="2" t="s">
        <v>1452</v>
      </c>
      <c r="H1154" s="2">
        <v>60</v>
      </c>
      <c r="I1154" s="2">
        <v>120</v>
      </c>
      <c r="J1154" s="5" t="s">
        <v>1430</v>
      </c>
      <c r="K1154" s="2" t="s">
        <v>1420</v>
      </c>
    </row>
    <row r="1155" spans="1:11" x14ac:dyDescent="0.2">
      <c r="A1155" s="3" t="s">
        <v>852</v>
      </c>
      <c r="B1155" s="3" t="s">
        <v>853</v>
      </c>
      <c r="C1155" s="3" t="s">
        <v>854</v>
      </c>
      <c r="D1155" s="3" t="s">
        <v>1440</v>
      </c>
      <c r="E1155" s="3" t="s">
        <v>1441</v>
      </c>
      <c r="F1155" s="3">
        <v>11.12</v>
      </c>
      <c r="G1155" s="3" t="s">
        <v>1442</v>
      </c>
      <c r="H1155" s="3">
        <v>4</v>
      </c>
      <c r="I1155" s="3">
        <v>5.6</v>
      </c>
      <c r="J1155" s="5" t="s">
        <v>1426</v>
      </c>
      <c r="K1155" s="3" t="s">
        <v>1417</v>
      </c>
    </row>
    <row r="1156" spans="1:11" x14ac:dyDescent="0.2">
      <c r="A1156" s="2" t="s">
        <v>852</v>
      </c>
      <c r="B1156" s="2" t="s">
        <v>853</v>
      </c>
      <c r="C1156" s="2" t="s">
        <v>854</v>
      </c>
      <c r="D1156" s="2" t="s">
        <v>1443</v>
      </c>
      <c r="E1156" s="2" t="s">
        <v>1444</v>
      </c>
      <c r="F1156" s="2">
        <v>84.28</v>
      </c>
      <c r="G1156" s="2" t="s">
        <v>1445</v>
      </c>
      <c r="H1156" s="2">
        <v>53</v>
      </c>
      <c r="I1156" s="2">
        <v>97</v>
      </c>
      <c r="J1156" s="2" t="s">
        <v>1416</v>
      </c>
      <c r="K1156" s="2" t="s">
        <v>1431</v>
      </c>
    </row>
    <row r="1157" spans="1:11" x14ac:dyDescent="0.2">
      <c r="A1157" s="3" t="s">
        <v>852</v>
      </c>
      <c r="B1157" s="3" t="s">
        <v>853</v>
      </c>
      <c r="C1157" s="3" t="s">
        <v>854</v>
      </c>
      <c r="D1157" s="3" t="s">
        <v>1423</v>
      </c>
      <c r="E1157" s="3" t="s">
        <v>1424</v>
      </c>
      <c r="F1157" s="3">
        <v>5.49</v>
      </c>
      <c r="G1157" s="3" t="s">
        <v>1425</v>
      </c>
      <c r="H1157" s="3">
        <v>4.5</v>
      </c>
      <c r="I1157" s="3">
        <v>5.5</v>
      </c>
      <c r="J1157" s="3" t="s">
        <v>1416</v>
      </c>
      <c r="K1157" s="3" t="s">
        <v>1420</v>
      </c>
    </row>
    <row r="1158" spans="1:11" x14ac:dyDescent="0.2">
      <c r="A1158" s="2" t="s">
        <v>852</v>
      </c>
      <c r="B1158" s="2" t="s">
        <v>853</v>
      </c>
      <c r="C1158" s="2" t="s">
        <v>854</v>
      </c>
      <c r="D1158" s="2" t="s">
        <v>1437</v>
      </c>
      <c r="E1158" s="2" t="s">
        <v>1438</v>
      </c>
      <c r="F1158" s="2">
        <v>17.93</v>
      </c>
      <c r="G1158" s="2" t="s">
        <v>1439</v>
      </c>
      <c r="H1158" s="2">
        <v>12</v>
      </c>
      <c r="I1158" s="2">
        <v>17.5</v>
      </c>
      <c r="J1158" s="5" t="s">
        <v>1426</v>
      </c>
      <c r="K1158" s="2" t="s">
        <v>1434</v>
      </c>
    </row>
    <row r="1159" spans="1:11" x14ac:dyDescent="0.2">
      <c r="A1159" s="3" t="s">
        <v>852</v>
      </c>
      <c r="B1159" s="3" t="s">
        <v>857</v>
      </c>
      <c r="C1159" s="3" t="s">
        <v>858</v>
      </c>
      <c r="D1159" s="3" t="s">
        <v>1455</v>
      </c>
      <c r="E1159" s="3" t="s">
        <v>1456</v>
      </c>
      <c r="F1159" s="3">
        <v>347.78</v>
      </c>
      <c r="G1159" s="3" t="s">
        <v>1457</v>
      </c>
      <c r="H1159" s="3">
        <v>40</v>
      </c>
      <c r="I1159" s="3">
        <v>130</v>
      </c>
      <c r="J1159" s="5" t="s">
        <v>1426</v>
      </c>
      <c r="K1159" s="3" t="s">
        <v>1434</v>
      </c>
    </row>
    <row r="1160" spans="1:11" x14ac:dyDescent="0.2">
      <c r="A1160" s="2" t="s">
        <v>852</v>
      </c>
      <c r="B1160" s="2" t="s">
        <v>857</v>
      </c>
      <c r="C1160" s="2" t="s">
        <v>858</v>
      </c>
      <c r="D1160" s="2" t="s">
        <v>1418</v>
      </c>
      <c r="E1160" s="2" t="s">
        <v>1419</v>
      </c>
      <c r="F1160" s="2">
        <v>5.43</v>
      </c>
      <c r="G1160" s="2" t="s">
        <v>1415</v>
      </c>
      <c r="H1160" s="2">
        <v>3.5</v>
      </c>
      <c r="I1160" s="2">
        <v>5</v>
      </c>
      <c r="J1160" s="5" t="s">
        <v>1426</v>
      </c>
      <c r="K1160" s="2" t="s">
        <v>1434</v>
      </c>
    </row>
    <row r="1161" spans="1:11" x14ac:dyDescent="0.2">
      <c r="A1161" s="3" t="s">
        <v>852</v>
      </c>
      <c r="B1161" s="3" t="s">
        <v>857</v>
      </c>
      <c r="C1161" s="3" t="s">
        <v>858</v>
      </c>
      <c r="D1161" s="3" t="s">
        <v>1448</v>
      </c>
      <c r="E1161" s="3" t="s">
        <v>1449</v>
      </c>
      <c r="F1161" s="3">
        <v>144.16</v>
      </c>
      <c r="G1161" s="3" t="s">
        <v>1415</v>
      </c>
      <c r="H1161" s="3">
        <v>136</v>
      </c>
      <c r="I1161" s="3">
        <v>145</v>
      </c>
      <c r="J1161" s="3" t="s">
        <v>1416</v>
      </c>
      <c r="K1161" s="3" t="s">
        <v>1431</v>
      </c>
    </row>
    <row r="1162" spans="1:11" x14ac:dyDescent="0.2">
      <c r="A1162" s="2" t="s">
        <v>852</v>
      </c>
      <c r="B1162" s="2" t="s">
        <v>857</v>
      </c>
      <c r="C1162" s="2" t="s">
        <v>858</v>
      </c>
      <c r="D1162" s="2" t="s">
        <v>1413</v>
      </c>
      <c r="E1162" s="2" t="s">
        <v>1414</v>
      </c>
      <c r="F1162" s="2">
        <v>1.79</v>
      </c>
      <c r="G1162" s="2" t="s">
        <v>1415</v>
      </c>
      <c r="H1162" s="2">
        <v>1</v>
      </c>
      <c r="I1162" s="2">
        <v>5</v>
      </c>
      <c r="J1162" s="2" t="s">
        <v>1416</v>
      </c>
      <c r="K1162" s="2" t="s">
        <v>1420</v>
      </c>
    </row>
    <row r="1163" spans="1:11" x14ac:dyDescent="0.2">
      <c r="A1163" s="3" t="s">
        <v>852</v>
      </c>
      <c r="B1163" s="3" t="s">
        <v>857</v>
      </c>
      <c r="C1163" s="3" t="s">
        <v>858</v>
      </c>
      <c r="D1163" s="3" t="s">
        <v>1453</v>
      </c>
      <c r="E1163" s="3" t="s">
        <v>1454</v>
      </c>
      <c r="F1163" s="3">
        <v>4.78</v>
      </c>
      <c r="G1163" s="3" t="s">
        <v>1415</v>
      </c>
      <c r="H1163" s="3">
        <v>3.9</v>
      </c>
      <c r="I1163" s="3">
        <v>5.5</v>
      </c>
      <c r="J1163" s="3" t="s">
        <v>1416</v>
      </c>
      <c r="K1163" s="3" t="s">
        <v>1420</v>
      </c>
    </row>
    <row r="1164" spans="1:11" x14ac:dyDescent="0.2">
      <c r="A1164" s="2" t="s">
        <v>852</v>
      </c>
      <c r="B1164" s="2" t="s">
        <v>857</v>
      </c>
      <c r="C1164" s="2" t="s">
        <v>858</v>
      </c>
      <c r="D1164" s="2" t="s">
        <v>1440</v>
      </c>
      <c r="E1164" s="2" t="s">
        <v>1441</v>
      </c>
      <c r="F1164" s="2">
        <v>6.79</v>
      </c>
      <c r="G1164" s="2" t="s">
        <v>1442</v>
      </c>
      <c r="H1164" s="2">
        <v>4</v>
      </c>
      <c r="I1164" s="2">
        <v>5.6</v>
      </c>
      <c r="J1164" s="5" t="s">
        <v>1426</v>
      </c>
      <c r="K1164" s="2" t="s">
        <v>1434</v>
      </c>
    </row>
    <row r="1165" spans="1:11" x14ac:dyDescent="0.2">
      <c r="A1165" s="3" t="s">
        <v>852</v>
      </c>
      <c r="B1165" s="3" t="s">
        <v>860</v>
      </c>
      <c r="C1165" s="3" t="s">
        <v>861</v>
      </c>
      <c r="D1165" s="3" t="s">
        <v>1435</v>
      </c>
      <c r="E1165" s="3" t="s">
        <v>1436</v>
      </c>
      <c r="F1165" s="3">
        <v>1.59</v>
      </c>
      <c r="G1165" s="3" t="s">
        <v>1415</v>
      </c>
      <c r="H1165" s="3">
        <v>0.8</v>
      </c>
      <c r="I1165" s="3">
        <v>1.5</v>
      </c>
      <c r="J1165" s="5" t="s">
        <v>1426</v>
      </c>
      <c r="K1165" s="3" t="s">
        <v>1434</v>
      </c>
    </row>
    <row r="1166" spans="1:11" x14ac:dyDescent="0.2">
      <c r="A1166" s="2" t="s">
        <v>852</v>
      </c>
      <c r="B1166" s="2" t="s">
        <v>860</v>
      </c>
      <c r="C1166" s="2" t="s">
        <v>861</v>
      </c>
      <c r="D1166" s="2" t="s">
        <v>1432</v>
      </c>
      <c r="E1166" s="2" t="s">
        <v>1433</v>
      </c>
      <c r="F1166" s="2">
        <v>4.8099999999999996</v>
      </c>
      <c r="G1166" s="2" t="s">
        <v>1415</v>
      </c>
      <c r="H1166" s="2">
        <v>0</v>
      </c>
      <c r="I1166" s="2">
        <v>3</v>
      </c>
      <c r="J1166" s="5" t="s">
        <v>1426</v>
      </c>
      <c r="K1166" s="2" t="s">
        <v>1434</v>
      </c>
    </row>
    <row r="1167" spans="1:11" x14ac:dyDescent="0.2">
      <c r="A1167" s="3" t="s">
        <v>852</v>
      </c>
      <c r="B1167" s="3" t="s">
        <v>860</v>
      </c>
      <c r="C1167" s="3" t="s">
        <v>861</v>
      </c>
      <c r="D1167" s="3" t="s">
        <v>1443</v>
      </c>
      <c r="E1167" s="3" t="s">
        <v>1444</v>
      </c>
      <c r="F1167" s="3">
        <v>64.84</v>
      </c>
      <c r="G1167" s="3" t="s">
        <v>1445</v>
      </c>
      <c r="H1167" s="3">
        <v>53</v>
      </c>
      <c r="I1167" s="3">
        <v>97</v>
      </c>
      <c r="J1167" s="3" t="s">
        <v>1416</v>
      </c>
      <c r="K1167" s="3" t="s">
        <v>1417</v>
      </c>
    </row>
    <row r="1168" spans="1:11" x14ac:dyDescent="0.2">
      <c r="A1168" s="2" t="s">
        <v>852</v>
      </c>
      <c r="B1168" s="2" t="s">
        <v>860</v>
      </c>
      <c r="C1168" s="2" t="s">
        <v>861</v>
      </c>
      <c r="D1168" s="2" t="s">
        <v>1418</v>
      </c>
      <c r="E1168" s="2" t="s">
        <v>1419</v>
      </c>
      <c r="F1168" s="2">
        <v>5.21</v>
      </c>
      <c r="G1168" s="2" t="s">
        <v>1415</v>
      </c>
      <c r="H1168" s="2">
        <v>3.5</v>
      </c>
      <c r="I1168" s="2">
        <v>5</v>
      </c>
      <c r="J1168" s="5" t="s">
        <v>1426</v>
      </c>
      <c r="K1168" s="2" t="s">
        <v>1431</v>
      </c>
    </row>
    <row r="1169" spans="1:11" x14ac:dyDescent="0.2">
      <c r="A1169" s="3" t="s">
        <v>852</v>
      </c>
      <c r="B1169" s="3" t="s">
        <v>860</v>
      </c>
      <c r="C1169" s="3" t="s">
        <v>861</v>
      </c>
      <c r="D1169" s="3" t="s">
        <v>1453</v>
      </c>
      <c r="E1169" s="3" t="s">
        <v>1454</v>
      </c>
      <c r="F1169" s="3">
        <v>7.37</v>
      </c>
      <c r="G1169" s="3" t="s">
        <v>1415</v>
      </c>
      <c r="H1169" s="3">
        <v>3.9</v>
      </c>
      <c r="I1169" s="3">
        <v>5.5</v>
      </c>
      <c r="J1169" s="5" t="s">
        <v>1426</v>
      </c>
      <c r="K1169" s="3" t="s">
        <v>1420</v>
      </c>
    </row>
    <row r="1170" spans="1:11" x14ac:dyDescent="0.2">
      <c r="A1170" s="2" t="s">
        <v>852</v>
      </c>
      <c r="B1170" s="2" t="s">
        <v>860</v>
      </c>
      <c r="C1170" s="2" t="s">
        <v>861</v>
      </c>
      <c r="D1170" s="2" t="s">
        <v>1427</v>
      </c>
      <c r="E1170" s="2" t="s">
        <v>1428</v>
      </c>
      <c r="F1170" s="2">
        <v>9.7899999999999991</v>
      </c>
      <c r="G1170" s="2" t="s">
        <v>1429</v>
      </c>
      <c r="H1170" s="2">
        <v>4</v>
      </c>
      <c r="I1170" s="2">
        <v>11</v>
      </c>
      <c r="J1170" s="2" t="s">
        <v>1416</v>
      </c>
      <c r="K1170" s="2" t="s">
        <v>1417</v>
      </c>
    </row>
    <row r="1171" spans="1:11" x14ac:dyDescent="0.2">
      <c r="A1171" s="3" t="s">
        <v>852</v>
      </c>
      <c r="B1171" s="3" t="s">
        <v>860</v>
      </c>
      <c r="C1171" s="3" t="s">
        <v>861</v>
      </c>
      <c r="D1171" s="3" t="s">
        <v>1446</v>
      </c>
      <c r="E1171" s="3" t="s">
        <v>1447</v>
      </c>
      <c r="F1171" s="3">
        <v>2.78</v>
      </c>
      <c r="G1171" s="3" t="s">
        <v>1415</v>
      </c>
      <c r="H1171" s="3">
        <v>2.1</v>
      </c>
      <c r="I1171" s="3">
        <v>2.6</v>
      </c>
      <c r="J1171" s="5" t="s">
        <v>1426</v>
      </c>
      <c r="K1171" s="3" t="s">
        <v>1417</v>
      </c>
    </row>
    <row r="1172" spans="1:11" x14ac:dyDescent="0.2">
      <c r="A1172" s="2" t="s">
        <v>852</v>
      </c>
      <c r="B1172" s="2" t="s">
        <v>860</v>
      </c>
      <c r="C1172" s="2" t="s">
        <v>861</v>
      </c>
      <c r="D1172" s="2" t="s">
        <v>1421</v>
      </c>
      <c r="E1172" s="2" t="s">
        <v>1422</v>
      </c>
      <c r="F1172" s="2">
        <v>4.63</v>
      </c>
      <c r="G1172" s="2" t="s">
        <v>1415</v>
      </c>
      <c r="H1172" s="2">
        <v>0</v>
      </c>
      <c r="I1172" s="2">
        <v>5</v>
      </c>
      <c r="J1172" s="2" t="s">
        <v>1416</v>
      </c>
      <c r="K1172" s="2" t="s">
        <v>1431</v>
      </c>
    </row>
    <row r="1173" spans="1:11" x14ac:dyDescent="0.2">
      <c r="A1173" s="3" t="s">
        <v>852</v>
      </c>
      <c r="B1173" s="3" t="s">
        <v>863</v>
      </c>
      <c r="C1173" s="3" t="s">
        <v>864</v>
      </c>
      <c r="D1173" s="3" t="s">
        <v>1455</v>
      </c>
      <c r="E1173" s="3" t="s">
        <v>1456</v>
      </c>
      <c r="F1173" s="3">
        <v>187.02</v>
      </c>
      <c r="G1173" s="3" t="s">
        <v>1457</v>
      </c>
      <c r="H1173" s="3">
        <v>40</v>
      </c>
      <c r="I1173" s="3">
        <v>130</v>
      </c>
      <c r="J1173" s="5" t="s">
        <v>1426</v>
      </c>
      <c r="K1173" s="3" t="s">
        <v>1431</v>
      </c>
    </row>
    <row r="1174" spans="1:11" x14ac:dyDescent="0.2">
      <c r="A1174" s="2" t="s">
        <v>852</v>
      </c>
      <c r="B1174" s="2" t="s">
        <v>863</v>
      </c>
      <c r="C1174" s="2" t="s">
        <v>864</v>
      </c>
      <c r="D1174" s="2" t="s">
        <v>1453</v>
      </c>
      <c r="E1174" s="2" t="s">
        <v>1454</v>
      </c>
      <c r="F1174" s="2">
        <v>7.55</v>
      </c>
      <c r="G1174" s="2" t="s">
        <v>1415</v>
      </c>
      <c r="H1174" s="2">
        <v>3.9</v>
      </c>
      <c r="I1174" s="2">
        <v>5.5</v>
      </c>
      <c r="J1174" s="5" t="s">
        <v>1426</v>
      </c>
      <c r="K1174" s="2" t="s">
        <v>1434</v>
      </c>
    </row>
    <row r="1175" spans="1:11" x14ac:dyDescent="0.2">
      <c r="A1175" s="3" t="s">
        <v>852</v>
      </c>
      <c r="B1175" s="3" t="s">
        <v>863</v>
      </c>
      <c r="C1175" s="3" t="s">
        <v>864</v>
      </c>
      <c r="D1175" s="3" t="s">
        <v>1427</v>
      </c>
      <c r="E1175" s="3" t="s">
        <v>1428</v>
      </c>
      <c r="F1175" s="3">
        <v>8.98</v>
      </c>
      <c r="G1175" s="3" t="s">
        <v>1429</v>
      </c>
      <c r="H1175" s="3">
        <v>4</v>
      </c>
      <c r="I1175" s="3">
        <v>11</v>
      </c>
      <c r="J1175" s="3" t="s">
        <v>1416</v>
      </c>
      <c r="K1175" s="3" t="s">
        <v>1420</v>
      </c>
    </row>
    <row r="1176" spans="1:11" x14ac:dyDescent="0.2">
      <c r="A1176" s="2" t="s">
        <v>852</v>
      </c>
      <c r="B1176" s="2" t="s">
        <v>863</v>
      </c>
      <c r="C1176" s="2" t="s">
        <v>864</v>
      </c>
      <c r="D1176" s="2" t="s">
        <v>1435</v>
      </c>
      <c r="E1176" s="2" t="s">
        <v>1436</v>
      </c>
      <c r="F1176" s="2">
        <v>1.3</v>
      </c>
      <c r="G1176" s="2" t="s">
        <v>1415</v>
      </c>
      <c r="H1176" s="2">
        <v>0.8</v>
      </c>
      <c r="I1176" s="2">
        <v>1.5</v>
      </c>
      <c r="J1176" s="2" t="s">
        <v>1416</v>
      </c>
      <c r="K1176" s="2" t="s">
        <v>1431</v>
      </c>
    </row>
    <row r="1177" spans="1:11" x14ac:dyDescent="0.2">
      <c r="A1177" s="3" t="s">
        <v>852</v>
      </c>
      <c r="B1177" s="3" t="s">
        <v>863</v>
      </c>
      <c r="C1177" s="3" t="s">
        <v>864</v>
      </c>
      <c r="D1177" s="3" t="s">
        <v>1421</v>
      </c>
      <c r="E1177" s="3" t="s">
        <v>1422</v>
      </c>
      <c r="F1177" s="3">
        <v>6.05</v>
      </c>
      <c r="G1177" s="3" t="s">
        <v>1415</v>
      </c>
      <c r="H1177" s="3">
        <v>0</v>
      </c>
      <c r="I1177" s="3">
        <v>5</v>
      </c>
      <c r="J1177" s="5" t="s">
        <v>1426</v>
      </c>
      <c r="K1177" s="3" t="s">
        <v>1417</v>
      </c>
    </row>
    <row r="1178" spans="1:11" x14ac:dyDescent="0.2">
      <c r="A1178" s="2" t="s">
        <v>852</v>
      </c>
      <c r="B1178" s="2" t="s">
        <v>863</v>
      </c>
      <c r="C1178" s="2" t="s">
        <v>864</v>
      </c>
      <c r="D1178" s="2" t="s">
        <v>1443</v>
      </c>
      <c r="E1178" s="2" t="s">
        <v>1444</v>
      </c>
      <c r="F1178" s="2">
        <v>76.22</v>
      </c>
      <c r="G1178" s="2" t="s">
        <v>1445</v>
      </c>
      <c r="H1178" s="2">
        <v>53</v>
      </c>
      <c r="I1178" s="2">
        <v>97</v>
      </c>
      <c r="J1178" s="2" t="s">
        <v>1416</v>
      </c>
      <c r="K1178" s="2" t="s">
        <v>1431</v>
      </c>
    </row>
    <row r="1179" spans="1:11" x14ac:dyDescent="0.2">
      <c r="A1179" s="3" t="s">
        <v>852</v>
      </c>
      <c r="B1179" s="3" t="s">
        <v>863</v>
      </c>
      <c r="C1179" s="3" t="s">
        <v>864</v>
      </c>
      <c r="D1179" s="3" t="s">
        <v>1418</v>
      </c>
      <c r="E1179" s="3" t="s">
        <v>1419</v>
      </c>
      <c r="F1179" s="3">
        <v>5.22</v>
      </c>
      <c r="G1179" s="3" t="s">
        <v>1415</v>
      </c>
      <c r="H1179" s="3">
        <v>3.5</v>
      </c>
      <c r="I1179" s="3">
        <v>5</v>
      </c>
      <c r="J1179" s="5" t="s">
        <v>1426</v>
      </c>
      <c r="K1179" s="3" t="s">
        <v>1431</v>
      </c>
    </row>
    <row r="1180" spans="1:11" x14ac:dyDescent="0.2">
      <c r="A1180" s="2" t="s">
        <v>852</v>
      </c>
      <c r="B1180" s="2" t="s">
        <v>863</v>
      </c>
      <c r="C1180" s="2" t="s">
        <v>864</v>
      </c>
      <c r="D1180" s="2" t="s">
        <v>1446</v>
      </c>
      <c r="E1180" s="2" t="s">
        <v>1447</v>
      </c>
      <c r="F1180" s="2">
        <v>2.85</v>
      </c>
      <c r="G1180" s="2" t="s">
        <v>1415</v>
      </c>
      <c r="H1180" s="2">
        <v>2.1</v>
      </c>
      <c r="I1180" s="2">
        <v>2.6</v>
      </c>
      <c r="J1180" s="5" t="s">
        <v>1426</v>
      </c>
      <c r="K1180" s="2" t="s">
        <v>1417</v>
      </c>
    </row>
    <row r="1181" spans="1:11" x14ac:dyDescent="0.2">
      <c r="A1181" s="3" t="s">
        <v>852</v>
      </c>
      <c r="B1181" s="3" t="s">
        <v>866</v>
      </c>
      <c r="C1181" s="3" t="s">
        <v>867</v>
      </c>
      <c r="D1181" s="3" t="s">
        <v>1450</v>
      </c>
      <c r="E1181" s="3" t="s">
        <v>1451</v>
      </c>
      <c r="F1181" s="3">
        <v>70.31</v>
      </c>
      <c r="G1181" s="3" t="s">
        <v>1452</v>
      </c>
      <c r="H1181" s="3">
        <v>60</v>
      </c>
      <c r="I1181" s="3">
        <v>120</v>
      </c>
      <c r="J1181" s="3" t="s">
        <v>1416</v>
      </c>
      <c r="K1181" s="3" t="s">
        <v>1434</v>
      </c>
    </row>
    <row r="1182" spans="1:11" x14ac:dyDescent="0.2">
      <c r="A1182" s="2" t="s">
        <v>852</v>
      </c>
      <c r="B1182" s="2" t="s">
        <v>866</v>
      </c>
      <c r="C1182" s="2" t="s">
        <v>867</v>
      </c>
      <c r="D1182" s="2" t="s">
        <v>1437</v>
      </c>
      <c r="E1182" s="2" t="s">
        <v>1438</v>
      </c>
      <c r="F1182" s="2">
        <v>8.85</v>
      </c>
      <c r="G1182" s="2" t="s">
        <v>1439</v>
      </c>
      <c r="H1182" s="2">
        <v>12</v>
      </c>
      <c r="I1182" s="2">
        <v>17.5</v>
      </c>
      <c r="J1182" s="5" t="s">
        <v>1430</v>
      </c>
      <c r="K1182" s="2" t="s">
        <v>1420</v>
      </c>
    </row>
    <row r="1183" spans="1:11" x14ac:dyDescent="0.2">
      <c r="A1183" s="3" t="s">
        <v>852</v>
      </c>
      <c r="B1183" s="3" t="s">
        <v>866</v>
      </c>
      <c r="C1183" s="3" t="s">
        <v>867</v>
      </c>
      <c r="D1183" s="3" t="s">
        <v>1418</v>
      </c>
      <c r="E1183" s="3" t="s">
        <v>1419</v>
      </c>
      <c r="F1183" s="3">
        <v>4.17</v>
      </c>
      <c r="G1183" s="3" t="s">
        <v>1415</v>
      </c>
      <c r="H1183" s="3">
        <v>3.5</v>
      </c>
      <c r="I1183" s="3">
        <v>5</v>
      </c>
      <c r="J1183" s="3" t="s">
        <v>1416</v>
      </c>
      <c r="K1183" s="3" t="s">
        <v>1417</v>
      </c>
    </row>
    <row r="1184" spans="1:11" x14ac:dyDescent="0.2">
      <c r="A1184" s="2" t="s">
        <v>852</v>
      </c>
      <c r="B1184" s="2" t="s">
        <v>866</v>
      </c>
      <c r="C1184" s="2" t="s">
        <v>867</v>
      </c>
      <c r="D1184" s="2" t="s">
        <v>1423</v>
      </c>
      <c r="E1184" s="2" t="s">
        <v>1424</v>
      </c>
      <c r="F1184" s="2">
        <v>3.98</v>
      </c>
      <c r="G1184" s="2" t="s">
        <v>1425</v>
      </c>
      <c r="H1184" s="2">
        <v>4.5</v>
      </c>
      <c r="I1184" s="2">
        <v>5.5</v>
      </c>
      <c r="J1184" s="5" t="s">
        <v>1430</v>
      </c>
      <c r="K1184" s="2" t="s">
        <v>1417</v>
      </c>
    </row>
    <row r="1185" spans="1:11" x14ac:dyDescent="0.2">
      <c r="A1185" s="3" t="s">
        <v>852</v>
      </c>
      <c r="B1185" s="3" t="s">
        <v>866</v>
      </c>
      <c r="C1185" s="3" t="s">
        <v>867</v>
      </c>
      <c r="D1185" s="3" t="s">
        <v>1432</v>
      </c>
      <c r="E1185" s="3" t="s">
        <v>1433</v>
      </c>
      <c r="F1185" s="3">
        <v>1.64</v>
      </c>
      <c r="G1185" s="3" t="s">
        <v>1415</v>
      </c>
      <c r="H1185" s="3">
        <v>0</v>
      </c>
      <c r="I1185" s="3">
        <v>3</v>
      </c>
      <c r="J1185" s="3" t="s">
        <v>1416</v>
      </c>
      <c r="K1185" s="3" t="s">
        <v>1417</v>
      </c>
    </row>
    <row r="1186" spans="1:11" x14ac:dyDescent="0.2">
      <c r="A1186" s="2" t="s">
        <v>852</v>
      </c>
      <c r="B1186" s="2" t="s">
        <v>866</v>
      </c>
      <c r="C1186" s="2" t="s">
        <v>867</v>
      </c>
      <c r="D1186" s="2" t="s">
        <v>1427</v>
      </c>
      <c r="E1186" s="2" t="s">
        <v>1428</v>
      </c>
      <c r="F1186" s="2">
        <v>17.32</v>
      </c>
      <c r="G1186" s="2" t="s">
        <v>1429</v>
      </c>
      <c r="H1186" s="2">
        <v>4</v>
      </c>
      <c r="I1186" s="2">
        <v>11</v>
      </c>
      <c r="J1186" s="5" t="s">
        <v>1426</v>
      </c>
      <c r="K1186" s="2" t="s">
        <v>1434</v>
      </c>
    </row>
    <row r="1187" spans="1:11" x14ac:dyDescent="0.2">
      <c r="A1187" s="3" t="s">
        <v>869</v>
      </c>
      <c r="B1187" s="3" t="s">
        <v>870</v>
      </c>
      <c r="C1187" s="3" t="s">
        <v>871</v>
      </c>
      <c r="D1187" s="3" t="s">
        <v>1435</v>
      </c>
      <c r="E1187" s="3" t="s">
        <v>1436</v>
      </c>
      <c r="F1187" s="3">
        <v>1.59</v>
      </c>
      <c r="G1187" s="3" t="s">
        <v>1415</v>
      </c>
      <c r="H1187" s="3">
        <v>0.8</v>
      </c>
      <c r="I1187" s="3">
        <v>1.5</v>
      </c>
      <c r="J1187" s="5" t="s">
        <v>1426</v>
      </c>
      <c r="K1187" s="3" t="s">
        <v>1417</v>
      </c>
    </row>
    <row r="1188" spans="1:11" x14ac:dyDescent="0.2">
      <c r="A1188" s="2" t="s">
        <v>869</v>
      </c>
      <c r="B1188" s="2" t="s">
        <v>870</v>
      </c>
      <c r="C1188" s="2" t="s">
        <v>871</v>
      </c>
      <c r="D1188" s="2" t="s">
        <v>1418</v>
      </c>
      <c r="E1188" s="2" t="s">
        <v>1419</v>
      </c>
      <c r="F1188" s="2">
        <v>4.58</v>
      </c>
      <c r="G1188" s="2" t="s">
        <v>1415</v>
      </c>
      <c r="H1188" s="2">
        <v>3.5</v>
      </c>
      <c r="I1188" s="2">
        <v>5</v>
      </c>
      <c r="J1188" s="2" t="s">
        <v>1416</v>
      </c>
      <c r="K1188" s="2" t="s">
        <v>1431</v>
      </c>
    </row>
    <row r="1189" spans="1:11" x14ac:dyDescent="0.2">
      <c r="A1189" s="3" t="s">
        <v>869</v>
      </c>
      <c r="B1189" s="3" t="s">
        <v>870</v>
      </c>
      <c r="C1189" s="3" t="s">
        <v>871</v>
      </c>
      <c r="D1189" s="3" t="s">
        <v>1455</v>
      </c>
      <c r="E1189" s="3" t="s">
        <v>1456</v>
      </c>
      <c r="F1189" s="3">
        <v>39.270000000000003</v>
      </c>
      <c r="G1189" s="3" t="s">
        <v>1457</v>
      </c>
      <c r="H1189" s="3">
        <v>40</v>
      </c>
      <c r="I1189" s="3">
        <v>130</v>
      </c>
      <c r="J1189" s="5" t="s">
        <v>1430</v>
      </c>
      <c r="K1189" s="3" t="s">
        <v>1420</v>
      </c>
    </row>
    <row r="1190" spans="1:11" x14ac:dyDescent="0.2">
      <c r="A1190" s="2" t="s">
        <v>869</v>
      </c>
      <c r="B1190" s="2" t="s">
        <v>870</v>
      </c>
      <c r="C1190" s="2" t="s">
        <v>871</v>
      </c>
      <c r="D1190" s="2" t="s">
        <v>1440</v>
      </c>
      <c r="E1190" s="2" t="s">
        <v>1441</v>
      </c>
      <c r="F1190" s="2">
        <v>8.3000000000000007</v>
      </c>
      <c r="G1190" s="2" t="s">
        <v>1442</v>
      </c>
      <c r="H1190" s="2">
        <v>4</v>
      </c>
      <c r="I1190" s="2">
        <v>5.6</v>
      </c>
      <c r="J1190" s="5" t="s">
        <v>1426</v>
      </c>
      <c r="K1190" s="2" t="s">
        <v>1417</v>
      </c>
    </row>
    <row r="1191" spans="1:11" x14ac:dyDescent="0.2">
      <c r="A1191" s="3" t="s">
        <v>869</v>
      </c>
      <c r="B1191" s="3" t="s">
        <v>870</v>
      </c>
      <c r="C1191" s="3" t="s">
        <v>871</v>
      </c>
      <c r="D1191" s="3" t="s">
        <v>1448</v>
      </c>
      <c r="E1191" s="3" t="s">
        <v>1449</v>
      </c>
      <c r="F1191" s="3">
        <v>133.91</v>
      </c>
      <c r="G1191" s="3" t="s">
        <v>1415</v>
      </c>
      <c r="H1191" s="3">
        <v>136</v>
      </c>
      <c r="I1191" s="3">
        <v>145</v>
      </c>
      <c r="J1191" s="5" t="s">
        <v>1430</v>
      </c>
      <c r="K1191" s="3" t="s">
        <v>1420</v>
      </c>
    </row>
    <row r="1192" spans="1:11" x14ac:dyDescent="0.2">
      <c r="A1192" s="2" t="s">
        <v>869</v>
      </c>
      <c r="B1192" s="2" t="s">
        <v>874</v>
      </c>
      <c r="C1192" s="2" t="s">
        <v>875</v>
      </c>
      <c r="D1192" s="2" t="s">
        <v>1437</v>
      </c>
      <c r="E1192" s="2" t="s">
        <v>1438</v>
      </c>
      <c r="F1192" s="2">
        <v>11.53</v>
      </c>
      <c r="G1192" s="2" t="s">
        <v>1439</v>
      </c>
      <c r="H1192" s="2">
        <v>12</v>
      </c>
      <c r="I1192" s="2">
        <v>17.5</v>
      </c>
      <c r="J1192" s="5" t="s">
        <v>1430</v>
      </c>
      <c r="K1192" s="2" t="s">
        <v>1420</v>
      </c>
    </row>
    <row r="1193" spans="1:11" x14ac:dyDescent="0.2">
      <c r="A1193" s="3" t="s">
        <v>869</v>
      </c>
      <c r="B1193" s="3" t="s">
        <v>874</v>
      </c>
      <c r="C1193" s="3" t="s">
        <v>875</v>
      </c>
      <c r="D1193" s="3" t="s">
        <v>1432</v>
      </c>
      <c r="E1193" s="3" t="s">
        <v>1433</v>
      </c>
      <c r="F1193" s="3">
        <v>4.67</v>
      </c>
      <c r="G1193" s="3" t="s">
        <v>1415</v>
      </c>
      <c r="H1193" s="3">
        <v>0</v>
      </c>
      <c r="I1193" s="3">
        <v>3</v>
      </c>
      <c r="J1193" s="5" t="s">
        <v>1426</v>
      </c>
      <c r="K1193" s="3" t="s">
        <v>1420</v>
      </c>
    </row>
    <row r="1194" spans="1:11" x14ac:dyDescent="0.2">
      <c r="A1194" s="2" t="s">
        <v>869</v>
      </c>
      <c r="B1194" s="2" t="s">
        <v>874</v>
      </c>
      <c r="C1194" s="2" t="s">
        <v>875</v>
      </c>
      <c r="D1194" s="2" t="s">
        <v>1418</v>
      </c>
      <c r="E1194" s="2" t="s">
        <v>1419</v>
      </c>
      <c r="F1194" s="2">
        <v>4.32</v>
      </c>
      <c r="G1194" s="2" t="s">
        <v>1415</v>
      </c>
      <c r="H1194" s="2">
        <v>3.5</v>
      </c>
      <c r="I1194" s="2">
        <v>5</v>
      </c>
      <c r="J1194" s="2" t="s">
        <v>1416</v>
      </c>
      <c r="K1194" s="2" t="s">
        <v>1431</v>
      </c>
    </row>
    <row r="1195" spans="1:11" x14ac:dyDescent="0.2">
      <c r="A1195" s="3" t="s">
        <v>869</v>
      </c>
      <c r="B1195" s="3" t="s">
        <v>874</v>
      </c>
      <c r="C1195" s="3" t="s">
        <v>875</v>
      </c>
      <c r="D1195" s="3" t="s">
        <v>1450</v>
      </c>
      <c r="E1195" s="3" t="s">
        <v>1451</v>
      </c>
      <c r="F1195" s="3">
        <v>54.08</v>
      </c>
      <c r="G1195" s="3" t="s">
        <v>1452</v>
      </c>
      <c r="H1195" s="3">
        <v>60</v>
      </c>
      <c r="I1195" s="3">
        <v>120</v>
      </c>
      <c r="J1195" s="5" t="s">
        <v>1430</v>
      </c>
      <c r="K1195" s="3" t="s">
        <v>1434</v>
      </c>
    </row>
    <row r="1196" spans="1:11" x14ac:dyDescent="0.2">
      <c r="A1196" s="2" t="s">
        <v>869</v>
      </c>
      <c r="B1196" s="2" t="s">
        <v>874</v>
      </c>
      <c r="C1196" s="2" t="s">
        <v>875</v>
      </c>
      <c r="D1196" s="2" t="s">
        <v>1448</v>
      </c>
      <c r="E1196" s="2" t="s">
        <v>1449</v>
      </c>
      <c r="F1196" s="2">
        <v>137.63</v>
      </c>
      <c r="G1196" s="2" t="s">
        <v>1415</v>
      </c>
      <c r="H1196" s="2">
        <v>136</v>
      </c>
      <c r="I1196" s="2">
        <v>145</v>
      </c>
      <c r="J1196" s="2" t="s">
        <v>1416</v>
      </c>
      <c r="K1196" s="2" t="s">
        <v>1417</v>
      </c>
    </row>
    <row r="1197" spans="1:11" x14ac:dyDescent="0.2">
      <c r="A1197" s="3" t="s">
        <v>869</v>
      </c>
      <c r="B1197" s="3" t="s">
        <v>877</v>
      </c>
      <c r="C1197" s="3" t="s">
        <v>878</v>
      </c>
      <c r="D1197" s="3" t="s">
        <v>1423</v>
      </c>
      <c r="E1197" s="3" t="s">
        <v>1424</v>
      </c>
      <c r="F1197" s="3">
        <v>5.34</v>
      </c>
      <c r="G1197" s="3" t="s">
        <v>1425</v>
      </c>
      <c r="H1197" s="3">
        <v>4.5</v>
      </c>
      <c r="I1197" s="3">
        <v>5.5</v>
      </c>
      <c r="J1197" s="3" t="s">
        <v>1416</v>
      </c>
      <c r="K1197" s="3" t="s">
        <v>1434</v>
      </c>
    </row>
    <row r="1198" spans="1:11" x14ac:dyDescent="0.2">
      <c r="A1198" s="2" t="s">
        <v>869</v>
      </c>
      <c r="B1198" s="2" t="s">
        <v>877</v>
      </c>
      <c r="C1198" s="2" t="s">
        <v>878</v>
      </c>
      <c r="D1198" s="2" t="s">
        <v>1440</v>
      </c>
      <c r="E1198" s="2" t="s">
        <v>1441</v>
      </c>
      <c r="F1198" s="2">
        <v>11.16</v>
      </c>
      <c r="G1198" s="2" t="s">
        <v>1442</v>
      </c>
      <c r="H1198" s="2">
        <v>4</v>
      </c>
      <c r="I1198" s="2">
        <v>5.6</v>
      </c>
      <c r="J1198" s="5" t="s">
        <v>1426</v>
      </c>
      <c r="K1198" s="2" t="s">
        <v>1420</v>
      </c>
    </row>
    <row r="1199" spans="1:11" x14ac:dyDescent="0.2">
      <c r="A1199" s="3" t="s">
        <v>869</v>
      </c>
      <c r="B1199" s="3" t="s">
        <v>877</v>
      </c>
      <c r="C1199" s="3" t="s">
        <v>878</v>
      </c>
      <c r="D1199" s="3" t="s">
        <v>1427</v>
      </c>
      <c r="E1199" s="3" t="s">
        <v>1428</v>
      </c>
      <c r="F1199" s="3">
        <v>4.5</v>
      </c>
      <c r="G1199" s="3" t="s">
        <v>1429</v>
      </c>
      <c r="H1199" s="3">
        <v>4</v>
      </c>
      <c r="I1199" s="3">
        <v>11</v>
      </c>
      <c r="J1199" s="3" t="s">
        <v>1416</v>
      </c>
      <c r="K1199" s="3" t="s">
        <v>1434</v>
      </c>
    </row>
    <row r="1200" spans="1:11" x14ac:dyDescent="0.2">
      <c r="A1200" s="2" t="s">
        <v>869</v>
      </c>
      <c r="B1200" s="2" t="s">
        <v>877</v>
      </c>
      <c r="C1200" s="2" t="s">
        <v>878</v>
      </c>
      <c r="D1200" s="2" t="s">
        <v>1421</v>
      </c>
      <c r="E1200" s="2" t="s">
        <v>1422</v>
      </c>
      <c r="F1200" s="2">
        <v>7.3</v>
      </c>
      <c r="G1200" s="2" t="s">
        <v>1415</v>
      </c>
      <c r="H1200" s="2">
        <v>0</v>
      </c>
      <c r="I1200" s="2">
        <v>5</v>
      </c>
      <c r="J1200" s="5" t="s">
        <v>1426</v>
      </c>
      <c r="K1200" s="2" t="s">
        <v>1434</v>
      </c>
    </row>
    <row r="1201" spans="1:11" x14ac:dyDescent="0.2">
      <c r="A1201" s="3" t="s">
        <v>879</v>
      </c>
      <c r="B1201" s="3" t="s">
        <v>880</v>
      </c>
      <c r="C1201" s="3" t="s">
        <v>881</v>
      </c>
      <c r="D1201" s="3" t="s">
        <v>1453</v>
      </c>
      <c r="E1201" s="3" t="s">
        <v>1454</v>
      </c>
      <c r="F1201" s="3">
        <v>4.32</v>
      </c>
      <c r="G1201" s="3" t="s">
        <v>1415</v>
      </c>
      <c r="H1201" s="3">
        <v>3.9</v>
      </c>
      <c r="I1201" s="3">
        <v>5.5</v>
      </c>
      <c r="J1201" s="3" t="s">
        <v>1416</v>
      </c>
      <c r="K1201" s="3" t="s">
        <v>1434</v>
      </c>
    </row>
    <row r="1202" spans="1:11" x14ac:dyDescent="0.2">
      <c r="A1202" s="2" t="s">
        <v>879</v>
      </c>
      <c r="B1202" s="2" t="s">
        <v>880</v>
      </c>
      <c r="C1202" s="2" t="s">
        <v>881</v>
      </c>
      <c r="D1202" s="2" t="s">
        <v>1450</v>
      </c>
      <c r="E1202" s="2" t="s">
        <v>1451</v>
      </c>
      <c r="F1202" s="2">
        <v>74.64</v>
      </c>
      <c r="G1202" s="2" t="s">
        <v>1452</v>
      </c>
      <c r="H1202" s="2">
        <v>60</v>
      </c>
      <c r="I1202" s="2">
        <v>120</v>
      </c>
      <c r="J1202" s="2" t="s">
        <v>1416</v>
      </c>
      <c r="K1202" s="2" t="s">
        <v>1420</v>
      </c>
    </row>
    <row r="1203" spans="1:11" x14ac:dyDescent="0.2">
      <c r="A1203" s="3" t="s">
        <v>879</v>
      </c>
      <c r="B1203" s="3" t="s">
        <v>880</v>
      </c>
      <c r="C1203" s="3" t="s">
        <v>881</v>
      </c>
      <c r="D1203" s="3" t="s">
        <v>1435</v>
      </c>
      <c r="E1203" s="3" t="s">
        <v>1436</v>
      </c>
      <c r="F1203" s="3">
        <v>1.2</v>
      </c>
      <c r="G1203" s="3" t="s">
        <v>1415</v>
      </c>
      <c r="H1203" s="3">
        <v>0.8</v>
      </c>
      <c r="I1203" s="3">
        <v>1.5</v>
      </c>
      <c r="J1203" s="3" t="s">
        <v>1416</v>
      </c>
      <c r="K1203" s="3" t="s">
        <v>1431</v>
      </c>
    </row>
    <row r="1204" spans="1:11" x14ac:dyDescent="0.2">
      <c r="A1204" s="2" t="s">
        <v>879</v>
      </c>
      <c r="B1204" s="2" t="s">
        <v>880</v>
      </c>
      <c r="C1204" s="2" t="s">
        <v>881</v>
      </c>
      <c r="D1204" s="2" t="s">
        <v>1432</v>
      </c>
      <c r="E1204" s="2" t="s">
        <v>1433</v>
      </c>
      <c r="F1204" s="2">
        <v>4.38</v>
      </c>
      <c r="G1204" s="2" t="s">
        <v>1415</v>
      </c>
      <c r="H1204" s="2">
        <v>0</v>
      </c>
      <c r="I1204" s="2">
        <v>3</v>
      </c>
      <c r="J1204" s="5" t="s">
        <v>1426</v>
      </c>
      <c r="K1204" s="2" t="s">
        <v>1417</v>
      </c>
    </row>
    <row r="1205" spans="1:11" x14ac:dyDescent="0.2">
      <c r="A1205" s="3" t="s">
        <v>879</v>
      </c>
      <c r="B1205" s="3" t="s">
        <v>880</v>
      </c>
      <c r="C1205" s="3" t="s">
        <v>881</v>
      </c>
      <c r="D1205" s="3" t="s">
        <v>1446</v>
      </c>
      <c r="E1205" s="3" t="s">
        <v>1447</v>
      </c>
      <c r="F1205" s="3">
        <v>2.83</v>
      </c>
      <c r="G1205" s="3" t="s">
        <v>1415</v>
      </c>
      <c r="H1205" s="3">
        <v>2.1</v>
      </c>
      <c r="I1205" s="3">
        <v>2.6</v>
      </c>
      <c r="J1205" s="5" t="s">
        <v>1426</v>
      </c>
      <c r="K1205" s="3" t="s">
        <v>1431</v>
      </c>
    </row>
    <row r="1206" spans="1:11" x14ac:dyDescent="0.2">
      <c r="A1206" s="2" t="s">
        <v>879</v>
      </c>
      <c r="B1206" s="2" t="s">
        <v>880</v>
      </c>
      <c r="C1206" s="2" t="s">
        <v>881</v>
      </c>
      <c r="D1206" s="2" t="s">
        <v>1427</v>
      </c>
      <c r="E1206" s="2" t="s">
        <v>1428</v>
      </c>
      <c r="F1206" s="2">
        <v>7</v>
      </c>
      <c r="G1206" s="2" t="s">
        <v>1429</v>
      </c>
      <c r="H1206" s="2">
        <v>4</v>
      </c>
      <c r="I1206" s="2">
        <v>11</v>
      </c>
      <c r="J1206" s="2" t="s">
        <v>1416</v>
      </c>
      <c r="K1206" s="2" t="s">
        <v>1431</v>
      </c>
    </row>
    <row r="1207" spans="1:11" x14ac:dyDescent="0.2">
      <c r="A1207" s="3" t="s">
        <v>879</v>
      </c>
      <c r="B1207" s="3" t="s">
        <v>883</v>
      </c>
      <c r="C1207" s="3" t="s">
        <v>884</v>
      </c>
      <c r="D1207" s="3" t="s">
        <v>1432</v>
      </c>
      <c r="E1207" s="3" t="s">
        <v>1433</v>
      </c>
      <c r="F1207" s="3">
        <v>4.7699999999999996</v>
      </c>
      <c r="G1207" s="3" t="s">
        <v>1415</v>
      </c>
      <c r="H1207" s="3">
        <v>0</v>
      </c>
      <c r="I1207" s="3">
        <v>3</v>
      </c>
      <c r="J1207" s="5" t="s">
        <v>1426</v>
      </c>
      <c r="K1207" s="3" t="s">
        <v>1434</v>
      </c>
    </row>
    <row r="1208" spans="1:11" x14ac:dyDescent="0.2">
      <c r="A1208" s="2" t="s">
        <v>879</v>
      </c>
      <c r="B1208" s="2" t="s">
        <v>883</v>
      </c>
      <c r="C1208" s="2" t="s">
        <v>884</v>
      </c>
      <c r="D1208" s="2" t="s">
        <v>1418</v>
      </c>
      <c r="E1208" s="2" t="s">
        <v>1419</v>
      </c>
      <c r="F1208" s="2">
        <v>5.14</v>
      </c>
      <c r="G1208" s="2" t="s">
        <v>1415</v>
      </c>
      <c r="H1208" s="2">
        <v>3.5</v>
      </c>
      <c r="I1208" s="2">
        <v>5</v>
      </c>
      <c r="J1208" s="5" t="s">
        <v>1426</v>
      </c>
      <c r="K1208" s="2" t="s">
        <v>1434</v>
      </c>
    </row>
    <row r="1209" spans="1:11" x14ac:dyDescent="0.2">
      <c r="A1209" s="3" t="s">
        <v>879</v>
      </c>
      <c r="B1209" s="3" t="s">
        <v>883</v>
      </c>
      <c r="C1209" s="3" t="s">
        <v>884</v>
      </c>
      <c r="D1209" s="3" t="s">
        <v>1421</v>
      </c>
      <c r="E1209" s="3" t="s">
        <v>1422</v>
      </c>
      <c r="F1209" s="3">
        <v>5.51</v>
      </c>
      <c r="G1209" s="3" t="s">
        <v>1415</v>
      </c>
      <c r="H1209" s="3">
        <v>0</v>
      </c>
      <c r="I1209" s="3">
        <v>5</v>
      </c>
      <c r="J1209" s="5" t="s">
        <v>1426</v>
      </c>
      <c r="K1209" s="3" t="s">
        <v>1417</v>
      </c>
    </row>
    <row r="1210" spans="1:11" x14ac:dyDescent="0.2">
      <c r="A1210" s="2" t="s">
        <v>879</v>
      </c>
      <c r="B1210" s="2" t="s">
        <v>883</v>
      </c>
      <c r="C1210" s="2" t="s">
        <v>884</v>
      </c>
      <c r="D1210" s="2" t="s">
        <v>1427</v>
      </c>
      <c r="E1210" s="2" t="s">
        <v>1428</v>
      </c>
      <c r="F1210" s="2">
        <v>3.16</v>
      </c>
      <c r="G1210" s="2" t="s">
        <v>1429</v>
      </c>
      <c r="H1210" s="2">
        <v>4</v>
      </c>
      <c r="I1210" s="2">
        <v>11</v>
      </c>
      <c r="J1210" s="5" t="s">
        <v>1430</v>
      </c>
      <c r="K1210" s="2" t="s">
        <v>1420</v>
      </c>
    </row>
    <row r="1211" spans="1:11" x14ac:dyDescent="0.2">
      <c r="A1211" s="3" t="s">
        <v>879</v>
      </c>
      <c r="B1211" s="3" t="s">
        <v>883</v>
      </c>
      <c r="C1211" s="3" t="s">
        <v>884</v>
      </c>
      <c r="D1211" s="3" t="s">
        <v>1450</v>
      </c>
      <c r="E1211" s="3" t="s">
        <v>1451</v>
      </c>
      <c r="F1211" s="3">
        <v>49.67</v>
      </c>
      <c r="G1211" s="3" t="s">
        <v>1452</v>
      </c>
      <c r="H1211" s="3">
        <v>60</v>
      </c>
      <c r="I1211" s="3">
        <v>120</v>
      </c>
      <c r="J1211" s="5" t="s">
        <v>1430</v>
      </c>
      <c r="K1211" s="3" t="s">
        <v>1431</v>
      </c>
    </row>
    <row r="1212" spans="1:11" x14ac:dyDescent="0.2">
      <c r="A1212" s="2" t="s">
        <v>879</v>
      </c>
      <c r="B1212" s="2" t="s">
        <v>886</v>
      </c>
      <c r="C1212" s="2" t="s">
        <v>887</v>
      </c>
      <c r="D1212" s="2" t="s">
        <v>1450</v>
      </c>
      <c r="E1212" s="2" t="s">
        <v>1451</v>
      </c>
      <c r="F1212" s="2">
        <v>30.09</v>
      </c>
      <c r="G1212" s="2" t="s">
        <v>1452</v>
      </c>
      <c r="H1212" s="2">
        <v>60</v>
      </c>
      <c r="I1212" s="2">
        <v>120</v>
      </c>
      <c r="J1212" s="5" t="s">
        <v>1430</v>
      </c>
      <c r="K1212" s="2" t="s">
        <v>1420</v>
      </c>
    </row>
    <row r="1213" spans="1:11" x14ac:dyDescent="0.2">
      <c r="A1213" s="3" t="s">
        <v>879</v>
      </c>
      <c r="B1213" s="3" t="s">
        <v>886</v>
      </c>
      <c r="C1213" s="3" t="s">
        <v>887</v>
      </c>
      <c r="D1213" s="3" t="s">
        <v>1435</v>
      </c>
      <c r="E1213" s="3" t="s">
        <v>1436</v>
      </c>
      <c r="F1213" s="3">
        <v>1.62</v>
      </c>
      <c r="G1213" s="3" t="s">
        <v>1415</v>
      </c>
      <c r="H1213" s="3">
        <v>0.8</v>
      </c>
      <c r="I1213" s="3">
        <v>1.5</v>
      </c>
      <c r="J1213" s="5" t="s">
        <v>1426</v>
      </c>
      <c r="K1213" s="3" t="s">
        <v>1434</v>
      </c>
    </row>
    <row r="1214" spans="1:11" x14ac:dyDescent="0.2">
      <c r="A1214" s="2" t="s">
        <v>879</v>
      </c>
      <c r="B1214" s="2" t="s">
        <v>886</v>
      </c>
      <c r="C1214" s="2" t="s">
        <v>887</v>
      </c>
      <c r="D1214" s="2" t="s">
        <v>1421</v>
      </c>
      <c r="E1214" s="2" t="s">
        <v>1422</v>
      </c>
      <c r="F1214" s="2">
        <v>3.8</v>
      </c>
      <c r="G1214" s="2" t="s">
        <v>1415</v>
      </c>
      <c r="H1214" s="2">
        <v>0</v>
      </c>
      <c r="I1214" s="2">
        <v>5</v>
      </c>
      <c r="J1214" s="2" t="s">
        <v>1416</v>
      </c>
      <c r="K1214" s="2" t="s">
        <v>1417</v>
      </c>
    </row>
    <row r="1215" spans="1:11" x14ac:dyDescent="0.2">
      <c r="A1215" s="3" t="s">
        <v>879</v>
      </c>
      <c r="B1215" s="3" t="s">
        <v>886</v>
      </c>
      <c r="C1215" s="3" t="s">
        <v>887</v>
      </c>
      <c r="D1215" s="3" t="s">
        <v>1443</v>
      </c>
      <c r="E1215" s="3" t="s">
        <v>1444</v>
      </c>
      <c r="F1215" s="3">
        <v>55.81</v>
      </c>
      <c r="G1215" s="3" t="s">
        <v>1445</v>
      </c>
      <c r="H1215" s="3">
        <v>53</v>
      </c>
      <c r="I1215" s="3">
        <v>97</v>
      </c>
      <c r="J1215" s="3" t="s">
        <v>1416</v>
      </c>
      <c r="K1215" s="3" t="s">
        <v>1431</v>
      </c>
    </row>
    <row r="1216" spans="1:11" x14ac:dyDescent="0.2">
      <c r="A1216" s="2" t="s">
        <v>879</v>
      </c>
      <c r="B1216" s="2" t="s">
        <v>886</v>
      </c>
      <c r="C1216" s="2" t="s">
        <v>887</v>
      </c>
      <c r="D1216" s="2" t="s">
        <v>1413</v>
      </c>
      <c r="E1216" s="2" t="s">
        <v>1414</v>
      </c>
      <c r="F1216" s="2">
        <v>0.84</v>
      </c>
      <c r="G1216" s="2" t="s">
        <v>1415</v>
      </c>
      <c r="H1216" s="2">
        <v>1</v>
      </c>
      <c r="I1216" s="2">
        <v>5</v>
      </c>
      <c r="J1216" s="5" t="s">
        <v>1430</v>
      </c>
      <c r="K1216" s="2" t="s">
        <v>1417</v>
      </c>
    </row>
    <row r="1217" spans="1:11" x14ac:dyDescent="0.2">
      <c r="A1217" s="3" t="s">
        <v>879</v>
      </c>
      <c r="B1217" s="3" t="s">
        <v>886</v>
      </c>
      <c r="C1217" s="3" t="s">
        <v>887</v>
      </c>
      <c r="D1217" s="3" t="s">
        <v>1453</v>
      </c>
      <c r="E1217" s="3" t="s">
        <v>1454</v>
      </c>
      <c r="F1217" s="3">
        <v>4.97</v>
      </c>
      <c r="G1217" s="3" t="s">
        <v>1415</v>
      </c>
      <c r="H1217" s="3">
        <v>3.9</v>
      </c>
      <c r="I1217" s="3">
        <v>5.5</v>
      </c>
      <c r="J1217" s="3" t="s">
        <v>1416</v>
      </c>
      <c r="K1217" s="3" t="s">
        <v>1420</v>
      </c>
    </row>
    <row r="1218" spans="1:11" x14ac:dyDescent="0.2">
      <c r="A1218" s="2" t="s">
        <v>879</v>
      </c>
      <c r="B1218" s="2" t="s">
        <v>886</v>
      </c>
      <c r="C1218" s="2" t="s">
        <v>887</v>
      </c>
      <c r="D1218" s="2" t="s">
        <v>1418</v>
      </c>
      <c r="E1218" s="2" t="s">
        <v>1419</v>
      </c>
      <c r="F1218" s="2">
        <v>5</v>
      </c>
      <c r="G1218" s="2" t="s">
        <v>1415</v>
      </c>
      <c r="H1218" s="2">
        <v>3.5</v>
      </c>
      <c r="I1218" s="2">
        <v>5</v>
      </c>
      <c r="J1218" s="2" t="s">
        <v>1416</v>
      </c>
      <c r="K1218" s="2" t="s">
        <v>1417</v>
      </c>
    </row>
    <row r="1219" spans="1:11" x14ac:dyDescent="0.2">
      <c r="A1219" s="3" t="s">
        <v>879</v>
      </c>
      <c r="B1219" s="3" t="s">
        <v>886</v>
      </c>
      <c r="C1219" s="3" t="s">
        <v>887</v>
      </c>
      <c r="D1219" s="3" t="s">
        <v>1427</v>
      </c>
      <c r="E1219" s="3" t="s">
        <v>1428</v>
      </c>
      <c r="F1219" s="3">
        <v>10.44</v>
      </c>
      <c r="G1219" s="3" t="s">
        <v>1429</v>
      </c>
      <c r="H1219" s="3">
        <v>4</v>
      </c>
      <c r="I1219" s="3">
        <v>11</v>
      </c>
      <c r="J1219" s="3" t="s">
        <v>1416</v>
      </c>
      <c r="K1219" s="3" t="s">
        <v>1434</v>
      </c>
    </row>
    <row r="1220" spans="1:11" x14ac:dyDescent="0.2">
      <c r="A1220" s="2" t="s">
        <v>879</v>
      </c>
      <c r="B1220" s="2" t="s">
        <v>889</v>
      </c>
      <c r="C1220" s="2" t="s">
        <v>890</v>
      </c>
      <c r="D1220" s="2" t="s">
        <v>1413</v>
      </c>
      <c r="E1220" s="2" t="s">
        <v>1414</v>
      </c>
      <c r="F1220" s="2">
        <v>2.15</v>
      </c>
      <c r="G1220" s="2" t="s">
        <v>1415</v>
      </c>
      <c r="H1220" s="2">
        <v>1</v>
      </c>
      <c r="I1220" s="2">
        <v>5</v>
      </c>
      <c r="J1220" s="2" t="s">
        <v>1416</v>
      </c>
      <c r="K1220" s="2" t="s">
        <v>1417</v>
      </c>
    </row>
    <row r="1221" spans="1:11" x14ac:dyDescent="0.2">
      <c r="A1221" s="3" t="s">
        <v>879</v>
      </c>
      <c r="B1221" s="3" t="s">
        <v>889</v>
      </c>
      <c r="C1221" s="3" t="s">
        <v>890</v>
      </c>
      <c r="D1221" s="3" t="s">
        <v>1448</v>
      </c>
      <c r="E1221" s="3" t="s">
        <v>1449</v>
      </c>
      <c r="F1221" s="3">
        <v>138.65</v>
      </c>
      <c r="G1221" s="3" t="s">
        <v>1415</v>
      </c>
      <c r="H1221" s="3">
        <v>136</v>
      </c>
      <c r="I1221" s="3">
        <v>145</v>
      </c>
      <c r="J1221" s="3" t="s">
        <v>1416</v>
      </c>
      <c r="K1221" s="3" t="s">
        <v>1417</v>
      </c>
    </row>
    <row r="1222" spans="1:11" x14ac:dyDescent="0.2">
      <c r="A1222" s="2" t="s">
        <v>879</v>
      </c>
      <c r="B1222" s="2" t="s">
        <v>889</v>
      </c>
      <c r="C1222" s="2" t="s">
        <v>890</v>
      </c>
      <c r="D1222" s="2" t="s">
        <v>1421</v>
      </c>
      <c r="E1222" s="2" t="s">
        <v>1422</v>
      </c>
      <c r="F1222" s="2">
        <v>3.87</v>
      </c>
      <c r="G1222" s="2" t="s">
        <v>1415</v>
      </c>
      <c r="H1222" s="2">
        <v>0</v>
      </c>
      <c r="I1222" s="2">
        <v>5</v>
      </c>
      <c r="J1222" s="2" t="s">
        <v>1416</v>
      </c>
      <c r="K1222" s="2" t="s">
        <v>1417</v>
      </c>
    </row>
    <row r="1223" spans="1:11" x14ac:dyDescent="0.2">
      <c r="A1223" s="3" t="s">
        <v>879</v>
      </c>
      <c r="B1223" s="3" t="s">
        <v>889</v>
      </c>
      <c r="C1223" s="3" t="s">
        <v>890</v>
      </c>
      <c r="D1223" s="3" t="s">
        <v>1453</v>
      </c>
      <c r="E1223" s="3" t="s">
        <v>1454</v>
      </c>
      <c r="F1223" s="3">
        <v>6.8</v>
      </c>
      <c r="G1223" s="3" t="s">
        <v>1415</v>
      </c>
      <c r="H1223" s="3">
        <v>3.9</v>
      </c>
      <c r="I1223" s="3">
        <v>5.5</v>
      </c>
      <c r="J1223" s="5" t="s">
        <v>1426</v>
      </c>
      <c r="K1223" s="3" t="s">
        <v>1417</v>
      </c>
    </row>
    <row r="1224" spans="1:11" x14ac:dyDescent="0.2">
      <c r="A1224" s="2" t="s">
        <v>879</v>
      </c>
      <c r="B1224" s="2" t="s">
        <v>889</v>
      </c>
      <c r="C1224" s="2" t="s">
        <v>890</v>
      </c>
      <c r="D1224" s="2" t="s">
        <v>1455</v>
      </c>
      <c r="E1224" s="2" t="s">
        <v>1456</v>
      </c>
      <c r="F1224" s="2">
        <v>121.02</v>
      </c>
      <c r="G1224" s="2" t="s">
        <v>1457</v>
      </c>
      <c r="H1224" s="2">
        <v>40</v>
      </c>
      <c r="I1224" s="2">
        <v>130</v>
      </c>
      <c r="J1224" s="2" t="s">
        <v>1416</v>
      </c>
      <c r="K1224" s="2" t="s">
        <v>1431</v>
      </c>
    </row>
    <row r="1225" spans="1:11" x14ac:dyDescent="0.2">
      <c r="A1225" s="3" t="s">
        <v>879</v>
      </c>
      <c r="B1225" s="3" t="s">
        <v>892</v>
      </c>
      <c r="C1225" s="3" t="s">
        <v>893</v>
      </c>
      <c r="D1225" s="3" t="s">
        <v>1443</v>
      </c>
      <c r="E1225" s="3" t="s">
        <v>1444</v>
      </c>
      <c r="F1225" s="3">
        <v>83.58</v>
      </c>
      <c r="G1225" s="3" t="s">
        <v>1445</v>
      </c>
      <c r="H1225" s="3">
        <v>53</v>
      </c>
      <c r="I1225" s="3">
        <v>97</v>
      </c>
      <c r="J1225" s="3" t="s">
        <v>1416</v>
      </c>
      <c r="K1225" s="3" t="s">
        <v>1417</v>
      </c>
    </row>
    <row r="1226" spans="1:11" x14ac:dyDescent="0.2">
      <c r="A1226" s="2" t="s">
        <v>879</v>
      </c>
      <c r="B1226" s="2" t="s">
        <v>892</v>
      </c>
      <c r="C1226" s="2" t="s">
        <v>893</v>
      </c>
      <c r="D1226" s="2" t="s">
        <v>1448</v>
      </c>
      <c r="E1226" s="2" t="s">
        <v>1449</v>
      </c>
      <c r="F1226" s="2">
        <v>136.36000000000001</v>
      </c>
      <c r="G1226" s="2" t="s">
        <v>1415</v>
      </c>
      <c r="H1226" s="2">
        <v>136</v>
      </c>
      <c r="I1226" s="2">
        <v>145</v>
      </c>
      <c r="J1226" s="2" t="s">
        <v>1416</v>
      </c>
      <c r="K1226" s="2" t="s">
        <v>1434</v>
      </c>
    </row>
    <row r="1227" spans="1:11" x14ac:dyDescent="0.2">
      <c r="A1227" s="3" t="s">
        <v>879</v>
      </c>
      <c r="B1227" s="3" t="s">
        <v>892</v>
      </c>
      <c r="C1227" s="3" t="s">
        <v>893</v>
      </c>
      <c r="D1227" s="3" t="s">
        <v>1435</v>
      </c>
      <c r="E1227" s="3" t="s">
        <v>1436</v>
      </c>
      <c r="F1227" s="3">
        <v>1.02</v>
      </c>
      <c r="G1227" s="3" t="s">
        <v>1415</v>
      </c>
      <c r="H1227" s="3">
        <v>0.8</v>
      </c>
      <c r="I1227" s="3">
        <v>1.5</v>
      </c>
      <c r="J1227" s="3" t="s">
        <v>1416</v>
      </c>
      <c r="K1227" s="3" t="s">
        <v>1431</v>
      </c>
    </row>
    <row r="1228" spans="1:11" x14ac:dyDescent="0.2">
      <c r="A1228" s="2" t="s">
        <v>879</v>
      </c>
      <c r="B1228" s="2" t="s">
        <v>892</v>
      </c>
      <c r="C1228" s="2" t="s">
        <v>893</v>
      </c>
      <c r="D1228" s="2" t="s">
        <v>1418</v>
      </c>
      <c r="E1228" s="2" t="s">
        <v>1419</v>
      </c>
      <c r="F1228" s="2">
        <v>4.2300000000000004</v>
      </c>
      <c r="G1228" s="2" t="s">
        <v>1415</v>
      </c>
      <c r="H1228" s="2">
        <v>3.5</v>
      </c>
      <c r="I1228" s="2">
        <v>5</v>
      </c>
      <c r="J1228" s="2" t="s">
        <v>1416</v>
      </c>
      <c r="K1228" s="2" t="s">
        <v>1417</v>
      </c>
    </row>
    <row r="1229" spans="1:11" x14ac:dyDescent="0.2">
      <c r="A1229" s="3" t="s">
        <v>879</v>
      </c>
      <c r="B1229" s="3" t="s">
        <v>892</v>
      </c>
      <c r="C1229" s="3" t="s">
        <v>893</v>
      </c>
      <c r="D1229" s="3" t="s">
        <v>1432</v>
      </c>
      <c r="E1229" s="3" t="s">
        <v>1433</v>
      </c>
      <c r="F1229" s="3">
        <v>3.34</v>
      </c>
      <c r="G1229" s="3" t="s">
        <v>1415</v>
      </c>
      <c r="H1229" s="3">
        <v>0</v>
      </c>
      <c r="I1229" s="3">
        <v>3</v>
      </c>
      <c r="J1229" s="5" t="s">
        <v>1426</v>
      </c>
      <c r="K1229" s="3" t="s">
        <v>1420</v>
      </c>
    </row>
    <row r="1230" spans="1:11" x14ac:dyDescent="0.2">
      <c r="A1230" s="2" t="s">
        <v>879</v>
      </c>
      <c r="B1230" s="2" t="s">
        <v>892</v>
      </c>
      <c r="C1230" s="2" t="s">
        <v>893</v>
      </c>
      <c r="D1230" s="2" t="s">
        <v>1427</v>
      </c>
      <c r="E1230" s="2" t="s">
        <v>1428</v>
      </c>
      <c r="F1230" s="2">
        <v>7.65</v>
      </c>
      <c r="G1230" s="2" t="s">
        <v>1429</v>
      </c>
      <c r="H1230" s="2">
        <v>4</v>
      </c>
      <c r="I1230" s="2">
        <v>11</v>
      </c>
      <c r="J1230" s="2" t="s">
        <v>1416</v>
      </c>
      <c r="K1230" s="2" t="s">
        <v>1434</v>
      </c>
    </row>
    <row r="1231" spans="1:11" x14ac:dyDescent="0.2">
      <c r="A1231" s="3" t="s">
        <v>895</v>
      </c>
      <c r="B1231" s="3" t="s">
        <v>896</v>
      </c>
      <c r="C1231" s="3" t="s">
        <v>405</v>
      </c>
      <c r="D1231" s="3" t="s">
        <v>1427</v>
      </c>
      <c r="E1231" s="3" t="s">
        <v>1428</v>
      </c>
      <c r="F1231" s="3">
        <v>15.9</v>
      </c>
      <c r="G1231" s="3" t="s">
        <v>1429</v>
      </c>
      <c r="H1231" s="3">
        <v>4</v>
      </c>
      <c r="I1231" s="3">
        <v>11</v>
      </c>
      <c r="J1231" s="5" t="s">
        <v>1426</v>
      </c>
      <c r="K1231" s="3" t="s">
        <v>1417</v>
      </c>
    </row>
    <row r="1232" spans="1:11" x14ac:dyDescent="0.2">
      <c r="A1232" s="2" t="s">
        <v>895</v>
      </c>
      <c r="B1232" s="2" t="s">
        <v>896</v>
      </c>
      <c r="C1232" s="2" t="s">
        <v>405</v>
      </c>
      <c r="D1232" s="2" t="s">
        <v>1440</v>
      </c>
      <c r="E1232" s="2" t="s">
        <v>1441</v>
      </c>
      <c r="F1232" s="2">
        <v>8.86</v>
      </c>
      <c r="G1232" s="2" t="s">
        <v>1442</v>
      </c>
      <c r="H1232" s="2">
        <v>4</v>
      </c>
      <c r="I1232" s="2">
        <v>5.6</v>
      </c>
      <c r="J1232" s="5" t="s">
        <v>1426</v>
      </c>
      <c r="K1232" s="2" t="s">
        <v>1434</v>
      </c>
    </row>
    <row r="1233" spans="1:11" x14ac:dyDescent="0.2">
      <c r="A1233" s="3" t="s">
        <v>895</v>
      </c>
      <c r="B1233" s="3" t="s">
        <v>896</v>
      </c>
      <c r="C1233" s="3" t="s">
        <v>405</v>
      </c>
      <c r="D1233" s="3" t="s">
        <v>1421</v>
      </c>
      <c r="E1233" s="3" t="s">
        <v>1422</v>
      </c>
      <c r="F1233" s="3">
        <v>4.07</v>
      </c>
      <c r="G1233" s="3" t="s">
        <v>1415</v>
      </c>
      <c r="H1233" s="3">
        <v>0</v>
      </c>
      <c r="I1233" s="3">
        <v>5</v>
      </c>
      <c r="J1233" s="3" t="s">
        <v>1416</v>
      </c>
      <c r="K1233" s="3" t="s">
        <v>1417</v>
      </c>
    </row>
    <row r="1234" spans="1:11" x14ac:dyDescent="0.2">
      <c r="A1234" s="2" t="s">
        <v>895</v>
      </c>
      <c r="B1234" s="2" t="s">
        <v>899</v>
      </c>
      <c r="C1234" s="2" t="s">
        <v>900</v>
      </c>
      <c r="D1234" s="2" t="s">
        <v>1435</v>
      </c>
      <c r="E1234" s="2" t="s">
        <v>1436</v>
      </c>
      <c r="F1234" s="2">
        <v>1.04</v>
      </c>
      <c r="G1234" s="2" t="s">
        <v>1415</v>
      </c>
      <c r="H1234" s="2">
        <v>0.8</v>
      </c>
      <c r="I1234" s="2">
        <v>1.5</v>
      </c>
      <c r="J1234" s="2" t="s">
        <v>1416</v>
      </c>
      <c r="K1234" s="2" t="s">
        <v>1420</v>
      </c>
    </row>
    <row r="1235" spans="1:11" x14ac:dyDescent="0.2">
      <c r="A1235" s="3" t="s">
        <v>895</v>
      </c>
      <c r="B1235" s="3" t="s">
        <v>899</v>
      </c>
      <c r="C1235" s="3" t="s">
        <v>900</v>
      </c>
      <c r="D1235" s="3" t="s">
        <v>1446</v>
      </c>
      <c r="E1235" s="3" t="s">
        <v>1447</v>
      </c>
      <c r="F1235" s="3">
        <v>2.8</v>
      </c>
      <c r="G1235" s="3" t="s">
        <v>1415</v>
      </c>
      <c r="H1235" s="3">
        <v>2.1</v>
      </c>
      <c r="I1235" s="3">
        <v>2.6</v>
      </c>
      <c r="J1235" s="5" t="s">
        <v>1426</v>
      </c>
      <c r="K1235" s="3" t="s">
        <v>1434</v>
      </c>
    </row>
    <row r="1236" spans="1:11" x14ac:dyDescent="0.2">
      <c r="A1236" s="2" t="s">
        <v>895</v>
      </c>
      <c r="B1236" s="2" t="s">
        <v>899</v>
      </c>
      <c r="C1236" s="2" t="s">
        <v>900</v>
      </c>
      <c r="D1236" s="2" t="s">
        <v>1423</v>
      </c>
      <c r="E1236" s="2" t="s">
        <v>1424</v>
      </c>
      <c r="F1236" s="2">
        <v>3.96</v>
      </c>
      <c r="G1236" s="2" t="s">
        <v>1425</v>
      </c>
      <c r="H1236" s="2">
        <v>4.5</v>
      </c>
      <c r="I1236" s="2">
        <v>5.5</v>
      </c>
      <c r="J1236" s="5" t="s">
        <v>1430</v>
      </c>
      <c r="K1236" s="2" t="s">
        <v>1417</v>
      </c>
    </row>
    <row r="1237" spans="1:11" x14ac:dyDescent="0.2">
      <c r="A1237" s="3" t="s">
        <v>895</v>
      </c>
      <c r="B1237" s="3" t="s">
        <v>899</v>
      </c>
      <c r="C1237" s="3" t="s">
        <v>900</v>
      </c>
      <c r="D1237" s="3" t="s">
        <v>1421</v>
      </c>
      <c r="E1237" s="3" t="s">
        <v>1422</v>
      </c>
      <c r="F1237" s="3">
        <v>6.99</v>
      </c>
      <c r="G1237" s="3" t="s">
        <v>1415</v>
      </c>
      <c r="H1237" s="3">
        <v>0</v>
      </c>
      <c r="I1237" s="3">
        <v>5</v>
      </c>
      <c r="J1237" s="5" t="s">
        <v>1426</v>
      </c>
      <c r="K1237" s="3" t="s">
        <v>1420</v>
      </c>
    </row>
    <row r="1238" spans="1:11" x14ac:dyDescent="0.2">
      <c r="A1238" s="2" t="s">
        <v>895</v>
      </c>
      <c r="B1238" s="2" t="s">
        <v>899</v>
      </c>
      <c r="C1238" s="2" t="s">
        <v>900</v>
      </c>
      <c r="D1238" s="2" t="s">
        <v>1443</v>
      </c>
      <c r="E1238" s="2" t="s">
        <v>1444</v>
      </c>
      <c r="F1238" s="2">
        <v>82.62</v>
      </c>
      <c r="G1238" s="2" t="s">
        <v>1445</v>
      </c>
      <c r="H1238" s="2">
        <v>53</v>
      </c>
      <c r="I1238" s="2">
        <v>97</v>
      </c>
      <c r="J1238" s="2" t="s">
        <v>1416</v>
      </c>
      <c r="K1238" s="2" t="s">
        <v>1417</v>
      </c>
    </row>
    <row r="1239" spans="1:11" x14ac:dyDescent="0.2">
      <c r="A1239" s="3" t="s">
        <v>895</v>
      </c>
      <c r="B1239" s="3" t="s">
        <v>899</v>
      </c>
      <c r="C1239" s="3" t="s">
        <v>900</v>
      </c>
      <c r="D1239" s="3" t="s">
        <v>1448</v>
      </c>
      <c r="E1239" s="3" t="s">
        <v>1449</v>
      </c>
      <c r="F1239" s="3">
        <v>141.18</v>
      </c>
      <c r="G1239" s="3" t="s">
        <v>1415</v>
      </c>
      <c r="H1239" s="3">
        <v>136</v>
      </c>
      <c r="I1239" s="3">
        <v>145</v>
      </c>
      <c r="J1239" s="3" t="s">
        <v>1416</v>
      </c>
      <c r="K1239" s="3" t="s">
        <v>1420</v>
      </c>
    </row>
    <row r="1240" spans="1:11" x14ac:dyDescent="0.2">
      <c r="A1240" s="2" t="s">
        <v>895</v>
      </c>
      <c r="B1240" s="2" t="s">
        <v>899</v>
      </c>
      <c r="C1240" s="2" t="s">
        <v>900</v>
      </c>
      <c r="D1240" s="2" t="s">
        <v>1413</v>
      </c>
      <c r="E1240" s="2" t="s">
        <v>1414</v>
      </c>
      <c r="F1240" s="2">
        <v>2.14</v>
      </c>
      <c r="G1240" s="2" t="s">
        <v>1415</v>
      </c>
      <c r="H1240" s="2">
        <v>1</v>
      </c>
      <c r="I1240" s="2">
        <v>5</v>
      </c>
      <c r="J1240" s="2" t="s">
        <v>1416</v>
      </c>
      <c r="K1240" s="2" t="s">
        <v>1431</v>
      </c>
    </row>
    <row r="1241" spans="1:11" x14ac:dyDescent="0.2">
      <c r="A1241" s="3" t="s">
        <v>895</v>
      </c>
      <c r="B1241" s="3" t="s">
        <v>902</v>
      </c>
      <c r="C1241" s="3" t="s">
        <v>903</v>
      </c>
      <c r="D1241" s="3" t="s">
        <v>1448</v>
      </c>
      <c r="E1241" s="3" t="s">
        <v>1449</v>
      </c>
      <c r="F1241" s="3">
        <v>145.88</v>
      </c>
      <c r="G1241" s="3" t="s">
        <v>1415</v>
      </c>
      <c r="H1241" s="3">
        <v>136</v>
      </c>
      <c r="I1241" s="3">
        <v>145</v>
      </c>
      <c r="J1241" s="5" t="s">
        <v>1426</v>
      </c>
      <c r="K1241" s="3" t="s">
        <v>1434</v>
      </c>
    </row>
    <row r="1242" spans="1:11" x14ac:dyDescent="0.2">
      <c r="A1242" s="2" t="s">
        <v>895</v>
      </c>
      <c r="B1242" s="2" t="s">
        <v>902</v>
      </c>
      <c r="C1242" s="2" t="s">
        <v>903</v>
      </c>
      <c r="D1242" s="2" t="s">
        <v>1435</v>
      </c>
      <c r="E1242" s="2" t="s">
        <v>1436</v>
      </c>
      <c r="F1242" s="2">
        <v>1.7</v>
      </c>
      <c r="G1242" s="2" t="s">
        <v>1415</v>
      </c>
      <c r="H1242" s="2">
        <v>0.8</v>
      </c>
      <c r="I1242" s="2">
        <v>1.5</v>
      </c>
      <c r="J1242" s="5" t="s">
        <v>1426</v>
      </c>
      <c r="K1242" s="2" t="s">
        <v>1417</v>
      </c>
    </row>
    <row r="1243" spans="1:11" x14ac:dyDescent="0.2">
      <c r="A1243" s="3" t="s">
        <v>895</v>
      </c>
      <c r="B1243" s="3" t="s">
        <v>902</v>
      </c>
      <c r="C1243" s="3" t="s">
        <v>903</v>
      </c>
      <c r="D1243" s="3" t="s">
        <v>1455</v>
      </c>
      <c r="E1243" s="3" t="s">
        <v>1456</v>
      </c>
      <c r="F1243" s="3">
        <v>253.76</v>
      </c>
      <c r="G1243" s="3" t="s">
        <v>1457</v>
      </c>
      <c r="H1243" s="3">
        <v>40</v>
      </c>
      <c r="I1243" s="3">
        <v>130</v>
      </c>
      <c r="J1243" s="5" t="s">
        <v>1426</v>
      </c>
      <c r="K1243" s="3" t="s">
        <v>1417</v>
      </c>
    </row>
    <row r="1244" spans="1:11" x14ac:dyDescent="0.2">
      <c r="A1244" s="2" t="s">
        <v>895</v>
      </c>
      <c r="B1244" s="2" t="s">
        <v>902</v>
      </c>
      <c r="C1244" s="2" t="s">
        <v>903</v>
      </c>
      <c r="D1244" s="2" t="s">
        <v>1427</v>
      </c>
      <c r="E1244" s="2" t="s">
        <v>1428</v>
      </c>
      <c r="F1244" s="2">
        <v>4.47</v>
      </c>
      <c r="G1244" s="2" t="s">
        <v>1429</v>
      </c>
      <c r="H1244" s="2">
        <v>4</v>
      </c>
      <c r="I1244" s="2">
        <v>11</v>
      </c>
      <c r="J1244" s="2" t="s">
        <v>1416</v>
      </c>
      <c r="K1244" s="2" t="s">
        <v>1434</v>
      </c>
    </row>
    <row r="1245" spans="1:11" x14ac:dyDescent="0.2">
      <c r="A1245" s="3" t="s">
        <v>895</v>
      </c>
      <c r="B1245" s="3" t="s">
        <v>902</v>
      </c>
      <c r="C1245" s="3" t="s">
        <v>903</v>
      </c>
      <c r="D1245" s="3" t="s">
        <v>1446</v>
      </c>
      <c r="E1245" s="3" t="s">
        <v>1447</v>
      </c>
      <c r="F1245" s="3">
        <v>1.99</v>
      </c>
      <c r="G1245" s="3" t="s">
        <v>1415</v>
      </c>
      <c r="H1245" s="3">
        <v>2.1</v>
      </c>
      <c r="I1245" s="3">
        <v>2.6</v>
      </c>
      <c r="J1245" s="5" t="s">
        <v>1430</v>
      </c>
      <c r="K1245" s="3" t="s">
        <v>1434</v>
      </c>
    </row>
    <row r="1246" spans="1:11" x14ac:dyDescent="0.2">
      <c r="A1246" s="2" t="s">
        <v>895</v>
      </c>
      <c r="B1246" s="2" t="s">
        <v>905</v>
      </c>
      <c r="C1246" s="2" t="s">
        <v>555</v>
      </c>
      <c r="D1246" s="2" t="s">
        <v>1421</v>
      </c>
      <c r="E1246" s="2" t="s">
        <v>1422</v>
      </c>
      <c r="F1246" s="2">
        <v>7.04</v>
      </c>
      <c r="G1246" s="2" t="s">
        <v>1415</v>
      </c>
      <c r="H1246" s="2">
        <v>0</v>
      </c>
      <c r="I1246" s="2">
        <v>5</v>
      </c>
      <c r="J1246" s="5" t="s">
        <v>1426</v>
      </c>
      <c r="K1246" s="2" t="s">
        <v>1417</v>
      </c>
    </row>
    <row r="1247" spans="1:11" x14ac:dyDescent="0.2">
      <c r="A1247" s="3" t="s">
        <v>895</v>
      </c>
      <c r="B1247" s="3" t="s">
        <v>905</v>
      </c>
      <c r="C1247" s="3" t="s">
        <v>555</v>
      </c>
      <c r="D1247" s="3" t="s">
        <v>1448</v>
      </c>
      <c r="E1247" s="3" t="s">
        <v>1449</v>
      </c>
      <c r="F1247" s="3">
        <v>135.56</v>
      </c>
      <c r="G1247" s="3" t="s">
        <v>1415</v>
      </c>
      <c r="H1247" s="3">
        <v>136</v>
      </c>
      <c r="I1247" s="3">
        <v>145</v>
      </c>
      <c r="J1247" s="5" t="s">
        <v>1430</v>
      </c>
      <c r="K1247" s="3" t="s">
        <v>1417</v>
      </c>
    </row>
    <row r="1248" spans="1:11" x14ac:dyDescent="0.2">
      <c r="A1248" s="2" t="s">
        <v>895</v>
      </c>
      <c r="B1248" s="2" t="s">
        <v>905</v>
      </c>
      <c r="C1248" s="2" t="s">
        <v>555</v>
      </c>
      <c r="D1248" s="2" t="s">
        <v>1453</v>
      </c>
      <c r="E1248" s="2" t="s">
        <v>1454</v>
      </c>
      <c r="F1248" s="2">
        <v>4.7</v>
      </c>
      <c r="G1248" s="2" t="s">
        <v>1415</v>
      </c>
      <c r="H1248" s="2">
        <v>3.9</v>
      </c>
      <c r="I1248" s="2">
        <v>5.5</v>
      </c>
      <c r="J1248" s="2" t="s">
        <v>1416</v>
      </c>
      <c r="K1248" s="2" t="s">
        <v>1417</v>
      </c>
    </row>
    <row r="1249" spans="1:11" x14ac:dyDescent="0.2">
      <c r="A1249" s="3" t="s">
        <v>895</v>
      </c>
      <c r="B1249" s="3" t="s">
        <v>905</v>
      </c>
      <c r="C1249" s="3" t="s">
        <v>555</v>
      </c>
      <c r="D1249" s="3" t="s">
        <v>1443</v>
      </c>
      <c r="E1249" s="3" t="s">
        <v>1444</v>
      </c>
      <c r="F1249" s="3">
        <v>70.98</v>
      </c>
      <c r="G1249" s="3" t="s">
        <v>1445</v>
      </c>
      <c r="H1249" s="3">
        <v>53</v>
      </c>
      <c r="I1249" s="3">
        <v>97</v>
      </c>
      <c r="J1249" s="3" t="s">
        <v>1416</v>
      </c>
      <c r="K1249" s="3" t="s">
        <v>1420</v>
      </c>
    </row>
    <row r="1250" spans="1:11" x14ac:dyDescent="0.2">
      <c r="A1250" s="2" t="s">
        <v>906</v>
      </c>
      <c r="B1250" s="2" t="s">
        <v>907</v>
      </c>
      <c r="C1250" s="2" t="s">
        <v>908</v>
      </c>
      <c r="D1250" s="2" t="s">
        <v>1418</v>
      </c>
      <c r="E1250" s="2" t="s">
        <v>1419</v>
      </c>
      <c r="F1250" s="2">
        <v>5.32</v>
      </c>
      <c r="G1250" s="2" t="s">
        <v>1415</v>
      </c>
      <c r="H1250" s="2">
        <v>3.5</v>
      </c>
      <c r="I1250" s="2">
        <v>5</v>
      </c>
      <c r="J1250" s="5" t="s">
        <v>1426</v>
      </c>
      <c r="K1250" s="2" t="s">
        <v>1420</v>
      </c>
    </row>
    <row r="1251" spans="1:11" x14ac:dyDescent="0.2">
      <c r="A1251" s="3" t="s">
        <v>906</v>
      </c>
      <c r="B1251" s="3" t="s">
        <v>907</v>
      </c>
      <c r="C1251" s="3" t="s">
        <v>908</v>
      </c>
      <c r="D1251" s="3" t="s">
        <v>1413</v>
      </c>
      <c r="E1251" s="3" t="s">
        <v>1414</v>
      </c>
      <c r="F1251" s="3">
        <v>1.48</v>
      </c>
      <c r="G1251" s="3" t="s">
        <v>1415</v>
      </c>
      <c r="H1251" s="3">
        <v>1</v>
      </c>
      <c r="I1251" s="3">
        <v>5</v>
      </c>
      <c r="J1251" s="3" t="s">
        <v>1416</v>
      </c>
      <c r="K1251" s="3" t="s">
        <v>1420</v>
      </c>
    </row>
    <row r="1252" spans="1:11" x14ac:dyDescent="0.2">
      <c r="A1252" s="2" t="s">
        <v>906</v>
      </c>
      <c r="B1252" s="2" t="s">
        <v>907</v>
      </c>
      <c r="C1252" s="2" t="s">
        <v>908</v>
      </c>
      <c r="D1252" s="2" t="s">
        <v>1435</v>
      </c>
      <c r="E1252" s="2" t="s">
        <v>1436</v>
      </c>
      <c r="F1252" s="2">
        <v>1.23</v>
      </c>
      <c r="G1252" s="2" t="s">
        <v>1415</v>
      </c>
      <c r="H1252" s="2">
        <v>0.8</v>
      </c>
      <c r="I1252" s="2">
        <v>1.5</v>
      </c>
      <c r="J1252" s="2" t="s">
        <v>1416</v>
      </c>
      <c r="K1252" s="2" t="s">
        <v>1431</v>
      </c>
    </row>
    <row r="1253" spans="1:11" x14ac:dyDescent="0.2">
      <c r="A1253" s="3" t="s">
        <v>906</v>
      </c>
      <c r="B1253" s="3" t="s">
        <v>911</v>
      </c>
      <c r="C1253" s="3" t="s">
        <v>912</v>
      </c>
      <c r="D1253" s="3" t="s">
        <v>1413</v>
      </c>
      <c r="E1253" s="3" t="s">
        <v>1414</v>
      </c>
      <c r="F1253" s="3">
        <v>1.9</v>
      </c>
      <c r="G1253" s="3" t="s">
        <v>1415</v>
      </c>
      <c r="H1253" s="3">
        <v>1</v>
      </c>
      <c r="I1253" s="3">
        <v>5</v>
      </c>
      <c r="J1253" s="3" t="s">
        <v>1416</v>
      </c>
      <c r="K1253" s="3" t="s">
        <v>1420</v>
      </c>
    </row>
    <row r="1254" spans="1:11" x14ac:dyDescent="0.2">
      <c r="A1254" s="2" t="s">
        <v>906</v>
      </c>
      <c r="B1254" s="2" t="s">
        <v>911</v>
      </c>
      <c r="C1254" s="2" t="s">
        <v>912</v>
      </c>
      <c r="D1254" s="2" t="s">
        <v>1427</v>
      </c>
      <c r="E1254" s="2" t="s">
        <v>1428</v>
      </c>
      <c r="F1254" s="2">
        <v>10.55</v>
      </c>
      <c r="G1254" s="2" t="s">
        <v>1429</v>
      </c>
      <c r="H1254" s="2">
        <v>4</v>
      </c>
      <c r="I1254" s="2">
        <v>11</v>
      </c>
      <c r="J1254" s="2" t="s">
        <v>1416</v>
      </c>
      <c r="K1254" s="2" t="s">
        <v>1420</v>
      </c>
    </row>
    <row r="1255" spans="1:11" x14ac:dyDescent="0.2">
      <c r="A1255" s="3" t="s">
        <v>906</v>
      </c>
      <c r="B1255" s="3" t="s">
        <v>911</v>
      </c>
      <c r="C1255" s="3" t="s">
        <v>912</v>
      </c>
      <c r="D1255" s="3" t="s">
        <v>1437</v>
      </c>
      <c r="E1255" s="3" t="s">
        <v>1438</v>
      </c>
      <c r="F1255" s="3">
        <v>12.14</v>
      </c>
      <c r="G1255" s="3" t="s">
        <v>1439</v>
      </c>
      <c r="H1255" s="3">
        <v>12</v>
      </c>
      <c r="I1255" s="3">
        <v>17.5</v>
      </c>
      <c r="J1255" s="3" t="s">
        <v>1416</v>
      </c>
      <c r="K1255" s="3" t="s">
        <v>1431</v>
      </c>
    </row>
    <row r="1256" spans="1:11" x14ac:dyDescent="0.2">
      <c r="A1256" s="2" t="s">
        <v>906</v>
      </c>
      <c r="B1256" s="2" t="s">
        <v>911</v>
      </c>
      <c r="C1256" s="2" t="s">
        <v>912</v>
      </c>
      <c r="D1256" s="2" t="s">
        <v>1421</v>
      </c>
      <c r="E1256" s="2" t="s">
        <v>1422</v>
      </c>
      <c r="F1256" s="2">
        <v>7.24</v>
      </c>
      <c r="G1256" s="2" t="s">
        <v>1415</v>
      </c>
      <c r="H1256" s="2">
        <v>0</v>
      </c>
      <c r="I1256" s="2">
        <v>5</v>
      </c>
      <c r="J1256" s="5" t="s">
        <v>1426</v>
      </c>
      <c r="K1256" s="2" t="s">
        <v>1431</v>
      </c>
    </row>
    <row r="1257" spans="1:11" x14ac:dyDescent="0.2">
      <c r="A1257" s="3" t="s">
        <v>906</v>
      </c>
      <c r="B1257" s="3" t="s">
        <v>913</v>
      </c>
      <c r="C1257" s="3" t="s">
        <v>914</v>
      </c>
      <c r="D1257" s="3" t="s">
        <v>1427</v>
      </c>
      <c r="E1257" s="3" t="s">
        <v>1428</v>
      </c>
      <c r="F1257" s="3">
        <v>7.42</v>
      </c>
      <c r="G1257" s="3" t="s">
        <v>1429</v>
      </c>
      <c r="H1257" s="3">
        <v>4</v>
      </c>
      <c r="I1257" s="3">
        <v>11</v>
      </c>
      <c r="J1257" s="3" t="s">
        <v>1416</v>
      </c>
      <c r="K1257" s="3" t="s">
        <v>1431</v>
      </c>
    </row>
    <row r="1258" spans="1:11" x14ac:dyDescent="0.2">
      <c r="A1258" s="2" t="s">
        <v>906</v>
      </c>
      <c r="B1258" s="2" t="s">
        <v>913</v>
      </c>
      <c r="C1258" s="2" t="s">
        <v>914</v>
      </c>
      <c r="D1258" s="2" t="s">
        <v>1435</v>
      </c>
      <c r="E1258" s="2" t="s">
        <v>1436</v>
      </c>
      <c r="F1258" s="2">
        <v>0.7</v>
      </c>
      <c r="G1258" s="2" t="s">
        <v>1415</v>
      </c>
      <c r="H1258" s="2">
        <v>0.8</v>
      </c>
      <c r="I1258" s="2">
        <v>1.5</v>
      </c>
      <c r="J1258" s="5" t="s">
        <v>1430</v>
      </c>
      <c r="K1258" s="2" t="s">
        <v>1434</v>
      </c>
    </row>
    <row r="1259" spans="1:11" x14ac:dyDescent="0.2">
      <c r="A1259" s="3" t="s">
        <v>906</v>
      </c>
      <c r="B1259" s="3" t="s">
        <v>913</v>
      </c>
      <c r="C1259" s="3" t="s">
        <v>914</v>
      </c>
      <c r="D1259" s="3" t="s">
        <v>1448</v>
      </c>
      <c r="E1259" s="3" t="s">
        <v>1449</v>
      </c>
      <c r="F1259" s="3">
        <v>147.9</v>
      </c>
      <c r="G1259" s="3" t="s">
        <v>1415</v>
      </c>
      <c r="H1259" s="3">
        <v>136</v>
      </c>
      <c r="I1259" s="3">
        <v>145</v>
      </c>
      <c r="J1259" s="5" t="s">
        <v>1426</v>
      </c>
      <c r="K1259" s="3" t="s">
        <v>1434</v>
      </c>
    </row>
    <row r="1260" spans="1:11" x14ac:dyDescent="0.2">
      <c r="A1260" s="2" t="s">
        <v>906</v>
      </c>
      <c r="B1260" s="2" t="s">
        <v>913</v>
      </c>
      <c r="C1260" s="2" t="s">
        <v>914</v>
      </c>
      <c r="D1260" s="2" t="s">
        <v>1443</v>
      </c>
      <c r="E1260" s="2" t="s">
        <v>1444</v>
      </c>
      <c r="F1260" s="2">
        <v>67.47</v>
      </c>
      <c r="G1260" s="2" t="s">
        <v>1445</v>
      </c>
      <c r="H1260" s="2">
        <v>53</v>
      </c>
      <c r="I1260" s="2">
        <v>97</v>
      </c>
      <c r="J1260" s="2" t="s">
        <v>1416</v>
      </c>
      <c r="K1260" s="2" t="s">
        <v>1431</v>
      </c>
    </row>
    <row r="1261" spans="1:11" x14ac:dyDescent="0.2">
      <c r="A1261" s="3" t="s">
        <v>906</v>
      </c>
      <c r="B1261" s="3" t="s">
        <v>916</v>
      </c>
      <c r="C1261" s="3" t="s">
        <v>917</v>
      </c>
      <c r="D1261" s="3" t="s">
        <v>1435</v>
      </c>
      <c r="E1261" s="3" t="s">
        <v>1436</v>
      </c>
      <c r="F1261" s="3">
        <v>0.93</v>
      </c>
      <c r="G1261" s="3" t="s">
        <v>1415</v>
      </c>
      <c r="H1261" s="3">
        <v>0.8</v>
      </c>
      <c r="I1261" s="3">
        <v>1.5</v>
      </c>
      <c r="J1261" s="3" t="s">
        <v>1416</v>
      </c>
      <c r="K1261" s="3" t="s">
        <v>1434</v>
      </c>
    </row>
    <row r="1262" spans="1:11" x14ac:dyDescent="0.2">
      <c r="A1262" s="2" t="s">
        <v>906</v>
      </c>
      <c r="B1262" s="2" t="s">
        <v>916</v>
      </c>
      <c r="C1262" s="2" t="s">
        <v>917</v>
      </c>
      <c r="D1262" s="2" t="s">
        <v>1453</v>
      </c>
      <c r="E1262" s="2" t="s">
        <v>1454</v>
      </c>
      <c r="F1262" s="2">
        <v>7.12</v>
      </c>
      <c r="G1262" s="2" t="s">
        <v>1415</v>
      </c>
      <c r="H1262" s="2">
        <v>3.9</v>
      </c>
      <c r="I1262" s="2">
        <v>5.5</v>
      </c>
      <c r="J1262" s="5" t="s">
        <v>1426</v>
      </c>
      <c r="K1262" s="2" t="s">
        <v>1431</v>
      </c>
    </row>
    <row r="1263" spans="1:11" x14ac:dyDescent="0.2">
      <c r="A1263" s="3" t="s">
        <v>906</v>
      </c>
      <c r="B1263" s="3" t="s">
        <v>916</v>
      </c>
      <c r="C1263" s="3" t="s">
        <v>917</v>
      </c>
      <c r="D1263" s="3" t="s">
        <v>1427</v>
      </c>
      <c r="E1263" s="3" t="s">
        <v>1428</v>
      </c>
      <c r="F1263" s="3">
        <v>3.53</v>
      </c>
      <c r="G1263" s="3" t="s">
        <v>1429</v>
      </c>
      <c r="H1263" s="3">
        <v>4</v>
      </c>
      <c r="I1263" s="3">
        <v>11</v>
      </c>
      <c r="J1263" s="5" t="s">
        <v>1430</v>
      </c>
      <c r="K1263" s="3" t="s">
        <v>1431</v>
      </c>
    </row>
    <row r="1264" spans="1:11" x14ac:dyDescent="0.2">
      <c r="A1264" s="2" t="s">
        <v>906</v>
      </c>
      <c r="B1264" s="2" t="s">
        <v>916</v>
      </c>
      <c r="C1264" s="2" t="s">
        <v>917</v>
      </c>
      <c r="D1264" s="2" t="s">
        <v>1448</v>
      </c>
      <c r="E1264" s="2" t="s">
        <v>1449</v>
      </c>
      <c r="F1264" s="2">
        <v>138.16999999999999</v>
      </c>
      <c r="G1264" s="2" t="s">
        <v>1415</v>
      </c>
      <c r="H1264" s="2">
        <v>136</v>
      </c>
      <c r="I1264" s="2">
        <v>145</v>
      </c>
      <c r="J1264" s="2" t="s">
        <v>1416</v>
      </c>
      <c r="K1264" s="2" t="s">
        <v>1434</v>
      </c>
    </row>
    <row r="1265" spans="1:11" x14ac:dyDescent="0.2">
      <c r="A1265" s="3" t="s">
        <v>919</v>
      </c>
      <c r="B1265" s="3" t="s">
        <v>920</v>
      </c>
      <c r="C1265" s="3" t="s">
        <v>921</v>
      </c>
      <c r="D1265" s="3" t="s">
        <v>1413</v>
      </c>
      <c r="E1265" s="3" t="s">
        <v>1414</v>
      </c>
      <c r="F1265" s="3">
        <v>1.79</v>
      </c>
      <c r="G1265" s="3" t="s">
        <v>1415</v>
      </c>
      <c r="H1265" s="3">
        <v>1</v>
      </c>
      <c r="I1265" s="3">
        <v>5</v>
      </c>
      <c r="J1265" s="3" t="s">
        <v>1416</v>
      </c>
      <c r="K1265" s="3" t="s">
        <v>1420</v>
      </c>
    </row>
    <row r="1266" spans="1:11" x14ac:dyDescent="0.2">
      <c r="A1266" s="2" t="s">
        <v>919</v>
      </c>
      <c r="B1266" s="2" t="s">
        <v>920</v>
      </c>
      <c r="C1266" s="2" t="s">
        <v>921</v>
      </c>
      <c r="D1266" s="2" t="s">
        <v>1455</v>
      </c>
      <c r="E1266" s="2" t="s">
        <v>1456</v>
      </c>
      <c r="F1266" s="2">
        <v>229.84</v>
      </c>
      <c r="G1266" s="2" t="s">
        <v>1457</v>
      </c>
      <c r="H1266" s="2">
        <v>40</v>
      </c>
      <c r="I1266" s="2">
        <v>130</v>
      </c>
      <c r="J1266" s="5" t="s">
        <v>1426</v>
      </c>
      <c r="K1266" s="2" t="s">
        <v>1417</v>
      </c>
    </row>
    <row r="1267" spans="1:11" x14ac:dyDescent="0.2">
      <c r="A1267" s="3" t="s">
        <v>919</v>
      </c>
      <c r="B1267" s="3" t="s">
        <v>920</v>
      </c>
      <c r="C1267" s="3" t="s">
        <v>921</v>
      </c>
      <c r="D1267" s="3" t="s">
        <v>1418</v>
      </c>
      <c r="E1267" s="3" t="s">
        <v>1419</v>
      </c>
      <c r="F1267" s="3">
        <v>5.35</v>
      </c>
      <c r="G1267" s="3" t="s">
        <v>1415</v>
      </c>
      <c r="H1267" s="3">
        <v>3.5</v>
      </c>
      <c r="I1267" s="3">
        <v>5</v>
      </c>
      <c r="J1267" s="5" t="s">
        <v>1426</v>
      </c>
      <c r="K1267" s="3" t="s">
        <v>1431</v>
      </c>
    </row>
    <row r="1268" spans="1:11" x14ac:dyDescent="0.2">
      <c r="A1268" s="2" t="s">
        <v>919</v>
      </c>
      <c r="B1268" s="2" t="s">
        <v>920</v>
      </c>
      <c r="C1268" s="2" t="s">
        <v>921</v>
      </c>
      <c r="D1268" s="2" t="s">
        <v>1423</v>
      </c>
      <c r="E1268" s="2" t="s">
        <v>1424</v>
      </c>
      <c r="F1268" s="2">
        <v>3.23</v>
      </c>
      <c r="G1268" s="2" t="s">
        <v>1425</v>
      </c>
      <c r="H1268" s="2">
        <v>4.5</v>
      </c>
      <c r="I1268" s="2">
        <v>5.5</v>
      </c>
      <c r="J1268" s="5" t="s">
        <v>1430</v>
      </c>
      <c r="K1268" s="2" t="s">
        <v>1431</v>
      </c>
    </row>
    <row r="1269" spans="1:11" x14ac:dyDescent="0.2">
      <c r="A1269" s="3" t="s">
        <v>919</v>
      </c>
      <c r="B1269" s="3" t="s">
        <v>924</v>
      </c>
      <c r="C1269" s="3" t="s">
        <v>925</v>
      </c>
      <c r="D1269" s="3" t="s">
        <v>1435</v>
      </c>
      <c r="E1269" s="3" t="s">
        <v>1436</v>
      </c>
      <c r="F1269" s="3">
        <v>0.73</v>
      </c>
      <c r="G1269" s="3" t="s">
        <v>1415</v>
      </c>
      <c r="H1269" s="3">
        <v>0.8</v>
      </c>
      <c r="I1269" s="3">
        <v>1.5</v>
      </c>
      <c r="J1269" s="5" t="s">
        <v>1430</v>
      </c>
      <c r="K1269" s="3" t="s">
        <v>1434</v>
      </c>
    </row>
    <row r="1270" spans="1:11" x14ac:dyDescent="0.2">
      <c r="A1270" s="2" t="s">
        <v>919</v>
      </c>
      <c r="B1270" s="2" t="s">
        <v>924</v>
      </c>
      <c r="C1270" s="2" t="s">
        <v>925</v>
      </c>
      <c r="D1270" s="2" t="s">
        <v>1421</v>
      </c>
      <c r="E1270" s="2" t="s">
        <v>1422</v>
      </c>
      <c r="F1270" s="2">
        <v>4.01</v>
      </c>
      <c r="G1270" s="2" t="s">
        <v>1415</v>
      </c>
      <c r="H1270" s="2">
        <v>0</v>
      </c>
      <c r="I1270" s="2">
        <v>5</v>
      </c>
      <c r="J1270" s="2" t="s">
        <v>1416</v>
      </c>
      <c r="K1270" s="2" t="s">
        <v>1417</v>
      </c>
    </row>
    <row r="1271" spans="1:11" x14ac:dyDescent="0.2">
      <c r="A1271" s="3" t="s">
        <v>919</v>
      </c>
      <c r="B1271" s="3" t="s">
        <v>924</v>
      </c>
      <c r="C1271" s="3" t="s">
        <v>925</v>
      </c>
      <c r="D1271" s="3" t="s">
        <v>1413</v>
      </c>
      <c r="E1271" s="3" t="s">
        <v>1414</v>
      </c>
      <c r="F1271" s="3">
        <v>1.2</v>
      </c>
      <c r="G1271" s="3" t="s">
        <v>1415</v>
      </c>
      <c r="H1271" s="3">
        <v>1</v>
      </c>
      <c r="I1271" s="3">
        <v>5</v>
      </c>
      <c r="J1271" s="3" t="s">
        <v>1416</v>
      </c>
      <c r="K1271" s="3" t="s">
        <v>1420</v>
      </c>
    </row>
    <row r="1272" spans="1:11" x14ac:dyDescent="0.2">
      <c r="A1272" s="2" t="s">
        <v>919</v>
      </c>
      <c r="B1272" s="2" t="s">
        <v>927</v>
      </c>
      <c r="C1272" s="2" t="s">
        <v>928</v>
      </c>
      <c r="D1272" s="2" t="s">
        <v>1446</v>
      </c>
      <c r="E1272" s="2" t="s">
        <v>1447</v>
      </c>
      <c r="F1272" s="2">
        <v>2.99</v>
      </c>
      <c r="G1272" s="2" t="s">
        <v>1415</v>
      </c>
      <c r="H1272" s="2">
        <v>2.1</v>
      </c>
      <c r="I1272" s="2">
        <v>2.6</v>
      </c>
      <c r="J1272" s="5" t="s">
        <v>1426</v>
      </c>
      <c r="K1272" s="2" t="s">
        <v>1434</v>
      </c>
    </row>
    <row r="1273" spans="1:11" x14ac:dyDescent="0.2">
      <c r="A1273" s="3" t="s">
        <v>919</v>
      </c>
      <c r="B1273" s="3" t="s">
        <v>927</v>
      </c>
      <c r="C1273" s="3" t="s">
        <v>928</v>
      </c>
      <c r="D1273" s="3" t="s">
        <v>1423</v>
      </c>
      <c r="E1273" s="3" t="s">
        <v>1424</v>
      </c>
      <c r="F1273" s="3">
        <v>5.79</v>
      </c>
      <c r="G1273" s="3" t="s">
        <v>1425</v>
      </c>
      <c r="H1273" s="3">
        <v>4.5</v>
      </c>
      <c r="I1273" s="3">
        <v>5.5</v>
      </c>
      <c r="J1273" s="5" t="s">
        <v>1426</v>
      </c>
      <c r="K1273" s="3" t="s">
        <v>1431</v>
      </c>
    </row>
    <row r="1274" spans="1:11" x14ac:dyDescent="0.2">
      <c r="A1274" s="2" t="s">
        <v>919</v>
      </c>
      <c r="B1274" s="2" t="s">
        <v>927</v>
      </c>
      <c r="C1274" s="2" t="s">
        <v>928</v>
      </c>
      <c r="D1274" s="2" t="s">
        <v>1437</v>
      </c>
      <c r="E1274" s="2" t="s">
        <v>1438</v>
      </c>
      <c r="F1274" s="2">
        <v>7.86</v>
      </c>
      <c r="G1274" s="2" t="s">
        <v>1439</v>
      </c>
      <c r="H1274" s="2">
        <v>12</v>
      </c>
      <c r="I1274" s="2">
        <v>17.5</v>
      </c>
      <c r="J1274" s="5" t="s">
        <v>1430</v>
      </c>
      <c r="K1274" s="2" t="s">
        <v>1417</v>
      </c>
    </row>
    <row r="1275" spans="1:11" x14ac:dyDescent="0.2">
      <c r="A1275" s="3" t="s">
        <v>919</v>
      </c>
      <c r="B1275" s="3" t="s">
        <v>927</v>
      </c>
      <c r="C1275" s="3" t="s">
        <v>928</v>
      </c>
      <c r="D1275" s="3" t="s">
        <v>1448</v>
      </c>
      <c r="E1275" s="3" t="s">
        <v>1449</v>
      </c>
      <c r="F1275" s="3">
        <v>146.12</v>
      </c>
      <c r="G1275" s="3" t="s">
        <v>1415</v>
      </c>
      <c r="H1275" s="3">
        <v>136</v>
      </c>
      <c r="I1275" s="3">
        <v>145</v>
      </c>
      <c r="J1275" s="5" t="s">
        <v>1426</v>
      </c>
      <c r="K1275" s="3" t="s">
        <v>1420</v>
      </c>
    </row>
    <row r="1276" spans="1:11" x14ac:dyDescent="0.2">
      <c r="A1276" s="2" t="s">
        <v>919</v>
      </c>
      <c r="B1276" s="2" t="s">
        <v>927</v>
      </c>
      <c r="C1276" s="2" t="s">
        <v>928</v>
      </c>
      <c r="D1276" s="2" t="s">
        <v>1421</v>
      </c>
      <c r="E1276" s="2" t="s">
        <v>1422</v>
      </c>
      <c r="F1276" s="2">
        <v>3.81</v>
      </c>
      <c r="G1276" s="2" t="s">
        <v>1415</v>
      </c>
      <c r="H1276" s="2">
        <v>0</v>
      </c>
      <c r="I1276" s="2">
        <v>5</v>
      </c>
      <c r="J1276" s="2" t="s">
        <v>1416</v>
      </c>
      <c r="K1276" s="2" t="s">
        <v>1434</v>
      </c>
    </row>
    <row r="1277" spans="1:11" x14ac:dyDescent="0.2">
      <c r="A1277" s="3" t="s">
        <v>919</v>
      </c>
      <c r="B1277" s="3" t="s">
        <v>927</v>
      </c>
      <c r="C1277" s="3" t="s">
        <v>928</v>
      </c>
      <c r="D1277" s="3" t="s">
        <v>1440</v>
      </c>
      <c r="E1277" s="3" t="s">
        <v>1441</v>
      </c>
      <c r="F1277" s="3">
        <v>5.89</v>
      </c>
      <c r="G1277" s="3" t="s">
        <v>1442</v>
      </c>
      <c r="H1277" s="3">
        <v>4</v>
      </c>
      <c r="I1277" s="3">
        <v>5.6</v>
      </c>
      <c r="J1277" s="5" t="s">
        <v>1426</v>
      </c>
      <c r="K1277" s="3" t="s">
        <v>1417</v>
      </c>
    </row>
    <row r="1278" spans="1:11" x14ac:dyDescent="0.2">
      <c r="A1278" s="2" t="s">
        <v>919</v>
      </c>
      <c r="B1278" s="2" t="s">
        <v>927</v>
      </c>
      <c r="C1278" s="2" t="s">
        <v>928</v>
      </c>
      <c r="D1278" s="2" t="s">
        <v>1443</v>
      </c>
      <c r="E1278" s="2" t="s">
        <v>1444</v>
      </c>
      <c r="F1278" s="2">
        <v>72.02</v>
      </c>
      <c r="G1278" s="2" t="s">
        <v>1445</v>
      </c>
      <c r="H1278" s="2">
        <v>53</v>
      </c>
      <c r="I1278" s="2">
        <v>97</v>
      </c>
      <c r="J1278" s="2" t="s">
        <v>1416</v>
      </c>
      <c r="K1278" s="2" t="s">
        <v>1417</v>
      </c>
    </row>
    <row r="1279" spans="1:11" x14ac:dyDescent="0.2">
      <c r="A1279" s="3" t="s">
        <v>919</v>
      </c>
      <c r="B1279" s="3" t="s">
        <v>927</v>
      </c>
      <c r="C1279" s="3" t="s">
        <v>928</v>
      </c>
      <c r="D1279" s="3" t="s">
        <v>1450</v>
      </c>
      <c r="E1279" s="3" t="s">
        <v>1451</v>
      </c>
      <c r="F1279" s="3">
        <v>52.62</v>
      </c>
      <c r="G1279" s="3" t="s">
        <v>1452</v>
      </c>
      <c r="H1279" s="3">
        <v>60</v>
      </c>
      <c r="I1279" s="3">
        <v>120</v>
      </c>
      <c r="J1279" s="5" t="s">
        <v>1430</v>
      </c>
      <c r="K1279" s="3" t="s">
        <v>1434</v>
      </c>
    </row>
    <row r="1280" spans="1:11" x14ac:dyDescent="0.2">
      <c r="A1280" s="2" t="s">
        <v>919</v>
      </c>
      <c r="B1280" s="2" t="s">
        <v>929</v>
      </c>
      <c r="C1280" s="2" t="s">
        <v>930</v>
      </c>
      <c r="D1280" s="2" t="s">
        <v>1427</v>
      </c>
      <c r="E1280" s="2" t="s">
        <v>1428</v>
      </c>
      <c r="F1280" s="2">
        <v>13.45</v>
      </c>
      <c r="G1280" s="2" t="s">
        <v>1429</v>
      </c>
      <c r="H1280" s="2">
        <v>4</v>
      </c>
      <c r="I1280" s="2">
        <v>11</v>
      </c>
      <c r="J1280" s="5" t="s">
        <v>1426</v>
      </c>
      <c r="K1280" s="2" t="s">
        <v>1420</v>
      </c>
    </row>
    <row r="1281" spans="1:11" x14ac:dyDescent="0.2">
      <c r="A1281" s="3" t="s">
        <v>919</v>
      </c>
      <c r="B1281" s="3" t="s">
        <v>929</v>
      </c>
      <c r="C1281" s="3" t="s">
        <v>930</v>
      </c>
      <c r="D1281" s="3" t="s">
        <v>1418</v>
      </c>
      <c r="E1281" s="3" t="s">
        <v>1419</v>
      </c>
      <c r="F1281" s="3">
        <v>3.92</v>
      </c>
      <c r="G1281" s="3" t="s">
        <v>1415</v>
      </c>
      <c r="H1281" s="3">
        <v>3.5</v>
      </c>
      <c r="I1281" s="3">
        <v>5</v>
      </c>
      <c r="J1281" s="3" t="s">
        <v>1416</v>
      </c>
      <c r="K1281" s="3" t="s">
        <v>1420</v>
      </c>
    </row>
    <row r="1282" spans="1:11" x14ac:dyDescent="0.2">
      <c r="A1282" s="2" t="s">
        <v>919</v>
      </c>
      <c r="B1282" s="2" t="s">
        <v>929</v>
      </c>
      <c r="C1282" s="2" t="s">
        <v>930</v>
      </c>
      <c r="D1282" s="2" t="s">
        <v>1446</v>
      </c>
      <c r="E1282" s="2" t="s">
        <v>1447</v>
      </c>
      <c r="F1282" s="2">
        <v>2.44</v>
      </c>
      <c r="G1282" s="2" t="s">
        <v>1415</v>
      </c>
      <c r="H1282" s="2">
        <v>2.1</v>
      </c>
      <c r="I1282" s="2">
        <v>2.6</v>
      </c>
      <c r="J1282" s="2" t="s">
        <v>1416</v>
      </c>
      <c r="K1282" s="2" t="s">
        <v>1431</v>
      </c>
    </row>
    <row r="1283" spans="1:11" x14ac:dyDescent="0.2">
      <c r="A1283" s="3" t="s">
        <v>919</v>
      </c>
      <c r="B1283" s="3" t="s">
        <v>929</v>
      </c>
      <c r="C1283" s="3" t="s">
        <v>930</v>
      </c>
      <c r="D1283" s="3" t="s">
        <v>1450</v>
      </c>
      <c r="E1283" s="3" t="s">
        <v>1451</v>
      </c>
      <c r="F1283" s="3">
        <v>124.87</v>
      </c>
      <c r="G1283" s="3" t="s">
        <v>1452</v>
      </c>
      <c r="H1283" s="3">
        <v>60</v>
      </c>
      <c r="I1283" s="3">
        <v>120</v>
      </c>
      <c r="J1283" s="5" t="s">
        <v>1426</v>
      </c>
      <c r="K1283" s="3" t="s">
        <v>1420</v>
      </c>
    </row>
    <row r="1284" spans="1:11" x14ac:dyDescent="0.2">
      <c r="A1284" s="2" t="s">
        <v>919</v>
      </c>
      <c r="B1284" s="2" t="s">
        <v>932</v>
      </c>
      <c r="C1284" s="2" t="s">
        <v>933</v>
      </c>
      <c r="D1284" s="2" t="s">
        <v>1440</v>
      </c>
      <c r="E1284" s="2" t="s">
        <v>1441</v>
      </c>
      <c r="F1284" s="2">
        <v>8.6300000000000008</v>
      </c>
      <c r="G1284" s="2" t="s">
        <v>1442</v>
      </c>
      <c r="H1284" s="2">
        <v>4</v>
      </c>
      <c r="I1284" s="2">
        <v>5.6</v>
      </c>
      <c r="J1284" s="5" t="s">
        <v>1426</v>
      </c>
      <c r="K1284" s="2" t="s">
        <v>1417</v>
      </c>
    </row>
    <row r="1285" spans="1:11" x14ac:dyDescent="0.2">
      <c r="A1285" s="3" t="s">
        <v>919</v>
      </c>
      <c r="B1285" s="3" t="s">
        <v>932</v>
      </c>
      <c r="C1285" s="3" t="s">
        <v>933</v>
      </c>
      <c r="D1285" s="3" t="s">
        <v>1446</v>
      </c>
      <c r="E1285" s="3" t="s">
        <v>1447</v>
      </c>
      <c r="F1285" s="3">
        <v>2.58</v>
      </c>
      <c r="G1285" s="3" t="s">
        <v>1415</v>
      </c>
      <c r="H1285" s="3">
        <v>2.1</v>
      </c>
      <c r="I1285" s="3">
        <v>2.6</v>
      </c>
      <c r="J1285" s="3" t="s">
        <v>1416</v>
      </c>
      <c r="K1285" s="3" t="s">
        <v>1431</v>
      </c>
    </row>
    <row r="1286" spans="1:11" x14ac:dyDescent="0.2">
      <c r="A1286" s="2" t="s">
        <v>919</v>
      </c>
      <c r="B1286" s="2" t="s">
        <v>932</v>
      </c>
      <c r="C1286" s="2" t="s">
        <v>933</v>
      </c>
      <c r="D1286" s="2" t="s">
        <v>1418</v>
      </c>
      <c r="E1286" s="2" t="s">
        <v>1419</v>
      </c>
      <c r="F1286" s="2">
        <v>3.26</v>
      </c>
      <c r="G1286" s="2" t="s">
        <v>1415</v>
      </c>
      <c r="H1286" s="2">
        <v>3.5</v>
      </c>
      <c r="I1286" s="2">
        <v>5</v>
      </c>
      <c r="J1286" s="5" t="s">
        <v>1430</v>
      </c>
      <c r="K1286" s="2" t="s">
        <v>1420</v>
      </c>
    </row>
    <row r="1287" spans="1:11" x14ac:dyDescent="0.2">
      <c r="A1287" s="3" t="s">
        <v>919</v>
      </c>
      <c r="B1287" s="3" t="s">
        <v>932</v>
      </c>
      <c r="C1287" s="3" t="s">
        <v>933</v>
      </c>
      <c r="D1287" s="3" t="s">
        <v>1427</v>
      </c>
      <c r="E1287" s="3" t="s">
        <v>1428</v>
      </c>
      <c r="F1287" s="3">
        <v>15.76</v>
      </c>
      <c r="G1287" s="3" t="s">
        <v>1429</v>
      </c>
      <c r="H1287" s="3">
        <v>4</v>
      </c>
      <c r="I1287" s="3">
        <v>11</v>
      </c>
      <c r="J1287" s="5" t="s">
        <v>1426</v>
      </c>
      <c r="K1287" s="3" t="s">
        <v>1420</v>
      </c>
    </row>
    <row r="1288" spans="1:11" x14ac:dyDescent="0.2">
      <c r="A1288" s="2" t="s">
        <v>919</v>
      </c>
      <c r="B1288" s="2" t="s">
        <v>932</v>
      </c>
      <c r="C1288" s="2" t="s">
        <v>933</v>
      </c>
      <c r="D1288" s="2" t="s">
        <v>1448</v>
      </c>
      <c r="E1288" s="2" t="s">
        <v>1449</v>
      </c>
      <c r="F1288" s="2">
        <v>143.93</v>
      </c>
      <c r="G1288" s="2" t="s">
        <v>1415</v>
      </c>
      <c r="H1288" s="2">
        <v>136</v>
      </c>
      <c r="I1288" s="2">
        <v>145</v>
      </c>
      <c r="J1288" s="2" t="s">
        <v>1416</v>
      </c>
      <c r="K1288" s="2" t="s">
        <v>1431</v>
      </c>
    </row>
    <row r="1289" spans="1:11" x14ac:dyDescent="0.2">
      <c r="A1289" s="3" t="s">
        <v>919</v>
      </c>
      <c r="B1289" s="3" t="s">
        <v>932</v>
      </c>
      <c r="C1289" s="3" t="s">
        <v>933</v>
      </c>
      <c r="D1289" s="3" t="s">
        <v>1437</v>
      </c>
      <c r="E1289" s="3" t="s">
        <v>1438</v>
      </c>
      <c r="F1289" s="3">
        <v>14.02</v>
      </c>
      <c r="G1289" s="3" t="s">
        <v>1439</v>
      </c>
      <c r="H1289" s="3">
        <v>12</v>
      </c>
      <c r="I1289" s="3">
        <v>17.5</v>
      </c>
      <c r="J1289" s="3" t="s">
        <v>1416</v>
      </c>
      <c r="K1289" s="3" t="s">
        <v>1431</v>
      </c>
    </row>
    <row r="1290" spans="1:11" x14ac:dyDescent="0.2">
      <c r="A1290" s="2" t="s">
        <v>919</v>
      </c>
      <c r="B1290" s="2" t="s">
        <v>932</v>
      </c>
      <c r="C1290" s="2" t="s">
        <v>933</v>
      </c>
      <c r="D1290" s="2" t="s">
        <v>1413</v>
      </c>
      <c r="E1290" s="2" t="s">
        <v>1414</v>
      </c>
      <c r="F1290" s="2">
        <v>1.27</v>
      </c>
      <c r="G1290" s="2" t="s">
        <v>1415</v>
      </c>
      <c r="H1290" s="2">
        <v>1</v>
      </c>
      <c r="I1290" s="2">
        <v>5</v>
      </c>
      <c r="J1290" s="2" t="s">
        <v>1416</v>
      </c>
      <c r="K1290" s="2" t="s">
        <v>1431</v>
      </c>
    </row>
    <row r="1291" spans="1:11" x14ac:dyDescent="0.2">
      <c r="A1291" s="3" t="s">
        <v>919</v>
      </c>
      <c r="B1291" s="3" t="s">
        <v>932</v>
      </c>
      <c r="C1291" s="3" t="s">
        <v>933</v>
      </c>
      <c r="D1291" s="3" t="s">
        <v>1453</v>
      </c>
      <c r="E1291" s="3" t="s">
        <v>1454</v>
      </c>
      <c r="F1291" s="3">
        <v>8.67</v>
      </c>
      <c r="G1291" s="3" t="s">
        <v>1415</v>
      </c>
      <c r="H1291" s="3">
        <v>3.9</v>
      </c>
      <c r="I1291" s="3">
        <v>5.5</v>
      </c>
      <c r="J1291" s="5" t="s">
        <v>1426</v>
      </c>
      <c r="K1291" s="3" t="s">
        <v>1434</v>
      </c>
    </row>
    <row r="1292" spans="1:11" x14ac:dyDescent="0.2">
      <c r="A1292" s="2" t="s">
        <v>919</v>
      </c>
      <c r="B1292" s="2" t="s">
        <v>935</v>
      </c>
      <c r="C1292" s="2" t="s">
        <v>936</v>
      </c>
      <c r="D1292" s="2" t="s">
        <v>1448</v>
      </c>
      <c r="E1292" s="2" t="s">
        <v>1449</v>
      </c>
      <c r="F1292" s="2">
        <v>133.08000000000001</v>
      </c>
      <c r="G1292" s="2" t="s">
        <v>1415</v>
      </c>
      <c r="H1292" s="2">
        <v>136</v>
      </c>
      <c r="I1292" s="2">
        <v>145</v>
      </c>
      <c r="J1292" s="5" t="s">
        <v>1430</v>
      </c>
      <c r="K1292" s="2" t="s">
        <v>1420</v>
      </c>
    </row>
    <row r="1293" spans="1:11" x14ac:dyDescent="0.2">
      <c r="A1293" s="3" t="s">
        <v>919</v>
      </c>
      <c r="B1293" s="3" t="s">
        <v>935</v>
      </c>
      <c r="C1293" s="3" t="s">
        <v>936</v>
      </c>
      <c r="D1293" s="3" t="s">
        <v>1432</v>
      </c>
      <c r="E1293" s="3" t="s">
        <v>1433</v>
      </c>
      <c r="F1293" s="3">
        <v>2.4500000000000002</v>
      </c>
      <c r="G1293" s="3" t="s">
        <v>1415</v>
      </c>
      <c r="H1293" s="3">
        <v>0</v>
      </c>
      <c r="I1293" s="3">
        <v>3</v>
      </c>
      <c r="J1293" s="3" t="s">
        <v>1416</v>
      </c>
      <c r="K1293" s="3" t="s">
        <v>1420</v>
      </c>
    </row>
    <row r="1294" spans="1:11" x14ac:dyDescent="0.2">
      <c r="A1294" s="2" t="s">
        <v>919</v>
      </c>
      <c r="B1294" s="2" t="s">
        <v>935</v>
      </c>
      <c r="C1294" s="2" t="s">
        <v>936</v>
      </c>
      <c r="D1294" s="2" t="s">
        <v>1427</v>
      </c>
      <c r="E1294" s="2" t="s">
        <v>1428</v>
      </c>
      <c r="F1294" s="2">
        <v>16.7</v>
      </c>
      <c r="G1294" s="2" t="s">
        <v>1429</v>
      </c>
      <c r="H1294" s="2">
        <v>4</v>
      </c>
      <c r="I1294" s="2">
        <v>11</v>
      </c>
      <c r="J1294" s="5" t="s">
        <v>1426</v>
      </c>
      <c r="K1294" s="2" t="s">
        <v>1434</v>
      </c>
    </row>
    <row r="1295" spans="1:11" x14ac:dyDescent="0.2">
      <c r="A1295" s="3" t="s">
        <v>919</v>
      </c>
      <c r="B1295" s="3" t="s">
        <v>935</v>
      </c>
      <c r="C1295" s="3" t="s">
        <v>936</v>
      </c>
      <c r="D1295" s="3" t="s">
        <v>1421</v>
      </c>
      <c r="E1295" s="3" t="s">
        <v>1422</v>
      </c>
      <c r="F1295" s="3">
        <v>5.93</v>
      </c>
      <c r="G1295" s="3" t="s">
        <v>1415</v>
      </c>
      <c r="H1295" s="3">
        <v>0</v>
      </c>
      <c r="I1295" s="3">
        <v>5</v>
      </c>
      <c r="J1295" s="5" t="s">
        <v>1426</v>
      </c>
      <c r="K1295" s="3" t="s">
        <v>1434</v>
      </c>
    </row>
    <row r="1296" spans="1:11" x14ac:dyDescent="0.2">
      <c r="A1296" s="2" t="s">
        <v>938</v>
      </c>
      <c r="B1296" s="2" t="s">
        <v>939</v>
      </c>
      <c r="C1296" s="2" t="s">
        <v>940</v>
      </c>
      <c r="D1296" s="2" t="s">
        <v>1413</v>
      </c>
      <c r="E1296" s="2" t="s">
        <v>1414</v>
      </c>
      <c r="F1296" s="2">
        <v>2.16</v>
      </c>
      <c r="G1296" s="2" t="s">
        <v>1415</v>
      </c>
      <c r="H1296" s="2">
        <v>1</v>
      </c>
      <c r="I1296" s="2">
        <v>5</v>
      </c>
      <c r="J1296" s="2" t="s">
        <v>1416</v>
      </c>
      <c r="K1296" s="2" t="s">
        <v>1434</v>
      </c>
    </row>
    <row r="1297" spans="1:11" x14ac:dyDescent="0.2">
      <c r="A1297" s="3" t="s">
        <v>938</v>
      </c>
      <c r="B1297" s="3" t="s">
        <v>939</v>
      </c>
      <c r="C1297" s="3" t="s">
        <v>940</v>
      </c>
      <c r="D1297" s="3" t="s">
        <v>1437</v>
      </c>
      <c r="E1297" s="3" t="s">
        <v>1438</v>
      </c>
      <c r="F1297" s="3">
        <v>17.22</v>
      </c>
      <c r="G1297" s="3" t="s">
        <v>1439</v>
      </c>
      <c r="H1297" s="3">
        <v>12</v>
      </c>
      <c r="I1297" s="3">
        <v>17.5</v>
      </c>
      <c r="J1297" s="3" t="s">
        <v>1416</v>
      </c>
      <c r="K1297" s="3" t="s">
        <v>1417</v>
      </c>
    </row>
    <row r="1298" spans="1:11" x14ac:dyDescent="0.2">
      <c r="A1298" s="2" t="s">
        <v>938</v>
      </c>
      <c r="B1298" s="2" t="s">
        <v>939</v>
      </c>
      <c r="C1298" s="2" t="s">
        <v>940</v>
      </c>
      <c r="D1298" s="2" t="s">
        <v>1448</v>
      </c>
      <c r="E1298" s="2" t="s">
        <v>1449</v>
      </c>
      <c r="F1298" s="2">
        <v>147.96</v>
      </c>
      <c r="G1298" s="2" t="s">
        <v>1415</v>
      </c>
      <c r="H1298" s="2">
        <v>136</v>
      </c>
      <c r="I1298" s="2">
        <v>145</v>
      </c>
      <c r="J1298" s="5" t="s">
        <v>1426</v>
      </c>
      <c r="K1298" s="2" t="s">
        <v>1417</v>
      </c>
    </row>
    <row r="1299" spans="1:11" x14ac:dyDescent="0.2">
      <c r="A1299" s="3" t="s">
        <v>938</v>
      </c>
      <c r="B1299" s="3" t="s">
        <v>939</v>
      </c>
      <c r="C1299" s="3" t="s">
        <v>940</v>
      </c>
      <c r="D1299" s="3" t="s">
        <v>1418</v>
      </c>
      <c r="E1299" s="3" t="s">
        <v>1419</v>
      </c>
      <c r="F1299" s="3">
        <v>4.33</v>
      </c>
      <c r="G1299" s="3" t="s">
        <v>1415</v>
      </c>
      <c r="H1299" s="3">
        <v>3.5</v>
      </c>
      <c r="I1299" s="3">
        <v>5</v>
      </c>
      <c r="J1299" s="3" t="s">
        <v>1416</v>
      </c>
      <c r="K1299" s="3" t="s">
        <v>1417</v>
      </c>
    </row>
    <row r="1300" spans="1:11" x14ac:dyDescent="0.2">
      <c r="A1300" s="2" t="s">
        <v>938</v>
      </c>
      <c r="B1300" s="2" t="s">
        <v>939</v>
      </c>
      <c r="C1300" s="2" t="s">
        <v>940</v>
      </c>
      <c r="D1300" s="2" t="s">
        <v>1443</v>
      </c>
      <c r="E1300" s="2" t="s">
        <v>1444</v>
      </c>
      <c r="F1300" s="2">
        <v>85</v>
      </c>
      <c r="G1300" s="2" t="s">
        <v>1445</v>
      </c>
      <c r="H1300" s="2">
        <v>53</v>
      </c>
      <c r="I1300" s="2">
        <v>97</v>
      </c>
      <c r="J1300" s="2" t="s">
        <v>1416</v>
      </c>
      <c r="K1300" s="2" t="s">
        <v>1434</v>
      </c>
    </row>
    <row r="1301" spans="1:11" x14ac:dyDescent="0.2">
      <c r="A1301" s="3" t="s">
        <v>938</v>
      </c>
      <c r="B1301" s="3" t="s">
        <v>939</v>
      </c>
      <c r="C1301" s="3" t="s">
        <v>940</v>
      </c>
      <c r="D1301" s="3" t="s">
        <v>1455</v>
      </c>
      <c r="E1301" s="3" t="s">
        <v>1456</v>
      </c>
      <c r="F1301" s="3">
        <v>42.22</v>
      </c>
      <c r="G1301" s="3" t="s">
        <v>1457</v>
      </c>
      <c r="H1301" s="3">
        <v>40</v>
      </c>
      <c r="I1301" s="3">
        <v>130</v>
      </c>
      <c r="J1301" s="3" t="s">
        <v>1416</v>
      </c>
      <c r="K1301" s="3" t="s">
        <v>1434</v>
      </c>
    </row>
    <row r="1302" spans="1:11" x14ac:dyDescent="0.2">
      <c r="A1302" s="2" t="s">
        <v>938</v>
      </c>
      <c r="B1302" s="2" t="s">
        <v>939</v>
      </c>
      <c r="C1302" s="2" t="s">
        <v>940</v>
      </c>
      <c r="D1302" s="2" t="s">
        <v>1423</v>
      </c>
      <c r="E1302" s="2" t="s">
        <v>1424</v>
      </c>
      <c r="F1302" s="2">
        <v>4.84</v>
      </c>
      <c r="G1302" s="2" t="s">
        <v>1425</v>
      </c>
      <c r="H1302" s="2">
        <v>4.5</v>
      </c>
      <c r="I1302" s="2">
        <v>5.5</v>
      </c>
      <c r="J1302" s="2" t="s">
        <v>1416</v>
      </c>
      <c r="K1302" s="2" t="s">
        <v>1431</v>
      </c>
    </row>
    <row r="1303" spans="1:11" x14ac:dyDescent="0.2">
      <c r="A1303" s="3" t="s">
        <v>938</v>
      </c>
      <c r="B1303" s="3" t="s">
        <v>939</v>
      </c>
      <c r="C1303" s="3" t="s">
        <v>940</v>
      </c>
      <c r="D1303" s="3" t="s">
        <v>1446</v>
      </c>
      <c r="E1303" s="3" t="s">
        <v>1447</v>
      </c>
      <c r="F1303" s="3">
        <v>2.65</v>
      </c>
      <c r="G1303" s="3" t="s">
        <v>1415</v>
      </c>
      <c r="H1303" s="3">
        <v>2.1</v>
      </c>
      <c r="I1303" s="3">
        <v>2.6</v>
      </c>
      <c r="J1303" s="5" t="s">
        <v>1426</v>
      </c>
      <c r="K1303" s="3" t="s">
        <v>1431</v>
      </c>
    </row>
    <row r="1304" spans="1:11" x14ac:dyDescent="0.2">
      <c r="A1304" s="2" t="s">
        <v>943</v>
      </c>
      <c r="B1304" s="2" t="s">
        <v>944</v>
      </c>
      <c r="C1304" s="2" t="s">
        <v>466</v>
      </c>
      <c r="D1304" s="2" t="s">
        <v>1453</v>
      </c>
      <c r="E1304" s="2" t="s">
        <v>1454</v>
      </c>
      <c r="F1304" s="2">
        <v>6.22</v>
      </c>
      <c r="G1304" s="2" t="s">
        <v>1415</v>
      </c>
      <c r="H1304" s="2">
        <v>3.9</v>
      </c>
      <c r="I1304" s="2">
        <v>5.5</v>
      </c>
      <c r="J1304" s="5" t="s">
        <v>1426</v>
      </c>
      <c r="K1304" s="2" t="s">
        <v>1434</v>
      </c>
    </row>
    <row r="1305" spans="1:11" x14ac:dyDescent="0.2">
      <c r="A1305" s="3" t="s">
        <v>943</v>
      </c>
      <c r="B1305" s="3" t="s">
        <v>944</v>
      </c>
      <c r="C1305" s="3" t="s">
        <v>466</v>
      </c>
      <c r="D1305" s="3" t="s">
        <v>1418</v>
      </c>
      <c r="E1305" s="3" t="s">
        <v>1419</v>
      </c>
      <c r="F1305" s="3">
        <v>3.92</v>
      </c>
      <c r="G1305" s="3" t="s">
        <v>1415</v>
      </c>
      <c r="H1305" s="3">
        <v>3.5</v>
      </c>
      <c r="I1305" s="3">
        <v>5</v>
      </c>
      <c r="J1305" s="3" t="s">
        <v>1416</v>
      </c>
      <c r="K1305" s="3" t="s">
        <v>1420</v>
      </c>
    </row>
    <row r="1306" spans="1:11" x14ac:dyDescent="0.2">
      <c r="A1306" s="2" t="s">
        <v>943</v>
      </c>
      <c r="B1306" s="2" t="s">
        <v>944</v>
      </c>
      <c r="C1306" s="2" t="s">
        <v>466</v>
      </c>
      <c r="D1306" s="2" t="s">
        <v>1455</v>
      </c>
      <c r="E1306" s="2" t="s">
        <v>1456</v>
      </c>
      <c r="F1306" s="2">
        <v>344.69</v>
      </c>
      <c r="G1306" s="2" t="s">
        <v>1457</v>
      </c>
      <c r="H1306" s="2">
        <v>40</v>
      </c>
      <c r="I1306" s="2">
        <v>130</v>
      </c>
      <c r="J1306" s="5" t="s">
        <v>1426</v>
      </c>
      <c r="K1306" s="2" t="s">
        <v>1431</v>
      </c>
    </row>
    <row r="1307" spans="1:11" x14ac:dyDescent="0.2">
      <c r="A1307" s="3" t="s">
        <v>943</v>
      </c>
      <c r="B1307" s="3" t="s">
        <v>944</v>
      </c>
      <c r="C1307" s="3" t="s">
        <v>466</v>
      </c>
      <c r="D1307" s="3" t="s">
        <v>1443</v>
      </c>
      <c r="E1307" s="3" t="s">
        <v>1444</v>
      </c>
      <c r="F1307" s="3">
        <v>81.2</v>
      </c>
      <c r="G1307" s="3" t="s">
        <v>1445</v>
      </c>
      <c r="H1307" s="3">
        <v>53</v>
      </c>
      <c r="I1307" s="3">
        <v>97</v>
      </c>
      <c r="J1307" s="3" t="s">
        <v>1416</v>
      </c>
      <c r="K1307" s="3" t="s">
        <v>1434</v>
      </c>
    </row>
    <row r="1308" spans="1:11" x14ac:dyDescent="0.2">
      <c r="A1308" s="2" t="s">
        <v>943</v>
      </c>
      <c r="B1308" s="2" t="s">
        <v>946</v>
      </c>
      <c r="C1308" s="2" t="s">
        <v>947</v>
      </c>
      <c r="D1308" s="2" t="s">
        <v>1446</v>
      </c>
      <c r="E1308" s="2" t="s">
        <v>1447</v>
      </c>
      <c r="F1308" s="2">
        <v>2.89</v>
      </c>
      <c r="G1308" s="2" t="s">
        <v>1415</v>
      </c>
      <c r="H1308" s="2">
        <v>2.1</v>
      </c>
      <c r="I1308" s="2">
        <v>2.6</v>
      </c>
      <c r="J1308" s="5" t="s">
        <v>1426</v>
      </c>
      <c r="K1308" s="2" t="s">
        <v>1420</v>
      </c>
    </row>
    <row r="1309" spans="1:11" x14ac:dyDescent="0.2">
      <c r="A1309" s="3" t="s">
        <v>943</v>
      </c>
      <c r="B1309" s="3" t="s">
        <v>946</v>
      </c>
      <c r="C1309" s="3" t="s">
        <v>947</v>
      </c>
      <c r="D1309" s="3" t="s">
        <v>1437</v>
      </c>
      <c r="E1309" s="3" t="s">
        <v>1438</v>
      </c>
      <c r="F1309" s="3">
        <v>12.71</v>
      </c>
      <c r="G1309" s="3" t="s">
        <v>1439</v>
      </c>
      <c r="H1309" s="3">
        <v>12</v>
      </c>
      <c r="I1309" s="3">
        <v>17.5</v>
      </c>
      <c r="J1309" s="3" t="s">
        <v>1416</v>
      </c>
      <c r="K1309" s="3" t="s">
        <v>1417</v>
      </c>
    </row>
    <row r="1310" spans="1:11" x14ac:dyDescent="0.2">
      <c r="A1310" s="2" t="s">
        <v>943</v>
      </c>
      <c r="B1310" s="2" t="s">
        <v>946</v>
      </c>
      <c r="C1310" s="2" t="s">
        <v>947</v>
      </c>
      <c r="D1310" s="2" t="s">
        <v>1432</v>
      </c>
      <c r="E1310" s="2" t="s">
        <v>1433</v>
      </c>
      <c r="F1310" s="2">
        <v>2.78</v>
      </c>
      <c r="G1310" s="2" t="s">
        <v>1415</v>
      </c>
      <c r="H1310" s="2">
        <v>0</v>
      </c>
      <c r="I1310" s="2">
        <v>3</v>
      </c>
      <c r="J1310" s="2" t="s">
        <v>1416</v>
      </c>
      <c r="K1310" s="2" t="s">
        <v>1434</v>
      </c>
    </row>
    <row r="1311" spans="1:11" x14ac:dyDescent="0.2">
      <c r="A1311" s="3" t="s">
        <v>943</v>
      </c>
      <c r="B1311" s="3" t="s">
        <v>946</v>
      </c>
      <c r="C1311" s="3" t="s">
        <v>947</v>
      </c>
      <c r="D1311" s="3" t="s">
        <v>1435</v>
      </c>
      <c r="E1311" s="3" t="s">
        <v>1436</v>
      </c>
      <c r="F1311" s="3">
        <v>0.57999999999999996</v>
      </c>
      <c r="G1311" s="3" t="s">
        <v>1415</v>
      </c>
      <c r="H1311" s="3">
        <v>0.8</v>
      </c>
      <c r="I1311" s="3">
        <v>1.5</v>
      </c>
      <c r="J1311" s="5" t="s">
        <v>1430</v>
      </c>
      <c r="K1311" s="3" t="s">
        <v>1431</v>
      </c>
    </row>
    <row r="1312" spans="1:11" x14ac:dyDescent="0.2">
      <c r="A1312" s="2" t="s">
        <v>943</v>
      </c>
      <c r="B1312" s="2" t="s">
        <v>946</v>
      </c>
      <c r="C1312" s="2" t="s">
        <v>947</v>
      </c>
      <c r="D1312" s="2" t="s">
        <v>1440</v>
      </c>
      <c r="E1312" s="2" t="s">
        <v>1441</v>
      </c>
      <c r="F1312" s="2">
        <v>9.74</v>
      </c>
      <c r="G1312" s="2" t="s">
        <v>1442</v>
      </c>
      <c r="H1312" s="2">
        <v>4</v>
      </c>
      <c r="I1312" s="2">
        <v>5.6</v>
      </c>
      <c r="J1312" s="5" t="s">
        <v>1426</v>
      </c>
      <c r="K1312" s="2" t="s">
        <v>1434</v>
      </c>
    </row>
    <row r="1313" spans="1:11" x14ac:dyDescent="0.2">
      <c r="A1313" s="3" t="s">
        <v>949</v>
      </c>
      <c r="B1313" s="3" t="s">
        <v>950</v>
      </c>
      <c r="C1313" s="3" t="s">
        <v>951</v>
      </c>
      <c r="D1313" s="3" t="s">
        <v>1448</v>
      </c>
      <c r="E1313" s="3" t="s">
        <v>1449</v>
      </c>
      <c r="F1313" s="3">
        <v>135.97999999999999</v>
      </c>
      <c r="G1313" s="3" t="s">
        <v>1415</v>
      </c>
      <c r="H1313" s="3">
        <v>136</v>
      </c>
      <c r="I1313" s="3">
        <v>145</v>
      </c>
      <c r="J1313" s="5" t="s">
        <v>1430</v>
      </c>
      <c r="K1313" s="3" t="s">
        <v>1417</v>
      </c>
    </row>
    <row r="1314" spans="1:11" x14ac:dyDescent="0.2">
      <c r="A1314" s="2" t="s">
        <v>949</v>
      </c>
      <c r="B1314" s="2" t="s">
        <v>950</v>
      </c>
      <c r="C1314" s="2" t="s">
        <v>951</v>
      </c>
      <c r="D1314" s="2" t="s">
        <v>1443</v>
      </c>
      <c r="E1314" s="2" t="s">
        <v>1444</v>
      </c>
      <c r="F1314" s="2">
        <v>61.92</v>
      </c>
      <c r="G1314" s="2" t="s">
        <v>1445</v>
      </c>
      <c r="H1314" s="2">
        <v>53</v>
      </c>
      <c r="I1314" s="2">
        <v>97</v>
      </c>
      <c r="J1314" s="2" t="s">
        <v>1416</v>
      </c>
      <c r="K1314" s="2" t="s">
        <v>1434</v>
      </c>
    </row>
    <row r="1315" spans="1:11" x14ac:dyDescent="0.2">
      <c r="A1315" s="3" t="s">
        <v>949</v>
      </c>
      <c r="B1315" s="3" t="s">
        <v>950</v>
      </c>
      <c r="C1315" s="3" t="s">
        <v>951</v>
      </c>
      <c r="D1315" s="3" t="s">
        <v>1413</v>
      </c>
      <c r="E1315" s="3" t="s">
        <v>1414</v>
      </c>
      <c r="F1315" s="3">
        <v>1.17</v>
      </c>
      <c r="G1315" s="3" t="s">
        <v>1415</v>
      </c>
      <c r="H1315" s="3">
        <v>1</v>
      </c>
      <c r="I1315" s="3">
        <v>5</v>
      </c>
      <c r="J1315" s="3" t="s">
        <v>1416</v>
      </c>
      <c r="K1315" s="3" t="s">
        <v>1420</v>
      </c>
    </row>
    <row r="1316" spans="1:11" x14ac:dyDescent="0.2">
      <c r="A1316" s="2" t="s">
        <v>949</v>
      </c>
      <c r="B1316" s="2" t="s">
        <v>950</v>
      </c>
      <c r="C1316" s="2" t="s">
        <v>951</v>
      </c>
      <c r="D1316" s="2" t="s">
        <v>1423</v>
      </c>
      <c r="E1316" s="2" t="s">
        <v>1424</v>
      </c>
      <c r="F1316" s="2">
        <v>3.35</v>
      </c>
      <c r="G1316" s="2" t="s">
        <v>1425</v>
      </c>
      <c r="H1316" s="2">
        <v>4.5</v>
      </c>
      <c r="I1316" s="2">
        <v>5.5</v>
      </c>
      <c r="J1316" s="5" t="s">
        <v>1430</v>
      </c>
      <c r="K1316" s="2" t="s">
        <v>1417</v>
      </c>
    </row>
    <row r="1317" spans="1:11" x14ac:dyDescent="0.2">
      <c r="A1317" s="3" t="s">
        <v>949</v>
      </c>
      <c r="B1317" s="3" t="s">
        <v>953</v>
      </c>
      <c r="C1317" s="3" t="s">
        <v>954</v>
      </c>
      <c r="D1317" s="3" t="s">
        <v>1446</v>
      </c>
      <c r="E1317" s="3" t="s">
        <v>1447</v>
      </c>
      <c r="F1317" s="3">
        <v>2.9</v>
      </c>
      <c r="G1317" s="3" t="s">
        <v>1415</v>
      </c>
      <c r="H1317" s="3">
        <v>2.1</v>
      </c>
      <c r="I1317" s="3">
        <v>2.6</v>
      </c>
      <c r="J1317" s="5" t="s">
        <v>1426</v>
      </c>
      <c r="K1317" s="3" t="s">
        <v>1431</v>
      </c>
    </row>
    <row r="1318" spans="1:11" x14ac:dyDescent="0.2">
      <c r="A1318" s="2" t="s">
        <v>949</v>
      </c>
      <c r="B1318" s="2" t="s">
        <v>953</v>
      </c>
      <c r="C1318" s="2" t="s">
        <v>954</v>
      </c>
      <c r="D1318" s="2" t="s">
        <v>1435</v>
      </c>
      <c r="E1318" s="2" t="s">
        <v>1436</v>
      </c>
      <c r="F1318" s="2">
        <v>1.45</v>
      </c>
      <c r="G1318" s="2" t="s">
        <v>1415</v>
      </c>
      <c r="H1318" s="2">
        <v>0.8</v>
      </c>
      <c r="I1318" s="2">
        <v>1.5</v>
      </c>
      <c r="J1318" s="2" t="s">
        <v>1416</v>
      </c>
      <c r="K1318" s="2" t="s">
        <v>1431</v>
      </c>
    </row>
    <row r="1319" spans="1:11" x14ac:dyDescent="0.2">
      <c r="A1319" s="3" t="s">
        <v>949</v>
      </c>
      <c r="B1319" s="3" t="s">
        <v>953</v>
      </c>
      <c r="C1319" s="3" t="s">
        <v>954</v>
      </c>
      <c r="D1319" s="3" t="s">
        <v>1453</v>
      </c>
      <c r="E1319" s="3" t="s">
        <v>1454</v>
      </c>
      <c r="F1319" s="3">
        <v>5.59</v>
      </c>
      <c r="G1319" s="3" t="s">
        <v>1415</v>
      </c>
      <c r="H1319" s="3">
        <v>3.9</v>
      </c>
      <c r="I1319" s="3">
        <v>5.5</v>
      </c>
      <c r="J1319" s="5" t="s">
        <v>1426</v>
      </c>
      <c r="K1319" s="3" t="s">
        <v>1434</v>
      </c>
    </row>
    <row r="1320" spans="1:11" x14ac:dyDescent="0.2">
      <c r="A1320" s="2" t="s">
        <v>949</v>
      </c>
      <c r="B1320" s="2" t="s">
        <v>953</v>
      </c>
      <c r="C1320" s="2" t="s">
        <v>954</v>
      </c>
      <c r="D1320" s="2" t="s">
        <v>1423</v>
      </c>
      <c r="E1320" s="2" t="s">
        <v>1424</v>
      </c>
      <c r="F1320" s="2">
        <v>5.3</v>
      </c>
      <c r="G1320" s="2" t="s">
        <v>1425</v>
      </c>
      <c r="H1320" s="2">
        <v>4.5</v>
      </c>
      <c r="I1320" s="2">
        <v>5.5</v>
      </c>
      <c r="J1320" s="2" t="s">
        <v>1416</v>
      </c>
      <c r="K1320" s="2" t="s">
        <v>1434</v>
      </c>
    </row>
    <row r="1321" spans="1:11" x14ac:dyDescent="0.2">
      <c r="A1321" s="3" t="s">
        <v>949</v>
      </c>
      <c r="B1321" s="3" t="s">
        <v>953</v>
      </c>
      <c r="C1321" s="3" t="s">
        <v>954</v>
      </c>
      <c r="D1321" s="3" t="s">
        <v>1448</v>
      </c>
      <c r="E1321" s="3" t="s">
        <v>1449</v>
      </c>
      <c r="F1321" s="3">
        <v>136.26</v>
      </c>
      <c r="G1321" s="3" t="s">
        <v>1415</v>
      </c>
      <c r="H1321" s="3">
        <v>136</v>
      </c>
      <c r="I1321" s="3">
        <v>145</v>
      </c>
      <c r="J1321" s="3" t="s">
        <v>1416</v>
      </c>
      <c r="K1321" s="3" t="s">
        <v>1420</v>
      </c>
    </row>
    <row r="1322" spans="1:11" x14ac:dyDescent="0.2">
      <c r="A1322" s="2" t="s">
        <v>949</v>
      </c>
      <c r="B1322" s="2" t="s">
        <v>953</v>
      </c>
      <c r="C1322" s="2" t="s">
        <v>954</v>
      </c>
      <c r="D1322" s="2" t="s">
        <v>1450</v>
      </c>
      <c r="E1322" s="2" t="s">
        <v>1451</v>
      </c>
      <c r="F1322" s="2">
        <v>67.94</v>
      </c>
      <c r="G1322" s="2" t="s">
        <v>1452</v>
      </c>
      <c r="H1322" s="2">
        <v>60</v>
      </c>
      <c r="I1322" s="2">
        <v>120</v>
      </c>
      <c r="J1322" s="2" t="s">
        <v>1416</v>
      </c>
      <c r="K1322" s="2" t="s">
        <v>1431</v>
      </c>
    </row>
    <row r="1323" spans="1:11" x14ac:dyDescent="0.2">
      <c r="A1323" s="3" t="s">
        <v>949</v>
      </c>
      <c r="B1323" s="3" t="s">
        <v>953</v>
      </c>
      <c r="C1323" s="3" t="s">
        <v>954</v>
      </c>
      <c r="D1323" s="3" t="s">
        <v>1455</v>
      </c>
      <c r="E1323" s="3" t="s">
        <v>1456</v>
      </c>
      <c r="F1323" s="3">
        <v>128.49</v>
      </c>
      <c r="G1323" s="3" t="s">
        <v>1457</v>
      </c>
      <c r="H1323" s="3">
        <v>40</v>
      </c>
      <c r="I1323" s="3">
        <v>130</v>
      </c>
      <c r="J1323" s="3" t="s">
        <v>1416</v>
      </c>
      <c r="K1323" s="3" t="s">
        <v>1431</v>
      </c>
    </row>
    <row r="1324" spans="1:11" x14ac:dyDescent="0.2">
      <c r="A1324" s="2" t="s">
        <v>955</v>
      </c>
      <c r="B1324" s="2" t="s">
        <v>956</v>
      </c>
      <c r="C1324" s="2" t="s">
        <v>582</v>
      </c>
      <c r="D1324" s="2" t="s">
        <v>1450</v>
      </c>
      <c r="E1324" s="2" t="s">
        <v>1451</v>
      </c>
      <c r="F1324" s="2">
        <v>47.08</v>
      </c>
      <c r="G1324" s="2" t="s">
        <v>1452</v>
      </c>
      <c r="H1324" s="2">
        <v>60</v>
      </c>
      <c r="I1324" s="2">
        <v>120</v>
      </c>
      <c r="J1324" s="5" t="s">
        <v>1430</v>
      </c>
      <c r="K1324" s="2" t="s">
        <v>1420</v>
      </c>
    </row>
    <row r="1325" spans="1:11" x14ac:dyDescent="0.2">
      <c r="A1325" s="3" t="s">
        <v>955</v>
      </c>
      <c r="B1325" s="3" t="s">
        <v>956</v>
      </c>
      <c r="C1325" s="3" t="s">
        <v>582</v>
      </c>
      <c r="D1325" s="3" t="s">
        <v>1435</v>
      </c>
      <c r="E1325" s="3" t="s">
        <v>1436</v>
      </c>
      <c r="F1325" s="3">
        <v>1.04</v>
      </c>
      <c r="G1325" s="3" t="s">
        <v>1415</v>
      </c>
      <c r="H1325" s="3">
        <v>0.8</v>
      </c>
      <c r="I1325" s="3">
        <v>1.5</v>
      </c>
      <c r="J1325" s="3" t="s">
        <v>1416</v>
      </c>
      <c r="K1325" s="3" t="s">
        <v>1431</v>
      </c>
    </row>
    <row r="1326" spans="1:11" x14ac:dyDescent="0.2">
      <c r="A1326" s="2" t="s">
        <v>955</v>
      </c>
      <c r="B1326" s="2" t="s">
        <v>956</v>
      </c>
      <c r="C1326" s="2" t="s">
        <v>582</v>
      </c>
      <c r="D1326" s="2" t="s">
        <v>1440</v>
      </c>
      <c r="E1326" s="2" t="s">
        <v>1441</v>
      </c>
      <c r="F1326" s="2">
        <v>6.77</v>
      </c>
      <c r="G1326" s="2" t="s">
        <v>1442</v>
      </c>
      <c r="H1326" s="2">
        <v>4</v>
      </c>
      <c r="I1326" s="2">
        <v>5.6</v>
      </c>
      <c r="J1326" s="5" t="s">
        <v>1426</v>
      </c>
      <c r="K1326" s="2" t="s">
        <v>1431</v>
      </c>
    </row>
    <row r="1327" spans="1:11" x14ac:dyDescent="0.2">
      <c r="A1327" s="3" t="s">
        <v>955</v>
      </c>
      <c r="B1327" s="3" t="s">
        <v>956</v>
      </c>
      <c r="C1327" s="3" t="s">
        <v>582</v>
      </c>
      <c r="D1327" s="3" t="s">
        <v>1413</v>
      </c>
      <c r="E1327" s="3" t="s">
        <v>1414</v>
      </c>
      <c r="F1327" s="3">
        <v>0.97</v>
      </c>
      <c r="G1327" s="3" t="s">
        <v>1415</v>
      </c>
      <c r="H1327" s="3">
        <v>1</v>
      </c>
      <c r="I1327" s="3">
        <v>5</v>
      </c>
      <c r="J1327" s="5" t="s">
        <v>1430</v>
      </c>
      <c r="K1327" s="3" t="s">
        <v>1420</v>
      </c>
    </row>
    <row r="1328" spans="1:11" x14ac:dyDescent="0.2">
      <c r="A1328" s="2" t="s">
        <v>955</v>
      </c>
      <c r="B1328" s="2" t="s">
        <v>956</v>
      </c>
      <c r="C1328" s="2" t="s">
        <v>582</v>
      </c>
      <c r="D1328" s="2" t="s">
        <v>1443</v>
      </c>
      <c r="E1328" s="2" t="s">
        <v>1444</v>
      </c>
      <c r="F1328" s="2">
        <v>65.37</v>
      </c>
      <c r="G1328" s="2" t="s">
        <v>1445</v>
      </c>
      <c r="H1328" s="2">
        <v>53</v>
      </c>
      <c r="I1328" s="2">
        <v>97</v>
      </c>
      <c r="J1328" s="2" t="s">
        <v>1416</v>
      </c>
      <c r="K1328" s="2" t="s">
        <v>1417</v>
      </c>
    </row>
    <row r="1329" spans="1:11" x14ac:dyDescent="0.2">
      <c r="A1329" s="3" t="s">
        <v>955</v>
      </c>
      <c r="B1329" s="3" t="s">
        <v>956</v>
      </c>
      <c r="C1329" s="3" t="s">
        <v>582</v>
      </c>
      <c r="D1329" s="3" t="s">
        <v>1418</v>
      </c>
      <c r="E1329" s="3" t="s">
        <v>1419</v>
      </c>
      <c r="F1329" s="3">
        <v>3.81</v>
      </c>
      <c r="G1329" s="3" t="s">
        <v>1415</v>
      </c>
      <c r="H1329" s="3">
        <v>3.5</v>
      </c>
      <c r="I1329" s="3">
        <v>5</v>
      </c>
      <c r="J1329" s="3" t="s">
        <v>1416</v>
      </c>
      <c r="K1329" s="3" t="s">
        <v>1417</v>
      </c>
    </row>
    <row r="1330" spans="1:11" x14ac:dyDescent="0.2">
      <c r="A1330" s="2" t="s">
        <v>955</v>
      </c>
      <c r="B1330" s="2" t="s">
        <v>956</v>
      </c>
      <c r="C1330" s="2" t="s">
        <v>582</v>
      </c>
      <c r="D1330" s="2" t="s">
        <v>1446</v>
      </c>
      <c r="E1330" s="2" t="s">
        <v>1447</v>
      </c>
      <c r="F1330" s="2">
        <v>2.23</v>
      </c>
      <c r="G1330" s="2" t="s">
        <v>1415</v>
      </c>
      <c r="H1330" s="2">
        <v>2.1</v>
      </c>
      <c r="I1330" s="2">
        <v>2.6</v>
      </c>
      <c r="J1330" s="2" t="s">
        <v>1416</v>
      </c>
      <c r="K1330" s="2" t="s">
        <v>1420</v>
      </c>
    </row>
    <row r="1331" spans="1:11" x14ac:dyDescent="0.2">
      <c r="A1331" s="3" t="s">
        <v>955</v>
      </c>
      <c r="B1331" s="3" t="s">
        <v>956</v>
      </c>
      <c r="C1331" s="3" t="s">
        <v>582</v>
      </c>
      <c r="D1331" s="3" t="s">
        <v>1455</v>
      </c>
      <c r="E1331" s="3" t="s">
        <v>1456</v>
      </c>
      <c r="F1331" s="3">
        <v>141.63</v>
      </c>
      <c r="G1331" s="3" t="s">
        <v>1457</v>
      </c>
      <c r="H1331" s="3">
        <v>40</v>
      </c>
      <c r="I1331" s="3">
        <v>130</v>
      </c>
      <c r="J1331" s="5" t="s">
        <v>1426</v>
      </c>
      <c r="K1331" s="3" t="s">
        <v>1417</v>
      </c>
    </row>
    <row r="1332" spans="1:11" x14ac:dyDescent="0.2">
      <c r="A1332" s="2" t="s">
        <v>955</v>
      </c>
      <c r="B1332" s="2" t="s">
        <v>958</v>
      </c>
      <c r="C1332" s="2" t="s">
        <v>959</v>
      </c>
      <c r="D1332" s="2" t="s">
        <v>1437</v>
      </c>
      <c r="E1332" s="2" t="s">
        <v>1438</v>
      </c>
      <c r="F1332" s="2">
        <v>18.920000000000002</v>
      </c>
      <c r="G1332" s="2" t="s">
        <v>1439</v>
      </c>
      <c r="H1332" s="2">
        <v>12</v>
      </c>
      <c r="I1332" s="2">
        <v>17.5</v>
      </c>
      <c r="J1332" s="5" t="s">
        <v>1426</v>
      </c>
      <c r="K1332" s="2" t="s">
        <v>1417</v>
      </c>
    </row>
    <row r="1333" spans="1:11" x14ac:dyDescent="0.2">
      <c r="A1333" s="3" t="s">
        <v>955</v>
      </c>
      <c r="B1333" s="3" t="s">
        <v>958</v>
      </c>
      <c r="C1333" s="3" t="s">
        <v>959</v>
      </c>
      <c r="D1333" s="3" t="s">
        <v>1446</v>
      </c>
      <c r="E1333" s="3" t="s">
        <v>1447</v>
      </c>
      <c r="F1333" s="3">
        <v>2.2200000000000002</v>
      </c>
      <c r="G1333" s="3" t="s">
        <v>1415</v>
      </c>
      <c r="H1333" s="3">
        <v>2.1</v>
      </c>
      <c r="I1333" s="3">
        <v>2.6</v>
      </c>
      <c r="J1333" s="3" t="s">
        <v>1416</v>
      </c>
      <c r="K1333" s="3" t="s">
        <v>1420</v>
      </c>
    </row>
    <row r="1334" spans="1:11" x14ac:dyDescent="0.2">
      <c r="A1334" s="2" t="s">
        <v>955</v>
      </c>
      <c r="B1334" s="2" t="s">
        <v>958</v>
      </c>
      <c r="C1334" s="2" t="s">
        <v>959</v>
      </c>
      <c r="D1334" s="2" t="s">
        <v>1440</v>
      </c>
      <c r="E1334" s="2" t="s">
        <v>1441</v>
      </c>
      <c r="F1334" s="2">
        <v>6.35</v>
      </c>
      <c r="G1334" s="2" t="s">
        <v>1442</v>
      </c>
      <c r="H1334" s="2">
        <v>4</v>
      </c>
      <c r="I1334" s="2">
        <v>5.6</v>
      </c>
      <c r="J1334" s="5" t="s">
        <v>1426</v>
      </c>
      <c r="K1334" s="2" t="s">
        <v>1420</v>
      </c>
    </row>
    <row r="1335" spans="1:11" x14ac:dyDescent="0.2">
      <c r="A1335" s="3" t="s">
        <v>955</v>
      </c>
      <c r="B1335" s="3" t="s">
        <v>958</v>
      </c>
      <c r="C1335" s="3" t="s">
        <v>959</v>
      </c>
      <c r="D1335" s="3" t="s">
        <v>1443</v>
      </c>
      <c r="E1335" s="3" t="s">
        <v>1444</v>
      </c>
      <c r="F1335" s="3">
        <v>58.63</v>
      </c>
      <c r="G1335" s="3" t="s">
        <v>1445</v>
      </c>
      <c r="H1335" s="3">
        <v>53</v>
      </c>
      <c r="I1335" s="3">
        <v>97</v>
      </c>
      <c r="J1335" s="3" t="s">
        <v>1416</v>
      </c>
      <c r="K1335" s="3" t="s">
        <v>1431</v>
      </c>
    </row>
    <row r="1336" spans="1:11" x14ac:dyDescent="0.2">
      <c r="A1336" s="2" t="s">
        <v>955</v>
      </c>
      <c r="B1336" s="2" t="s">
        <v>958</v>
      </c>
      <c r="C1336" s="2" t="s">
        <v>959</v>
      </c>
      <c r="D1336" s="2" t="s">
        <v>1423</v>
      </c>
      <c r="E1336" s="2" t="s">
        <v>1424</v>
      </c>
      <c r="F1336" s="2">
        <v>3.77</v>
      </c>
      <c r="G1336" s="2" t="s">
        <v>1425</v>
      </c>
      <c r="H1336" s="2">
        <v>4.5</v>
      </c>
      <c r="I1336" s="2">
        <v>5.5</v>
      </c>
      <c r="J1336" s="5" t="s">
        <v>1430</v>
      </c>
      <c r="K1336" s="2" t="s">
        <v>1417</v>
      </c>
    </row>
    <row r="1337" spans="1:11" x14ac:dyDescent="0.2">
      <c r="A1337" s="3" t="s">
        <v>955</v>
      </c>
      <c r="B1337" s="3" t="s">
        <v>958</v>
      </c>
      <c r="C1337" s="3" t="s">
        <v>959</v>
      </c>
      <c r="D1337" s="3" t="s">
        <v>1418</v>
      </c>
      <c r="E1337" s="3" t="s">
        <v>1419</v>
      </c>
      <c r="F1337" s="3">
        <v>3.8</v>
      </c>
      <c r="G1337" s="3" t="s">
        <v>1415</v>
      </c>
      <c r="H1337" s="3">
        <v>3.5</v>
      </c>
      <c r="I1337" s="3">
        <v>5</v>
      </c>
      <c r="J1337" s="3" t="s">
        <v>1416</v>
      </c>
      <c r="K1337" s="3" t="s">
        <v>1434</v>
      </c>
    </row>
    <row r="1338" spans="1:11" x14ac:dyDescent="0.2">
      <c r="A1338" s="2" t="s">
        <v>955</v>
      </c>
      <c r="B1338" s="2" t="s">
        <v>958</v>
      </c>
      <c r="C1338" s="2" t="s">
        <v>959</v>
      </c>
      <c r="D1338" s="2" t="s">
        <v>1450</v>
      </c>
      <c r="E1338" s="2" t="s">
        <v>1451</v>
      </c>
      <c r="F1338" s="2">
        <v>74.459999999999994</v>
      </c>
      <c r="G1338" s="2" t="s">
        <v>1452</v>
      </c>
      <c r="H1338" s="2">
        <v>60</v>
      </c>
      <c r="I1338" s="2">
        <v>120</v>
      </c>
      <c r="J1338" s="2" t="s">
        <v>1416</v>
      </c>
      <c r="K1338" s="2" t="s">
        <v>1431</v>
      </c>
    </row>
    <row r="1339" spans="1:11" x14ac:dyDescent="0.2">
      <c r="A1339" s="3" t="s">
        <v>955</v>
      </c>
      <c r="B1339" s="3" t="s">
        <v>958</v>
      </c>
      <c r="C1339" s="3" t="s">
        <v>959</v>
      </c>
      <c r="D1339" s="3" t="s">
        <v>1421</v>
      </c>
      <c r="E1339" s="3" t="s">
        <v>1422</v>
      </c>
      <c r="F1339" s="3">
        <v>5.4</v>
      </c>
      <c r="G1339" s="3" t="s">
        <v>1415</v>
      </c>
      <c r="H1339" s="3">
        <v>0</v>
      </c>
      <c r="I1339" s="3">
        <v>5</v>
      </c>
      <c r="J1339" s="5" t="s">
        <v>1426</v>
      </c>
      <c r="K1339" s="3" t="s">
        <v>1417</v>
      </c>
    </row>
    <row r="1340" spans="1:11" x14ac:dyDescent="0.2">
      <c r="A1340" s="2" t="s">
        <v>961</v>
      </c>
      <c r="B1340" s="2" t="s">
        <v>962</v>
      </c>
      <c r="C1340" s="2" t="s">
        <v>963</v>
      </c>
      <c r="D1340" s="2" t="s">
        <v>1432</v>
      </c>
      <c r="E1340" s="2" t="s">
        <v>1433</v>
      </c>
      <c r="F1340" s="2">
        <v>2.4300000000000002</v>
      </c>
      <c r="G1340" s="2" t="s">
        <v>1415</v>
      </c>
      <c r="H1340" s="2">
        <v>0</v>
      </c>
      <c r="I1340" s="2">
        <v>3</v>
      </c>
      <c r="J1340" s="2" t="s">
        <v>1416</v>
      </c>
      <c r="K1340" s="2" t="s">
        <v>1434</v>
      </c>
    </row>
    <row r="1341" spans="1:11" x14ac:dyDescent="0.2">
      <c r="A1341" s="3" t="s">
        <v>961</v>
      </c>
      <c r="B1341" s="3" t="s">
        <v>962</v>
      </c>
      <c r="C1341" s="3" t="s">
        <v>963</v>
      </c>
      <c r="D1341" s="3" t="s">
        <v>1455</v>
      </c>
      <c r="E1341" s="3" t="s">
        <v>1456</v>
      </c>
      <c r="F1341" s="3">
        <v>231.43</v>
      </c>
      <c r="G1341" s="3" t="s">
        <v>1457</v>
      </c>
      <c r="H1341" s="3">
        <v>40</v>
      </c>
      <c r="I1341" s="3">
        <v>130</v>
      </c>
      <c r="J1341" s="5" t="s">
        <v>1426</v>
      </c>
      <c r="K1341" s="3" t="s">
        <v>1434</v>
      </c>
    </row>
    <row r="1342" spans="1:11" x14ac:dyDescent="0.2">
      <c r="A1342" s="2" t="s">
        <v>961</v>
      </c>
      <c r="B1342" s="2" t="s">
        <v>962</v>
      </c>
      <c r="C1342" s="2" t="s">
        <v>963</v>
      </c>
      <c r="D1342" s="2" t="s">
        <v>1423</v>
      </c>
      <c r="E1342" s="2" t="s">
        <v>1424</v>
      </c>
      <c r="F1342" s="2">
        <v>3.48</v>
      </c>
      <c r="G1342" s="2" t="s">
        <v>1425</v>
      </c>
      <c r="H1342" s="2">
        <v>4.5</v>
      </c>
      <c r="I1342" s="2">
        <v>5.5</v>
      </c>
      <c r="J1342" s="5" t="s">
        <v>1430</v>
      </c>
      <c r="K1342" s="2" t="s">
        <v>1417</v>
      </c>
    </row>
    <row r="1343" spans="1:11" x14ac:dyDescent="0.2">
      <c r="A1343" s="3" t="s">
        <v>961</v>
      </c>
      <c r="B1343" s="3" t="s">
        <v>962</v>
      </c>
      <c r="C1343" s="3" t="s">
        <v>963</v>
      </c>
      <c r="D1343" s="3" t="s">
        <v>1418</v>
      </c>
      <c r="E1343" s="3" t="s">
        <v>1419</v>
      </c>
      <c r="F1343" s="3">
        <v>3.97</v>
      </c>
      <c r="G1343" s="3" t="s">
        <v>1415</v>
      </c>
      <c r="H1343" s="3">
        <v>3.5</v>
      </c>
      <c r="I1343" s="3">
        <v>5</v>
      </c>
      <c r="J1343" s="3" t="s">
        <v>1416</v>
      </c>
      <c r="K1343" s="3" t="s">
        <v>1434</v>
      </c>
    </row>
    <row r="1344" spans="1:11" x14ac:dyDescent="0.2">
      <c r="A1344" s="2" t="s">
        <v>961</v>
      </c>
      <c r="B1344" s="2" t="s">
        <v>962</v>
      </c>
      <c r="C1344" s="2" t="s">
        <v>963</v>
      </c>
      <c r="D1344" s="2" t="s">
        <v>1437</v>
      </c>
      <c r="E1344" s="2" t="s">
        <v>1438</v>
      </c>
      <c r="F1344" s="2">
        <v>8.43</v>
      </c>
      <c r="G1344" s="2" t="s">
        <v>1439</v>
      </c>
      <c r="H1344" s="2">
        <v>12</v>
      </c>
      <c r="I1344" s="2">
        <v>17.5</v>
      </c>
      <c r="J1344" s="5" t="s">
        <v>1430</v>
      </c>
      <c r="K1344" s="2" t="s">
        <v>1420</v>
      </c>
    </row>
    <row r="1345" spans="1:11" x14ac:dyDescent="0.2">
      <c r="A1345" s="3" t="s">
        <v>961</v>
      </c>
      <c r="B1345" s="3" t="s">
        <v>962</v>
      </c>
      <c r="C1345" s="3" t="s">
        <v>963</v>
      </c>
      <c r="D1345" s="3" t="s">
        <v>1450</v>
      </c>
      <c r="E1345" s="3" t="s">
        <v>1451</v>
      </c>
      <c r="F1345" s="3">
        <v>50.22</v>
      </c>
      <c r="G1345" s="3" t="s">
        <v>1452</v>
      </c>
      <c r="H1345" s="3">
        <v>60</v>
      </c>
      <c r="I1345" s="3">
        <v>120</v>
      </c>
      <c r="J1345" s="5" t="s">
        <v>1430</v>
      </c>
      <c r="K1345" s="3" t="s">
        <v>1417</v>
      </c>
    </row>
    <row r="1346" spans="1:11" x14ac:dyDescent="0.2">
      <c r="A1346" s="2" t="s">
        <v>961</v>
      </c>
      <c r="B1346" s="2" t="s">
        <v>962</v>
      </c>
      <c r="C1346" s="2" t="s">
        <v>963</v>
      </c>
      <c r="D1346" s="2" t="s">
        <v>1443</v>
      </c>
      <c r="E1346" s="2" t="s">
        <v>1444</v>
      </c>
      <c r="F1346" s="2">
        <v>76.87</v>
      </c>
      <c r="G1346" s="2" t="s">
        <v>1445</v>
      </c>
      <c r="H1346" s="2">
        <v>53</v>
      </c>
      <c r="I1346" s="2">
        <v>97</v>
      </c>
      <c r="J1346" s="2" t="s">
        <v>1416</v>
      </c>
      <c r="K1346" s="2" t="s">
        <v>1434</v>
      </c>
    </row>
    <row r="1347" spans="1:11" x14ac:dyDescent="0.2">
      <c r="A1347" s="3" t="s">
        <v>961</v>
      </c>
      <c r="B1347" s="3" t="s">
        <v>966</v>
      </c>
      <c r="C1347" s="3" t="s">
        <v>967</v>
      </c>
      <c r="D1347" s="3" t="s">
        <v>1450</v>
      </c>
      <c r="E1347" s="3" t="s">
        <v>1451</v>
      </c>
      <c r="F1347" s="3">
        <v>99.06</v>
      </c>
      <c r="G1347" s="3" t="s">
        <v>1452</v>
      </c>
      <c r="H1347" s="3">
        <v>60</v>
      </c>
      <c r="I1347" s="3">
        <v>120</v>
      </c>
      <c r="J1347" s="3" t="s">
        <v>1416</v>
      </c>
      <c r="K1347" s="3" t="s">
        <v>1417</v>
      </c>
    </row>
    <row r="1348" spans="1:11" x14ac:dyDescent="0.2">
      <c r="A1348" s="2" t="s">
        <v>961</v>
      </c>
      <c r="B1348" s="2" t="s">
        <v>966</v>
      </c>
      <c r="C1348" s="2" t="s">
        <v>967</v>
      </c>
      <c r="D1348" s="2" t="s">
        <v>1423</v>
      </c>
      <c r="E1348" s="2" t="s">
        <v>1424</v>
      </c>
      <c r="F1348" s="2">
        <v>5.5</v>
      </c>
      <c r="G1348" s="2" t="s">
        <v>1425</v>
      </c>
      <c r="H1348" s="2">
        <v>4.5</v>
      </c>
      <c r="I1348" s="2">
        <v>5.5</v>
      </c>
      <c r="J1348" s="2" t="s">
        <v>1416</v>
      </c>
      <c r="K1348" s="2" t="s">
        <v>1420</v>
      </c>
    </row>
    <row r="1349" spans="1:11" x14ac:dyDescent="0.2">
      <c r="A1349" s="3" t="s">
        <v>961</v>
      </c>
      <c r="B1349" s="3" t="s">
        <v>966</v>
      </c>
      <c r="C1349" s="3" t="s">
        <v>967</v>
      </c>
      <c r="D1349" s="3" t="s">
        <v>1448</v>
      </c>
      <c r="E1349" s="3" t="s">
        <v>1449</v>
      </c>
      <c r="F1349" s="3">
        <v>143.85</v>
      </c>
      <c r="G1349" s="3" t="s">
        <v>1415</v>
      </c>
      <c r="H1349" s="3">
        <v>136</v>
      </c>
      <c r="I1349" s="3">
        <v>145</v>
      </c>
      <c r="J1349" s="3" t="s">
        <v>1416</v>
      </c>
      <c r="K1349" s="3" t="s">
        <v>1420</v>
      </c>
    </row>
    <row r="1350" spans="1:11" x14ac:dyDescent="0.2">
      <c r="A1350" s="2" t="s">
        <v>961</v>
      </c>
      <c r="B1350" s="2" t="s">
        <v>966</v>
      </c>
      <c r="C1350" s="2" t="s">
        <v>967</v>
      </c>
      <c r="D1350" s="2" t="s">
        <v>1446</v>
      </c>
      <c r="E1350" s="2" t="s">
        <v>1447</v>
      </c>
      <c r="F1350" s="2">
        <v>2.38</v>
      </c>
      <c r="G1350" s="2" t="s">
        <v>1415</v>
      </c>
      <c r="H1350" s="2">
        <v>2.1</v>
      </c>
      <c r="I1350" s="2">
        <v>2.6</v>
      </c>
      <c r="J1350" s="2" t="s">
        <v>1416</v>
      </c>
      <c r="K1350" s="2" t="s">
        <v>1417</v>
      </c>
    </row>
    <row r="1351" spans="1:11" x14ac:dyDescent="0.2">
      <c r="A1351" s="3" t="s">
        <v>961</v>
      </c>
      <c r="B1351" s="3" t="s">
        <v>966</v>
      </c>
      <c r="C1351" s="3" t="s">
        <v>967</v>
      </c>
      <c r="D1351" s="3" t="s">
        <v>1435</v>
      </c>
      <c r="E1351" s="3" t="s">
        <v>1436</v>
      </c>
      <c r="F1351" s="3">
        <v>0.89</v>
      </c>
      <c r="G1351" s="3" t="s">
        <v>1415</v>
      </c>
      <c r="H1351" s="3">
        <v>0.8</v>
      </c>
      <c r="I1351" s="3">
        <v>1.5</v>
      </c>
      <c r="J1351" s="3" t="s">
        <v>1416</v>
      </c>
      <c r="K1351" s="3" t="s">
        <v>1431</v>
      </c>
    </row>
    <row r="1352" spans="1:11" x14ac:dyDescent="0.2">
      <c r="A1352" s="2" t="s">
        <v>961</v>
      </c>
      <c r="B1352" s="2" t="s">
        <v>966</v>
      </c>
      <c r="C1352" s="2" t="s">
        <v>967</v>
      </c>
      <c r="D1352" s="2" t="s">
        <v>1418</v>
      </c>
      <c r="E1352" s="2" t="s">
        <v>1419</v>
      </c>
      <c r="F1352" s="2">
        <v>4.96</v>
      </c>
      <c r="G1352" s="2" t="s">
        <v>1415</v>
      </c>
      <c r="H1352" s="2">
        <v>3.5</v>
      </c>
      <c r="I1352" s="2">
        <v>5</v>
      </c>
      <c r="J1352" s="2" t="s">
        <v>1416</v>
      </c>
      <c r="K1352" s="2" t="s">
        <v>1434</v>
      </c>
    </row>
    <row r="1353" spans="1:11" x14ac:dyDescent="0.2">
      <c r="A1353" s="3" t="s">
        <v>961</v>
      </c>
      <c r="B1353" s="3" t="s">
        <v>969</v>
      </c>
      <c r="C1353" s="3" t="s">
        <v>970</v>
      </c>
      <c r="D1353" s="3" t="s">
        <v>1418</v>
      </c>
      <c r="E1353" s="3" t="s">
        <v>1419</v>
      </c>
      <c r="F1353" s="3">
        <v>3.27</v>
      </c>
      <c r="G1353" s="3" t="s">
        <v>1415</v>
      </c>
      <c r="H1353" s="3">
        <v>3.5</v>
      </c>
      <c r="I1353" s="3">
        <v>5</v>
      </c>
      <c r="J1353" s="5" t="s">
        <v>1430</v>
      </c>
      <c r="K1353" s="3" t="s">
        <v>1431</v>
      </c>
    </row>
    <row r="1354" spans="1:11" x14ac:dyDescent="0.2">
      <c r="A1354" s="2" t="s">
        <v>961</v>
      </c>
      <c r="B1354" s="2" t="s">
        <v>969</v>
      </c>
      <c r="C1354" s="2" t="s">
        <v>970</v>
      </c>
      <c r="D1354" s="2" t="s">
        <v>1450</v>
      </c>
      <c r="E1354" s="2" t="s">
        <v>1451</v>
      </c>
      <c r="F1354" s="2">
        <v>121.07</v>
      </c>
      <c r="G1354" s="2" t="s">
        <v>1452</v>
      </c>
      <c r="H1354" s="2">
        <v>60</v>
      </c>
      <c r="I1354" s="2">
        <v>120</v>
      </c>
      <c r="J1354" s="5" t="s">
        <v>1426</v>
      </c>
      <c r="K1354" s="2" t="s">
        <v>1431</v>
      </c>
    </row>
    <row r="1355" spans="1:11" x14ac:dyDescent="0.2">
      <c r="A1355" s="3" t="s">
        <v>961</v>
      </c>
      <c r="B1355" s="3" t="s">
        <v>969</v>
      </c>
      <c r="C1355" s="3" t="s">
        <v>970</v>
      </c>
      <c r="D1355" s="3" t="s">
        <v>1413</v>
      </c>
      <c r="E1355" s="3" t="s">
        <v>1414</v>
      </c>
      <c r="F1355" s="3">
        <v>2.13</v>
      </c>
      <c r="G1355" s="3" t="s">
        <v>1415</v>
      </c>
      <c r="H1355" s="3">
        <v>1</v>
      </c>
      <c r="I1355" s="3">
        <v>5</v>
      </c>
      <c r="J1355" s="3" t="s">
        <v>1416</v>
      </c>
      <c r="K1355" s="3" t="s">
        <v>1431</v>
      </c>
    </row>
    <row r="1356" spans="1:11" x14ac:dyDescent="0.2">
      <c r="A1356" s="2" t="s">
        <v>961</v>
      </c>
      <c r="B1356" s="2" t="s">
        <v>969</v>
      </c>
      <c r="C1356" s="2" t="s">
        <v>970</v>
      </c>
      <c r="D1356" s="2" t="s">
        <v>1423</v>
      </c>
      <c r="E1356" s="2" t="s">
        <v>1424</v>
      </c>
      <c r="F1356" s="2">
        <v>3.39</v>
      </c>
      <c r="G1356" s="2" t="s">
        <v>1425</v>
      </c>
      <c r="H1356" s="2">
        <v>4.5</v>
      </c>
      <c r="I1356" s="2">
        <v>5.5</v>
      </c>
      <c r="J1356" s="5" t="s">
        <v>1430</v>
      </c>
      <c r="K1356" s="2" t="s">
        <v>1420</v>
      </c>
    </row>
    <row r="1357" spans="1:11" x14ac:dyDescent="0.2">
      <c r="A1357" s="3" t="s">
        <v>961</v>
      </c>
      <c r="B1357" s="3" t="s">
        <v>969</v>
      </c>
      <c r="C1357" s="3" t="s">
        <v>970</v>
      </c>
      <c r="D1357" s="3" t="s">
        <v>1455</v>
      </c>
      <c r="E1357" s="3" t="s">
        <v>1456</v>
      </c>
      <c r="F1357" s="3">
        <v>282.33999999999997</v>
      </c>
      <c r="G1357" s="3" t="s">
        <v>1457</v>
      </c>
      <c r="H1357" s="3">
        <v>40</v>
      </c>
      <c r="I1357" s="3">
        <v>130</v>
      </c>
      <c r="J1357" s="5" t="s">
        <v>1426</v>
      </c>
      <c r="K1357" s="3" t="s">
        <v>1434</v>
      </c>
    </row>
    <row r="1358" spans="1:11" x14ac:dyDescent="0.2">
      <c r="A1358" s="2" t="s">
        <v>961</v>
      </c>
      <c r="B1358" s="2" t="s">
        <v>969</v>
      </c>
      <c r="C1358" s="2" t="s">
        <v>970</v>
      </c>
      <c r="D1358" s="2" t="s">
        <v>1435</v>
      </c>
      <c r="E1358" s="2" t="s">
        <v>1436</v>
      </c>
      <c r="F1358" s="2">
        <v>1.76</v>
      </c>
      <c r="G1358" s="2" t="s">
        <v>1415</v>
      </c>
      <c r="H1358" s="2">
        <v>0.8</v>
      </c>
      <c r="I1358" s="2">
        <v>1.5</v>
      </c>
      <c r="J1358" s="5" t="s">
        <v>1426</v>
      </c>
      <c r="K1358" s="2" t="s">
        <v>1420</v>
      </c>
    </row>
    <row r="1359" spans="1:11" x14ac:dyDescent="0.2">
      <c r="A1359" s="3" t="s">
        <v>961</v>
      </c>
      <c r="B1359" s="3" t="s">
        <v>971</v>
      </c>
      <c r="C1359" s="3" t="s">
        <v>972</v>
      </c>
      <c r="D1359" s="3" t="s">
        <v>1450</v>
      </c>
      <c r="E1359" s="3" t="s">
        <v>1451</v>
      </c>
      <c r="F1359" s="3">
        <v>34.01</v>
      </c>
      <c r="G1359" s="3" t="s">
        <v>1452</v>
      </c>
      <c r="H1359" s="3">
        <v>60</v>
      </c>
      <c r="I1359" s="3">
        <v>120</v>
      </c>
      <c r="J1359" s="5" t="s">
        <v>1430</v>
      </c>
      <c r="K1359" s="3" t="s">
        <v>1434</v>
      </c>
    </row>
    <row r="1360" spans="1:11" x14ac:dyDescent="0.2">
      <c r="A1360" s="2" t="s">
        <v>961</v>
      </c>
      <c r="B1360" s="2" t="s">
        <v>971</v>
      </c>
      <c r="C1360" s="2" t="s">
        <v>972</v>
      </c>
      <c r="D1360" s="2" t="s">
        <v>1432</v>
      </c>
      <c r="E1360" s="2" t="s">
        <v>1433</v>
      </c>
      <c r="F1360" s="2">
        <v>3.7</v>
      </c>
      <c r="G1360" s="2" t="s">
        <v>1415</v>
      </c>
      <c r="H1360" s="2">
        <v>0</v>
      </c>
      <c r="I1360" s="2">
        <v>3</v>
      </c>
      <c r="J1360" s="5" t="s">
        <v>1426</v>
      </c>
      <c r="K1360" s="2" t="s">
        <v>1431</v>
      </c>
    </row>
    <row r="1361" spans="1:11" x14ac:dyDescent="0.2">
      <c r="A1361" s="3" t="s">
        <v>961</v>
      </c>
      <c r="B1361" s="3" t="s">
        <v>971</v>
      </c>
      <c r="C1361" s="3" t="s">
        <v>972</v>
      </c>
      <c r="D1361" s="3" t="s">
        <v>1448</v>
      </c>
      <c r="E1361" s="3" t="s">
        <v>1449</v>
      </c>
      <c r="F1361" s="3">
        <v>146.24</v>
      </c>
      <c r="G1361" s="3" t="s">
        <v>1415</v>
      </c>
      <c r="H1361" s="3">
        <v>136</v>
      </c>
      <c r="I1361" s="3">
        <v>145</v>
      </c>
      <c r="J1361" s="5" t="s">
        <v>1426</v>
      </c>
      <c r="K1361" s="3" t="s">
        <v>1420</v>
      </c>
    </row>
    <row r="1362" spans="1:11" x14ac:dyDescent="0.2">
      <c r="A1362" s="2" t="s">
        <v>961</v>
      </c>
      <c r="B1362" s="2" t="s">
        <v>971</v>
      </c>
      <c r="C1362" s="2" t="s">
        <v>972</v>
      </c>
      <c r="D1362" s="2" t="s">
        <v>1418</v>
      </c>
      <c r="E1362" s="2" t="s">
        <v>1419</v>
      </c>
      <c r="F1362" s="2">
        <v>3.91</v>
      </c>
      <c r="G1362" s="2" t="s">
        <v>1415</v>
      </c>
      <c r="H1362" s="2">
        <v>3.5</v>
      </c>
      <c r="I1362" s="2">
        <v>5</v>
      </c>
      <c r="J1362" s="2" t="s">
        <v>1416</v>
      </c>
      <c r="K1362" s="2" t="s">
        <v>1431</v>
      </c>
    </row>
    <row r="1363" spans="1:11" x14ac:dyDescent="0.2">
      <c r="A1363" s="3" t="s">
        <v>961</v>
      </c>
      <c r="B1363" s="3" t="s">
        <v>974</v>
      </c>
      <c r="C1363" s="3" t="s">
        <v>35</v>
      </c>
      <c r="D1363" s="3" t="s">
        <v>1446</v>
      </c>
      <c r="E1363" s="3" t="s">
        <v>1447</v>
      </c>
      <c r="F1363" s="3">
        <v>2.67</v>
      </c>
      <c r="G1363" s="3" t="s">
        <v>1415</v>
      </c>
      <c r="H1363" s="3">
        <v>2.1</v>
      </c>
      <c r="I1363" s="3">
        <v>2.6</v>
      </c>
      <c r="J1363" s="5" t="s">
        <v>1426</v>
      </c>
      <c r="K1363" s="3" t="s">
        <v>1431</v>
      </c>
    </row>
    <row r="1364" spans="1:11" x14ac:dyDescent="0.2">
      <c r="A1364" s="2" t="s">
        <v>961</v>
      </c>
      <c r="B1364" s="2" t="s">
        <v>974</v>
      </c>
      <c r="C1364" s="2" t="s">
        <v>35</v>
      </c>
      <c r="D1364" s="2" t="s">
        <v>1421</v>
      </c>
      <c r="E1364" s="2" t="s">
        <v>1422</v>
      </c>
      <c r="F1364" s="2">
        <v>6.24</v>
      </c>
      <c r="G1364" s="2" t="s">
        <v>1415</v>
      </c>
      <c r="H1364" s="2">
        <v>0</v>
      </c>
      <c r="I1364" s="2">
        <v>5</v>
      </c>
      <c r="J1364" s="5" t="s">
        <v>1426</v>
      </c>
      <c r="K1364" s="2" t="s">
        <v>1420</v>
      </c>
    </row>
    <row r="1365" spans="1:11" x14ac:dyDescent="0.2">
      <c r="A1365" s="3" t="s">
        <v>961</v>
      </c>
      <c r="B1365" s="3" t="s">
        <v>974</v>
      </c>
      <c r="C1365" s="3" t="s">
        <v>35</v>
      </c>
      <c r="D1365" s="3" t="s">
        <v>1418</v>
      </c>
      <c r="E1365" s="3" t="s">
        <v>1419</v>
      </c>
      <c r="F1365" s="3">
        <v>3.21</v>
      </c>
      <c r="G1365" s="3" t="s">
        <v>1415</v>
      </c>
      <c r="H1365" s="3">
        <v>3.5</v>
      </c>
      <c r="I1365" s="3">
        <v>5</v>
      </c>
      <c r="J1365" s="5" t="s">
        <v>1430</v>
      </c>
      <c r="K1365" s="3" t="s">
        <v>1431</v>
      </c>
    </row>
    <row r="1366" spans="1:11" x14ac:dyDescent="0.2">
      <c r="A1366" s="2" t="s">
        <v>961</v>
      </c>
      <c r="B1366" s="2" t="s">
        <v>974</v>
      </c>
      <c r="C1366" s="2" t="s">
        <v>35</v>
      </c>
      <c r="D1366" s="2" t="s">
        <v>1453</v>
      </c>
      <c r="E1366" s="2" t="s">
        <v>1454</v>
      </c>
      <c r="F1366" s="2">
        <v>5.72</v>
      </c>
      <c r="G1366" s="2" t="s">
        <v>1415</v>
      </c>
      <c r="H1366" s="2">
        <v>3.9</v>
      </c>
      <c r="I1366" s="2">
        <v>5.5</v>
      </c>
      <c r="J1366" s="5" t="s">
        <v>1426</v>
      </c>
      <c r="K1366" s="2" t="s">
        <v>1417</v>
      </c>
    </row>
    <row r="1367" spans="1:11" x14ac:dyDescent="0.2">
      <c r="A1367" s="3" t="s">
        <v>961</v>
      </c>
      <c r="B1367" s="3" t="s">
        <v>975</v>
      </c>
      <c r="C1367" s="3" t="s">
        <v>502</v>
      </c>
      <c r="D1367" s="3" t="s">
        <v>1437</v>
      </c>
      <c r="E1367" s="3" t="s">
        <v>1438</v>
      </c>
      <c r="F1367" s="3">
        <v>15.18</v>
      </c>
      <c r="G1367" s="3" t="s">
        <v>1439</v>
      </c>
      <c r="H1367" s="3">
        <v>12</v>
      </c>
      <c r="I1367" s="3">
        <v>17.5</v>
      </c>
      <c r="J1367" s="3" t="s">
        <v>1416</v>
      </c>
      <c r="K1367" s="3" t="s">
        <v>1434</v>
      </c>
    </row>
    <row r="1368" spans="1:11" x14ac:dyDescent="0.2">
      <c r="A1368" s="2" t="s">
        <v>961</v>
      </c>
      <c r="B1368" s="2" t="s">
        <v>975</v>
      </c>
      <c r="C1368" s="2" t="s">
        <v>502</v>
      </c>
      <c r="D1368" s="2" t="s">
        <v>1418</v>
      </c>
      <c r="E1368" s="2" t="s">
        <v>1419</v>
      </c>
      <c r="F1368" s="2">
        <v>4.09</v>
      </c>
      <c r="G1368" s="2" t="s">
        <v>1415</v>
      </c>
      <c r="H1368" s="2">
        <v>3.5</v>
      </c>
      <c r="I1368" s="2">
        <v>5</v>
      </c>
      <c r="J1368" s="2" t="s">
        <v>1416</v>
      </c>
      <c r="K1368" s="2" t="s">
        <v>1420</v>
      </c>
    </row>
    <row r="1369" spans="1:11" x14ac:dyDescent="0.2">
      <c r="A1369" s="3" t="s">
        <v>961</v>
      </c>
      <c r="B1369" s="3" t="s">
        <v>975</v>
      </c>
      <c r="C1369" s="3" t="s">
        <v>502</v>
      </c>
      <c r="D1369" s="3" t="s">
        <v>1435</v>
      </c>
      <c r="E1369" s="3" t="s">
        <v>1436</v>
      </c>
      <c r="F1369" s="3">
        <v>1.49</v>
      </c>
      <c r="G1369" s="3" t="s">
        <v>1415</v>
      </c>
      <c r="H1369" s="3">
        <v>0.8</v>
      </c>
      <c r="I1369" s="3">
        <v>1.5</v>
      </c>
      <c r="J1369" s="3" t="s">
        <v>1416</v>
      </c>
      <c r="K1369" s="3" t="s">
        <v>1431</v>
      </c>
    </row>
    <row r="1370" spans="1:11" x14ac:dyDescent="0.2">
      <c r="A1370" s="2" t="s">
        <v>961</v>
      </c>
      <c r="B1370" s="2" t="s">
        <v>975</v>
      </c>
      <c r="C1370" s="2" t="s">
        <v>502</v>
      </c>
      <c r="D1370" s="2" t="s">
        <v>1421</v>
      </c>
      <c r="E1370" s="2" t="s">
        <v>1422</v>
      </c>
      <c r="F1370" s="2">
        <v>5.0999999999999996</v>
      </c>
      <c r="G1370" s="2" t="s">
        <v>1415</v>
      </c>
      <c r="H1370" s="2">
        <v>0</v>
      </c>
      <c r="I1370" s="2">
        <v>5</v>
      </c>
      <c r="J1370" s="5" t="s">
        <v>1426</v>
      </c>
      <c r="K1370" s="2" t="s">
        <v>1420</v>
      </c>
    </row>
    <row r="1371" spans="1:11" x14ac:dyDescent="0.2">
      <c r="A1371" s="3" t="s">
        <v>961</v>
      </c>
      <c r="B1371" s="3" t="s">
        <v>975</v>
      </c>
      <c r="C1371" s="3" t="s">
        <v>502</v>
      </c>
      <c r="D1371" s="3" t="s">
        <v>1448</v>
      </c>
      <c r="E1371" s="3" t="s">
        <v>1449</v>
      </c>
      <c r="F1371" s="3">
        <v>146.47</v>
      </c>
      <c r="G1371" s="3" t="s">
        <v>1415</v>
      </c>
      <c r="H1371" s="3">
        <v>136</v>
      </c>
      <c r="I1371" s="3">
        <v>145</v>
      </c>
      <c r="J1371" s="5" t="s">
        <v>1426</v>
      </c>
      <c r="K1371" s="3" t="s">
        <v>1417</v>
      </c>
    </row>
    <row r="1372" spans="1:11" x14ac:dyDescent="0.2">
      <c r="A1372" s="2" t="s">
        <v>961</v>
      </c>
      <c r="B1372" s="2" t="s">
        <v>975</v>
      </c>
      <c r="C1372" s="2" t="s">
        <v>502</v>
      </c>
      <c r="D1372" s="2" t="s">
        <v>1446</v>
      </c>
      <c r="E1372" s="2" t="s">
        <v>1447</v>
      </c>
      <c r="F1372" s="2">
        <v>2.52</v>
      </c>
      <c r="G1372" s="2" t="s">
        <v>1415</v>
      </c>
      <c r="H1372" s="2">
        <v>2.1</v>
      </c>
      <c r="I1372" s="2">
        <v>2.6</v>
      </c>
      <c r="J1372" s="2" t="s">
        <v>1416</v>
      </c>
      <c r="K1372" s="2" t="s">
        <v>1434</v>
      </c>
    </row>
    <row r="1373" spans="1:11" x14ac:dyDescent="0.2">
      <c r="A1373" s="3" t="s">
        <v>961</v>
      </c>
      <c r="B1373" s="3" t="s">
        <v>975</v>
      </c>
      <c r="C1373" s="3" t="s">
        <v>502</v>
      </c>
      <c r="D1373" s="3" t="s">
        <v>1455</v>
      </c>
      <c r="E1373" s="3" t="s">
        <v>1456</v>
      </c>
      <c r="F1373" s="3">
        <v>141</v>
      </c>
      <c r="G1373" s="3" t="s">
        <v>1457</v>
      </c>
      <c r="H1373" s="3">
        <v>40</v>
      </c>
      <c r="I1373" s="3">
        <v>130</v>
      </c>
      <c r="J1373" s="5" t="s">
        <v>1426</v>
      </c>
      <c r="K1373" s="3" t="s">
        <v>1434</v>
      </c>
    </row>
    <row r="1374" spans="1:11" x14ac:dyDescent="0.2">
      <c r="A1374" s="2" t="s">
        <v>977</v>
      </c>
      <c r="B1374" s="2" t="s">
        <v>978</v>
      </c>
      <c r="C1374" s="2" t="s">
        <v>979</v>
      </c>
      <c r="D1374" s="2" t="s">
        <v>1455</v>
      </c>
      <c r="E1374" s="2" t="s">
        <v>1456</v>
      </c>
      <c r="F1374" s="2">
        <v>148.12</v>
      </c>
      <c r="G1374" s="2" t="s">
        <v>1457</v>
      </c>
      <c r="H1374" s="2">
        <v>40</v>
      </c>
      <c r="I1374" s="2">
        <v>130</v>
      </c>
      <c r="J1374" s="5" t="s">
        <v>1426</v>
      </c>
      <c r="K1374" s="2" t="s">
        <v>1420</v>
      </c>
    </row>
    <row r="1375" spans="1:11" x14ac:dyDescent="0.2">
      <c r="A1375" s="3" t="s">
        <v>977</v>
      </c>
      <c r="B1375" s="3" t="s">
        <v>978</v>
      </c>
      <c r="C1375" s="3" t="s">
        <v>979</v>
      </c>
      <c r="D1375" s="3" t="s">
        <v>1423</v>
      </c>
      <c r="E1375" s="3" t="s">
        <v>1424</v>
      </c>
      <c r="F1375" s="3">
        <v>4.5</v>
      </c>
      <c r="G1375" s="3" t="s">
        <v>1425</v>
      </c>
      <c r="H1375" s="3">
        <v>4.5</v>
      </c>
      <c r="I1375" s="3">
        <v>5.5</v>
      </c>
      <c r="J1375" s="3" t="s">
        <v>1416</v>
      </c>
      <c r="K1375" s="3" t="s">
        <v>1434</v>
      </c>
    </row>
    <row r="1376" spans="1:11" x14ac:dyDescent="0.2">
      <c r="A1376" s="2" t="s">
        <v>977</v>
      </c>
      <c r="B1376" s="2" t="s">
        <v>978</v>
      </c>
      <c r="C1376" s="2" t="s">
        <v>979</v>
      </c>
      <c r="D1376" s="2" t="s">
        <v>1440</v>
      </c>
      <c r="E1376" s="2" t="s">
        <v>1441</v>
      </c>
      <c r="F1376" s="2">
        <v>8.9700000000000006</v>
      </c>
      <c r="G1376" s="2" t="s">
        <v>1442</v>
      </c>
      <c r="H1376" s="2">
        <v>4</v>
      </c>
      <c r="I1376" s="2">
        <v>5.6</v>
      </c>
      <c r="J1376" s="5" t="s">
        <v>1426</v>
      </c>
      <c r="K1376" s="2" t="s">
        <v>1417</v>
      </c>
    </row>
    <row r="1377" spans="1:11" x14ac:dyDescent="0.2">
      <c r="A1377" s="3" t="s">
        <v>977</v>
      </c>
      <c r="B1377" s="3" t="s">
        <v>978</v>
      </c>
      <c r="C1377" s="3" t="s">
        <v>979</v>
      </c>
      <c r="D1377" s="3" t="s">
        <v>1421</v>
      </c>
      <c r="E1377" s="3" t="s">
        <v>1422</v>
      </c>
      <c r="F1377" s="3">
        <v>7.16</v>
      </c>
      <c r="G1377" s="3" t="s">
        <v>1415</v>
      </c>
      <c r="H1377" s="3">
        <v>0</v>
      </c>
      <c r="I1377" s="3">
        <v>5</v>
      </c>
      <c r="J1377" s="5" t="s">
        <v>1426</v>
      </c>
      <c r="K1377" s="3" t="s">
        <v>1431</v>
      </c>
    </row>
    <row r="1378" spans="1:11" x14ac:dyDescent="0.2">
      <c r="A1378" s="2" t="s">
        <v>977</v>
      </c>
      <c r="B1378" s="2" t="s">
        <v>982</v>
      </c>
      <c r="C1378" s="2" t="s">
        <v>983</v>
      </c>
      <c r="D1378" s="2" t="s">
        <v>1448</v>
      </c>
      <c r="E1378" s="2" t="s">
        <v>1449</v>
      </c>
      <c r="F1378" s="2">
        <v>137.53</v>
      </c>
      <c r="G1378" s="2" t="s">
        <v>1415</v>
      </c>
      <c r="H1378" s="2">
        <v>136</v>
      </c>
      <c r="I1378" s="2">
        <v>145</v>
      </c>
      <c r="J1378" s="2" t="s">
        <v>1416</v>
      </c>
      <c r="K1378" s="2" t="s">
        <v>1434</v>
      </c>
    </row>
    <row r="1379" spans="1:11" x14ac:dyDescent="0.2">
      <c r="A1379" s="3" t="s">
        <v>977</v>
      </c>
      <c r="B1379" s="3" t="s">
        <v>982</v>
      </c>
      <c r="C1379" s="3" t="s">
        <v>983</v>
      </c>
      <c r="D1379" s="3" t="s">
        <v>1421</v>
      </c>
      <c r="E1379" s="3" t="s">
        <v>1422</v>
      </c>
      <c r="F1379" s="3">
        <v>4.8600000000000003</v>
      </c>
      <c r="G1379" s="3" t="s">
        <v>1415</v>
      </c>
      <c r="H1379" s="3">
        <v>0</v>
      </c>
      <c r="I1379" s="3">
        <v>5</v>
      </c>
      <c r="J1379" s="3" t="s">
        <v>1416</v>
      </c>
      <c r="K1379" s="3" t="s">
        <v>1431</v>
      </c>
    </row>
    <row r="1380" spans="1:11" x14ac:dyDescent="0.2">
      <c r="A1380" s="2" t="s">
        <v>977</v>
      </c>
      <c r="B1380" s="2" t="s">
        <v>982</v>
      </c>
      <c r="C1380" s="2" t="s">
        <v>983</v>
      </c>
      <c r="D1380" s="2" t="s">
        <v>1443</v>
      </c>
      <c r="E1380" s="2" t="s">
        <v>1444</v>
      </c>
      <c r="F1380" s="2">
        <v>72.03</v>
      </c>
      <c r="G1380" s="2" t="s">
        <v>1445</v>
      </c>
      <c r="H1380" s="2">
        <v>53</v>
      </c>
      <c r="I1380" s="2">
        <v>97</v>
      </c>
      <c r="J1380" s="2" t="s">
        <v>1416</v>
      </c>
      <c r="K1380" s="2" t="s">
        <v>1420</v>
      </c>
    </row>
    <row r="1381" spans="1:11" x14ac:dyDescent="0.2">
      <c r="A1381" s="3" t="s">
        <v>977</v>
      </c>
      <c r="B1381" s="3" t="s">
        <v>982</v>
      </c>
      <c r="C1381" s="3" t="s">
        <v>983</v>
      </c>
      <c r="D1381" s="3" t="s">
        <v>1446</v>
      </c>
      <c r="E1381" s="3" t="s">
        <v>1447</v>
      </c>
      <c r="F1381" s="3">
        <v>2.17</v>
      </c>
      <c r="G1381" s="3" t="s">
        <v>1415</v>
      </c>
      <c r="H1381" s="3">
        <v>2.1</v>
      </c>
      <c r="I1381" s="3">
        <v>2.6</v>
      </c>
      <c r="J1381" s="3" t="s">
        <v>1416</v>
      </c>
      <c r="K1381" s="3" t="s">
        <v>1417</v>
      </c>
    </row>
    <row r="1382" spans="1:11" x14ac:dyDescent="0.2">
      <c r="A1382" s="2" t="s">
        <v>977</v>
      </c>
      <c r="B1382" s="2" t="s">
        <v>985</v>
      </c>
      <c r="C1382" s="2" t="s">
        <v>878</v>
      </c>
      <c r="D1382" s="2" t="s">
        <v>1413</v>
      </c>
      <c r="E1382" s="2" t="s">
        <v>1414</v>
      </c>
      <c r="F1382" s="2">
        <v>0.95</v>
      </c>
      <c r="G1382" s="2" t="s">
        <v>1415</v>
      </c>
      <c r="H1382" s="2">
        <v>1</v>
      </c>
      <c r="I1382" s="2">
        <v>5</v>
      </c>
      <c r="J1382" s="5" t="s">
        <v>1430</v>
      </c>
      <c r="K1382" s="2" t="s">
        <v>1434</v>
      </c>
    </row>
    <row r="1383" spans="1:11" x14ac:dyDescent="0.2">
      <c r="A1383" s="3" t="s">
        <v>977</v>
      </c>
      <c r="B1383" s="3" t="s">
        <v>985</v>
      </c>
      <c r="C1383" s="3" t="s">
        <v>878</v>
      </c>
      <c r="D1383" s="3" t="s">
        <v>1418</v>
      </c>
      <c r="E1383" s="3" t="s">
        <v>1419</v>
      </c>
      <c r="F1383" s="3">
        <v>4.2699999999999996</v>
      </c>
      <c r="G1383" s="3" t="s">
        <v>1415</v>
      </c>
      <c r="H1383" s="3">
        <v>3.5</v>
      </c>
      <c r="I1383" s="3">
        <v>5</v>
      </c>
      <c r="J1383" s="3" t="s">
        <v>1416</v>
      </c>
      <c r="K1383" s="3" t="s">
        <v>1434</v>
      </c>
    </row>
    <row r="1384" spans="1:11" x14ac:dyDescent="0.2">
      <c r="A1384" s="2" t="s">
        <v>977</v>
      </c>
      <c r="B1384" s="2" t="s">
        <v>985</v>
      </c>
      <c r="C1384" s="2" t="s">
        <v>878</v>
      </c>
      <c r="D1384" s="2" t="s">
        <v>1440</v>
      </c>
      <c r="E1384" s="2" t="s">
        <v>1441</v>
      </c>
      <c r="F1384" s="2">
        <v>7.25</v>
      </c>
      <c r="G1384" s="2" t="s">
        <v>1442</v>
      </c>
      <c r="H1384" s="2">
        <v>4</v>
      </c>
      <c r="I1384" s="2">
        <v>5.6</v>
      </c>
      <c r="J1384" s="5" t="s">
        <v>1426</v>
      </c>
      <c r="K1384" s="2" t="s">
        <v>1434</v>
      </c>
    </row>
    <row r="1385" spans="1:11" x14ac:dyDescent="0.2">
      <c r="A1385" s="3" t="s">
        <v>977</v>
      </c>
      <c r="B1385" s="3" t="s">
        <v>987</v>
      </c>
      <c r="C1385" s="3" t="s">
        <v>988</v>
      </c>
      <c r="D1385" s="3" t="s">
        <v>1446</v>
      </c>
      <c r="E1385" s="3" t="s">
        <v>1447</v>
      </c>
      <c r="F1385" s="3">
        <v>2.62</v>
      </c>
      <c r="G1385" s="3" t="s">
        <v>1415</v>
      </c>
      <c r="H1385" s="3">
        <v>2.1</v>
      </c>
      <c r="I1385" s="3">
        <v>2.6</v>
      </c>
      <c r="J1385" s="5" t="s">
        <v>1426</v>
      </c>
      <c r="K1385" s="3" t="s">
        <v>1434</v>
      </c>
    </row>
    <row r="1386" spans="1:11" x14ac:dyDescent="0.2">
      <c r="A1386" s="2" t="s">
        <v>977</v>
      </c>
      <c r="B1386" s="2" t="s">
        <v>987</v>
      </c>
      <c r="C1386" s="2" t="s">
        <v>988</v>
      </c>
      <c r="D1386" s="2" t="s">
        <v>1418</v>
      </c>
      <c r="E1386" s="2" t="s">
        <v>1419</v>
      </c>
      <c r="F1386" s="2">
        <v>4.32</v>
      </c>
      <c r="G1386" s="2" t="s">
        <v>1415</v>
      </c>
      <c r="H1386" s="2">
        <v>3.5</v>
      </c>
      <c r="I1386" s="2">
        <v>5</v>
      </c>
      <c r="J1386" s="2" t="s">
        <v>1416</v>
      </c>
      <c r="K1386" s="2" t="s">
        <v>1417</v>
      </c>
    </row>
    <row r="1387" spans="1:11" x14ac:dyDescent="0.2">
      <c r="A1387" s="3" t="s">
        <v>977</v>
      </c>
      <c r="B1387" s="3" t="s">
        <v>987</v>
      </c>
      <c r="C1387" s="3" t="s">
        <v>988</v>
      </c>
      <c r="D1387" s="3" t="s">
        <v>1450</v>
      </c>
      <c r="E1387" s="3" t="s">
        <v>1451</v>
      </c>
      <c r="F1387" s="3">
        <v>63.58</v>
      </c>
      <c r="G1387" s="3" t="s">
        <v>1452</v>
      </c>
      <c r="H1387" s="3">
        <v>60</v>
      </c>
      <c r="I1387" s="3">
        <v>120</v>
      </c>
      <c r="J1387" s="3" t="s">
        <v>1416</v>
      </c>
      <c r="K1387" s="3" t="s">
        <v>1434</v>
      </c>
    </row>
    <row r="1388" spans="1:11" x14ac:dyDescent="0.2">
      <c r="A1388" s="2" t="s">
        <v>977</v>
      </c>
      <c r="B1388" s="2" t="s">
        <v>987</v>
      </c>
      <c r="C1388" s="2" t="s">
        <v>988</v>
      </c>
      <c r="D1388" s="2" t="s">
        <v>1443</v>
      </c>
      <c r="E1388" s="2" t="s">
        <v>1444</v>
      </c>
      <c r="F1388" s="2">
        <v>67.12</v>
      </c>
      <c r="G1388" s="2" t="s">
        <v>1445</v>
      </c>
      <c r="H1388" s="2">
        <v>53</v>
      </c>
      <c r="I1388" s="2">
        <v>97</v>
      </c>
      <c r="J1388" s="2" t="s">
        <v>1416</v>
      </c>
      <c r="K1388" s="2" t="s">
        <v>1420</v>
      </c>
    </row>
    <row r="1389" spans="1:11" x14ac:dyDescent="0.2">
      <c r="A1389" s="3" t="s">
        <v>977</v>
      </c>
      <c r="B1389" s="3" t="s">
        <v>987</v>
      </c>
      <c r="C1389" s="3" t="s">
        <v>988</v>
      </c>
      <c r="D1389" s="3" t="s">
        <v>1440</v>
      </c>
      <c r="E1389" s="3" t="s">
        <v>1441</v>
      </c>
      <c r="F1389" s="3">
        <v>9.82</v>
      </c>
      <c r="G1389" s="3" t="s">
        <v>1442</v>
      </c>
      <c r="H1389" s="3">
        <v>4</v>
      </c>
      <c r="I1389" s="3">
        <v>5.6</v>
      </c>
      <c r="J1389" s="5" t="s">
        <v>1426</v>
      </c>
      <c r="K1389" s="3" t="s">
        <v>1434</v>
      </c>
    </row>
    <row r="1390" spans="1:11" x14ac:dyDescent="0.2">
      <c r="A1390" s="2" t="s">
        <v>977</v>
      </c>
      <c r="B1390" s="2" t="s">
        <v>987</v>
      </c>
      <c r="C1390" s="2" t="s">
        <v>988</v>
      </c>
      <c r="D1390" s="2" t="s">
        <v>1432</v>
      </c>
      <c r="E1390" s="2" t="s">
        <v>1433</v>
      </c>
      <c r="F1390" s="2">
        <v>3.49</v>
      </c>
      <c r="G1390" s="2" t="s">
        <v>1415</v>
      </c>
      <c r="H1390" s="2">
        <v>0</v>
      </c>
      <c r="I1390" s="2">
        <v>3</v>
      </c>
      <c r="J1390" s="5" t="s">
        <v>1426</v>
      </c>
      <c r="K1390" s="2" t="s">
        <v>1417</v>
      </c>
    </row>
    <row r="1391" spans="1:11" x14ac:dyDescent="0.2">
      <c r="A1391" s="3" t="s">
        <v>977</v>
      </c>
      <c r="B1391" s="3" t="s">
        <v>987</v>
      </c>
      <c r="C1391" s="3" t="s">
        <v>988</v>
      </c>
      <c r="D1391" s="3" t="s">
        <v>1437</v>
      </c>
      <c r="E1391" s="3" t="s">
        <v>1438</v>
      </c>
      <c r="F1391" s="3">
        <v>12.53</v>
      </c>
      <c r="G1391" s="3" t="s">
        <v>1439</v>
      </c>
      <c r="H1391" s="3">
        <v>12</v>
      </c>
      <c r="I1391" s="3">
        <v>17.5</v>
      </c>
      <c r="J1391" s="3" t="s">
        <v>1416</v>
      </c>
      <c r="K1391" s="3" t="s">
        <v>1417</v>
      </c>
    </row>
    <row r="1392" spans="1:11" x14ac:dyDescent="0.2">
      <c r="A1392" s="2" t="s">
        <v>977</v>
      </c>
      <c r="B1392" s="2" t="s">
        <v>987</v>
      </c>
      <c r="C1392" s="2" t="s">
        <v>988</v>
      </c>
      <c r="D1392" s="2" t="s">
        <v>1455</v>
      </c>
      <c r="E1392" s="2" t="s">
        <v>1456</v>
      </c>
      <c r="F1392" s="2">
        <v>257.85000000000002</v>
      </c>
      <c r="G1392" s="2" t="s">
        <v>1457</v>
      </c>
      <c r="H1392" s="2">
        <v>40</v>
      </c>
      <c r="I1392" s="2">
        <v>130</v>
      </c>
      <c r="J1392" s="5" t="s">
        <v>1426</v>
      </c>
      <c r="K1392" s="2" t="s">
        <v>1420</v>
      </c>
    </row>
    <row r="1393" spans="1:11" x14ac:dyDescent="0.2">
      <c r="A1393" s="3" t="s">
        <v>977</v>
      </c>
      <c r="B1393" s="3" t="s">
        <v>990</v>
      </c>
      <c r="C1393" s="3" t="s">
        <v>991</v>
      </c>
      <c r="D1393" s="3" t="s">
        <v>1450</v>
      </c>
      <c r="E1393" s="3" t="s">
        <v>1451</v>
      </c>
      <c r="F1393" s="3">
        <v>76.150000000000006</v>
      </c>
      <c r="G1393" s="3" t="s">
        <v>1452</v>
      </c>
      <c r="H1393" s="3">
        <v>60</v>
      </c>
      <c r="I1393" s="3">
        <v>120</v>
      </c>
      <c r="J1393" s="3" t="s">
        <v>1416</v>
      </c>
      <c r="K1393" s="3" t="s">
        <v>1417</v>
      </c>
    </row>
    <row r="1394" spans="1:11" x14ac:dyDescent="0.2">
      <c r="A1394" s="2" t="s">
        <v>977</v>
      </c>
      <c r="B1394" s="2" t="s">
        <v>990</v>
      </c>
      <c r="C1394" s="2" t="s">
        <v>991</v>
      </c>
      <c r="D1394" s="2" t="s">
        <v>1440</v>
      </c>
      <c r="E1394" s="2" t="s">
        <v>1441</v>
      </c>
      <c r="F1394" s="2">
        <v>10.66</v>
      </c>
      <c r="G1394" s="2" t="s">
        <v>1442</v>
      </c>
      <c r="H1394" s="2">
        <v>4</v>
      </c>
      <c r="I1394" s="2">
        <v>5.6</v>
      </c>
      <c r="J1394" s="5" t="s">
        <v>1426</v>
      </c>
      <c r="K1394" s="2" t="s">
        <v>1434</v>
      </c>
    </row>
    <row r="1395" spans="1:11" x14ac:dyDescent="0.2">
      <c r="A1395" s="3" t="s">
        <v>977</v>
      </c>
      <c r="B1395" s="3" t="s">
        <v>990</v>
      </c>
      <c r="C1395" s="3" t="s">
        <v>991</v>
      </c>
      <c r="D1395" s="3" t="s">
        <v>1418</v>
      </c>
      <c r="E1395" s="3" t="s">
        <v>1419</v>
      </c>
      <c r="F1395" s="3">
        <v>3.55</v>
      </c>
      <c r="G1395" s="3" t="s">
        <v>1415</v>
      </c>
      <c r="H1395" s="3">
        <v>3.5</v>
      </c>
      <c r="I1395" s="3">
        <v>5</v>
      </c>
      <c r="J1395" s="3" t="s">
        <v>1416</v>
      </c>
      <c r="K1395" s="3" t="s">
        <v>1420</v>
      </c>
    </row>
    <row r="1396" spans="1:11" x14ac:dyDescent="0.2">
      <c r="A1396" s="2" t="s">
        <v>977</v>
      </c>
      <c r="B1396" s="2" t="s">
        <v>993</v>
      </c>
      <c r="C1396" s="2" t="s">
        <v>994</v>
      </c>
      <c r="D1396" s="2" t="s">
        <v>1423</v>
      </c>
      <c r="E1396" s="2" t="s">
        <v>1424</v>
      </c>
      <c r="F1396" s="2">
        <v>4.3899999999999997</v>
      </c>
      <c r="G1396" s="2" t="s">
        <v>1425</v>
      </c>
      <c r="H1396" s="2">
        <v>4.5</v>
      </c>
      <c r="I1396" s="2">
        <v>5.5</v>
      </c>
      <c r="J1396" s="5" t="s">
        <v>1430</v>
      </c>
      <c r="K1396" s="2" t="s">
        <v>1434</v>
      </c>
    </row>
    <row r="1397" spans="1:11" x14ac:dyDescent="0.2">
      <c r="A1397" s="3" t="s">
        <v>977</v>
      </c>
      <c r="B1397" s="3" t="s">
        <v>993</v>
      </c>
      <c r="C1397" s="3" t="s">
        <v>994</v>
      </c>
      <c r="D1397" s="3" t="s">
        <v>1413</v>
      </c>
      <c r="E1397" s="3" t="s">
        <v>1414</v>
      </c>
      <c r="F1397" s="3">
        <v>0.88</v>
      </c>
      <c r="G1397" s="3" t="s">
        <v>1415</v>
      </c>
      <c r="H1397" s="3">
        <v>1</v>
      </c>
      <c r="I1397" s="3">
        <v>5</v>
      </c>
      <c r="J1397" s="5" t="s">
        <v>1430</v>
      </c>
      <c r="K1397" s="3" t="s">
        <v>1417</v>
      </c>
    </row>
    <row r="1398" spans="1:11" x14ac:dyDescent="0.2">
      <c r="A1398" s="2" t="s">
        <v>977</v>
      </c>
      <c r="B1398" s="2" t="s">
        <v>993</v>
      </c>
      <c r="C1398" s="2" t="s">
        <v>994</v>
      </c>
      <c r="D1398" s="2" t="s">
        <v>1421</v>
      </c>
      <c r="E1398" s="2" t="s">
        <v>1422</v>
      </c>
      <c r="F1398" s="2">
        <v>5.34</v>
      </c>
      <c r="G1398" s="2" t="s">
        <v>1415</v>
      </c>
      <c r="H1398" s="2">
        <v>0</v>
      </c>
      <c r="I1398" s="2">
        <v>5</v>
      </c>
      <c r="J1398" s="5" t="s">
        <v>1426</v>
      </c>
      <c r="K1398" s="2" t="s">
        <v>1434</v>
      </c>
    </row>
    <row r="1399" spans="1:11" x14ac:dyDescent="0.2">
      <c r="A1399" s="3" t="s">
        <v>977</v>
      </c>
      <c r="B1399" s="3" t="s">
        <v>993</v>
      </c>
      <c r="C1399" s="3" t="s">
        <v>994</v>
      </c>
      <c r="D1399" s="3" t="s">
        <v>1427</v>
      </c>
      <c r="E1399" s="3" t="s">
        <v>1428</v>
      </c>
      <c r="F1399" s="3">
        <v>16.28</v>
      </c>
      <c r="G1399" s="3" t="s">
        <v>1429</v>
      </c>
      <c r="H1399" s="3">
        <v>4</v>
      </c>
      <c r="I1399" s="3">
        <v>11</v>
      </c>
      <c r="J1399" s="5" t="s">
        <v>1426</v>
      </c>
      <c r="K1399" s="3" t="s">
        <v>1420</v>
      </c>
    </row>
    <row r="1400" spans="1:11" x14ac:dyDescent="0.2">
      <c r="A1400" s="2" t="s">
        <v>977</v>
      </c>
      <c r="B1400" s="2" t="s">
        <v>993</v>
      </c>
      <c r="C1400" s="2" t="s">
        <v>994</v>
      </c>
      <c r="D1400" s="2" t="s">
        <v>1455</v>
      </c>
      <c r="E1400" s="2" t="s">
        <v>1456</v>
      </c>
      <c r="F1400" s="2">
        <v>110.74</v>
      </c>
      <c r="G1400" s="2" t="s">
        <v>1457</v>
      </c>
      <c r="H1400" s="2">
        <v>40</v>
      </c>
      <c r="I1400" s="2">
        <v>130</v>
      </c>
      <c r="J1400" s="2" t="s">
        <v>1416</v>
      </c>
      <c r="K1400" s="2" t="s">
        <v>1420</v>
      </c>
    </row>
    <row r="1401" spans="1:11" x14ac:dyDescent="0.2">
      <c r="A1401" s="3" t="s">
        <v>977</v>
      </c>
      <c r="B1401" s="3" t="s">
        <v>993</v>
      </c>
      <c r="C1401" s="3" t="s">
        <v>994</v>
      </c>
      <c r="D1401" s="3" t="s">
        <v>1448</v>
      </c>
      <c r="E1401" s="3" t="s">
        <v>1449</v>
      </c>
      <c r="F1401" s="3">
        <v>143.12</v>
      </c>
      <c r="G1401" s="3" t="s">
        <v>1415</v>
      </c>
      <c r="H1401" s="3">
        <v>136</v>
      </c>
      <c r="I1401" s="3">
        <v>145</v>
      </c>
      <c r="J1401" s="3" t="s">
        <v>1416</v>
      </c>
      <c r="K1401" s="3" t="s">
        <v>1434</v>
      </c>
    </row>
    <row r="1402" spans="1:11" x14ac:dyDescent="0.2">
      <c r="A1402" s="2" t="s">
        <v>977</v>
      </c>
      <c r="B1402" s="2" t="s">
        <v>993</v>
      </c>
      <c r="C1402" s="2" t="s">
        <v>994</v>
      </c>
      <c r="D1402" s="2" t="s">
        <v>1418</v>
      </c>
      <c r="E1402" s="2" t="s">
        <v>1419</v>
      </c>
      <c r="F1402" s="2">
        <v>4.45</v>
      </c>
      <c r="G1402" s="2" t="s">
        <v>1415</v>
      </c>
      <c r="H1402" s="2">
        <v>3.5</v>
      </c>
      <c r="I1402" s="2">
        <v>5</v>
      </c>
      <c r="J1402" s="2" t="s">
        <v>1416</v>
      </c>
      <c r="K1402" s="2" t="s">
        <v>1431</v>
      </c>
    </row>
    <row r="1403" spans="1:11" x14ac:dyDescent="0.2">
      <c r="A1403" s="3" t="s">
        <v>977</v>
      </c>
      <c r="B1403" s="3" t="s">
        <v>993</v>
      </c>
      <c r="C1403" s="3" t="s">
        <v>994</v>
      </c>
      <c r="D1403" s="3" t="s">
        <v>1443</v>
      </c>
      <c r="E1403" s="3" t="s">
        <v>1444</v>
      </c>
      <c r="F1403" s="3">
        <v>66.73</v>
      </c>
      <c r="G1403" s="3" t="s">
        <v>1445</v>
      </c>
      <c r="H1403" s="3">
        <v>53</v>
      </c>
      <c r="I1403" s="3">
        <v>97</v>
      </c>
      <c r="J1403" s="3" t="s">
        <v>1416</v>
      </c>
      <c r="K1403" s="3" t="s">
        <v>1417</v>
      </c>
    </row>
    <row r="1404" spans="1:11" x14ac:dyDescent="0.2">
      <c r="A1404" s="2" t="s">
        <v>995</v>
      </c>
      <c r="B1404" s="2" t="s">
        <v>996</v>
      </c>
      <c r="C1404" s="2" t="s">
        <v>997</v>
      </c>
      <c r="D1404" s="2" t="s">
        <v>1448</v>
      </c>
      <c r="E1404" s="2" t="s">
        <v>1449</v>
      </c>
      <c r="F1404" s="2">
        <v>142.54</v>
      </c>
      <c r="G1404" s="2" t="s">
        <v>1415</v>
      </c>
      <c r="H1404" s="2">
        <v>136</v>
      </c>
      <c r="I1404" s="2">
        <v>145</v>
      </c>
      <c r="J1404" s="2" t="s">
        <v>1416</v>
      </c>
      <c r="K1404" s="2" t="s">
        <v>1434</v>
      </c>
    </row>
    <row r="1405" spans="1:11" x14ac:dyDescent="0.2">
      <c r="A1405" s="3" t="s">
        <v>995</v>
      </c>
      <c r="B1405" s="3" t="s">
        <v>996</v>
      </c>
      <c r="C1405" s="3" t="s">
        <v>997</v>
      </c>
      <c r="D1405" s="3" t="s">
        <v>1432</v>
      </c>
      <c r="E1405" s="3" t="s">
        <v>1433</v>
      </c>
      <c r="F1405" s="3">
        <v>2.56</v>
      </c>
      <c r="G1405" s="3" t="s">
        <v>1415</v>
      </c>
      <c r="H1405" s="3">
        <v>0</v>
      </c>
      <c r="I1405" s="3">
        <v>3</v>
      </c>
      <c r="J1405" s="3" t="s">
        <v>1416</v>
      </c>
      <c r="K1405" s="3" t="s">
        <v>1434</v>
      </c>
    </row>
    <row r="1406" spans="1:11" x14ac:dyDescent="0.2">
      <c r="A1406" s="2" t="s">
        <v>995</v>
      </c>
      <c r="B1406" s="2" t="s">
        <v>996</v>
      </c>
      <c r="C1406" s="2" t="s">
        <v>997</v>
      </c>
      <c r="D1406" s="2" t="s">
        <v>1413</v>
      </c>
      <c r="E1406" s="2" t="s">
        <v>1414</v>
      </c>
      <c r="F1406" s="2">
        <v>1.5</v>
      </c>
      <c r="G1406" s="2" t="s">
        <v>1415</v>
      </c>
      <c r="H1406" s="2">
        <v>1</v>
      </c>
      <c r="I1406" s="2">
        <v>5</v>
      </c>
      <c r="J1406" s="2" t="s">
        <v>1416</v>
      </c>
      <c r="K1406" s="2" t="s">
        <v>1417</v>
      </c>
    </row>
    <row r="1407" spans="1:11" x14ac:dyDescent="0.2">
      <c r="A1407" s="3" t="s">
        <v>995</v>
      </c>
      <c r="B1407" s="3" t="s">
        <v>1000</v>
      </c>
      <c r="C1407" s="3" t="s">
        <v>791</v>
      </c>
      <c r="D1407" s="3" t="s">
        <v>1440</v>
      </c>
      <c r="E1407" s="3" t="s">
        <v>1441</v>
      </c>
      <c r="F1407" s="3">
        <v>5.82</v>
      </c>
      <c r="G1407" s="3" t="s">
        <v>1442</v>
      </c>
      <c r="H1407" s="3">
        <v>4</v>
      </c>
      <c r="I1407" s="3">
        <v>5.6</v>
      </c>
      <c r="J1407" s="5" t="s">
        <v>1426</v>
      </c>
      <c r="K1407" s="3" t="s">
        <v>1431</v>
      </c>
    </row>
    <row r="1408" spans="1:11" x14ac:dyDescent="0.2">
      <c r="A1408" s="2" t="s">
        <v>995</v>
      </c>
      <c r="B1408" s="2" t="s">
        <v>1000</v>
      </c>
      <c r="C1408" s="2" t="s">
        <v>791</v>
      </c>
      <c r="D1408" s="2" t="s">
        <v>1453</v>
      </c>
      <c r="E1408" s="2" t="s">
        <v>1454</v>
      </c>
      <c r="F1408" s="2">
        <v>7.16</v>
      </c>
      <c r="G1408" s="2" t="s">
        <v>1415</v>
      </c>
      <c r="H1408" s="2">
        <v>3.9</v>
      </c>
      <c r="I1408" s="2">
        <v>5.5</v>
      </c>
      <c r="J1408" s="5" t="s">
        <v>1426</v>
      </c>
      <c r="K1408" s="2" t="s">
        <v>1417</v>
      </c>
    </row>
    <row r="1409" spans="1:11" x14ac:dyDescent="0.2">
      <c r="A1409" s="3" t="s">
        <v>995</v>
      </c>
      <c r="B1409" s="3" t="s">
        <v>1000</v>
      </c>
      <c r="C1409" s="3" t="s">
        <v>791</v>
      </c>
      <c r="D1409" s="3" t="s">
        <v>1427</v>
      </c>
      <c r="E1409" s="3" t="s">
        <v>1428</v>
      </c>
      <c r="F1409" s="3">
        <v>16.34</v>
      </c>
      <c r="G1409" s="3" t="s">
        <v>1429</v>
      </c>
      <c r="H1409" s="3">
        <v>4</v>
      </c>
      <c r="I1409" s="3">
        <v>11</v>
      </c>
      <c r="J1409" s="5" t="s">
        <v>1426</v>
      </c>
      <c r="K1409" s="3" t="s">
        <v>1420</v>
      </c>
    </row>
    <row r="1410" spans="1:11" x14ac:dyDescent="0.2">
      <c r="A1410" s="2" t="s">
        <v>995</v>
      </c>
      <c r="B1410" s="2" t="s">
        <v>1000</v>
      </c>
      <c r="C1410" s="2" t="s">
        <v>791</v>
      </c>
      <c r="D1410" s="2" t="s">
        <v>1446</v>
      </c>
      <c r="E1410" s="2" t="s">
        <v>1447</v>
      </c>
      <c r="F1410" s="2">
        <v>2.97</v>
      </c>
      <c r="G1410" s="2" t="s">
        <v>1415</v>
      </c>
      <c r="H1410" s="2">
        <v>2.1</v>
      </c>
      <c r="I1410" s="2">
        <v>2.6</v>
      </c>
      <c r="J1410" s="5" t="s">
        <v>1426</v>
      </c>
      <c r="K1410" s="2" t="s">
        <v>1431</v>
      </c>
    </row>
    <row r="1411" spans="1:11" x14ac:dyDescent="0.2">
      <c r="A1411" s="3" t="s">
        <v>995</v>
      </c>
      <c r="B1411" s="3" t="s">
        <v>1002</v>
      </c>
      <c r="C1411" s="3" t="s">
        <v>1003</v>
      </c>
      <c r="D1411" s="3" t="s">
        <v>1446</v>
      </c>
      <c r="E1411" s="3" t="s">
        <v>1447</v>
      </c>
      <c r="F1411" s="3">
        <v>1.85</v>
      </c>
      <c r="G1411" s="3" t="s">
        <v>1415</v>
      </c>
      <c r="H1411" s="3">
        <v>2.1</v>
      </c>
      <c r="I1411" s="3">
        <v>2.6</v>
      </c>
      <c r="J1411" s="5" t="s">
        <v>1430</v>
      </c>
      <c r="K1411" s="3" t="s">
        <v>1434</v>
      </c>
    </row>
    <row r="1412" spans="1:11" x14ac:dyDescent="0.2">
      <c r="A1412" s="2" t="s">
        <v>995</v>
      </c>
      <c r="B1412" s="2" t="s">
        <v>1002</v>
      </c>
      <c r="C1412" s="2" t="s">
        <v>1003</v>
      </c>
      <c r="D1412" s="2" t="s">
        <v>1427</v>
      </c>
      <c r="E1412" s="2" t="s">
        <v>1428</v>
      </c>
      <c r="F1412" s="2">
        <v>8.42</v>
      </c>
      <c r="G1412" s="2" t="s">
        <v>1429</v>
      </c>
      <c r="H1412" s="2">
        <v>4</v>
      </c>
      <c r="I1412" s="2">
        <v>11</v>
      </c>
      <c r="J1412" s="2" t="s">
        <v>1416</v>
      </c>
      <c r="K1412" s="2" t="s">
        <v>1434</v>
      </c>
    </row>
    <row r="1413" spans="1:11" x14ac:dyDescent="0.2">
      <c r="A1413" s="3" t="s">
        <v>995</v>
      </c>
      <c r="B1413" s="3" t="s">
        <v>1002</v>
      </c>
      <c r="C1413" s="3" t="s">
        <v>1003</v>
      </c>
      <c r="D1413" s="3" t="s">
        <v>1423</v>
      </c>
      <c r="E1413" s="3" t="s">
        <v>1424</v>
      </c>
      <c r="F1413" s="3">
        <v>4.01</v>
      </c>
      <c r="G1413" s="3" t="s">
        <v>1425</v>
      </c>
      <c r="H1413" s="3">
        <v>4.5</v>
      </c>
      <c r="I1413" s="3">
        <v>5.5</v>
      </c>
      <c r="J1413" s="5" t="s">
        <v>1430</v>
      </c>
      <c r="K1413" s="3" t="s">
        <v>1420</v>
      </c>
    </row>
    <row r="1414" spans="1:11" x14ac:dyDescent="0.2">
      <c r="A1414" s="2" t="s">
        <v>995</v>
      </c>
      <c r="B1414" s="2" t="s">
        <v>1002</v>
      </c>
      <c r="C1414" s="2" t="s">
        <v>1003</v>
      </c>
      <c r="D1414" s="2" t="s">
        <v>1448</v>
      </c>
      <c r="E1414" s="2" t="s">
        <v>1449</v>
      </c>
      <c r="F1414" s="2">
        <v>139.34</v>
      </c>
      <c r="G1414" s="2" t="s">
        <v>1415</v>
      </c>
      <c r="H1414" s="2">
        <v>136</v>
      </c>
      <c r="I1414" s="2">
        <v>145</v>
      </c>
      <c r="J1414" s="2" t="s">
        <v>1416</v>
      </c>
      <c r="K1414" s="2" t="s">
        <v>1434</v>
      </c>
    </row>
    <row r="1415" spans="1:11" x14ac:dyDescent="0.2">
      <c r="A1415" s="3" t="s">
        <v>995</v>
      </c>
      <c r="B1415" s="3" t="s">
        <v>1002</v>
      </c>
      <c r="C1415" s="3" t="s">
        <v>1003</v>
      </c>
      <c r="D1415" s="3" t="s">
        <v>1443</v>
      </c>
      <c r="E1415" s="3" t="s">
        <v>1444</v>
      </c>
      <c r="F1415" s="3">
        <v>62.36</v>
      </c>
      <c r="G1415" s="3" t="s">
        <v>1445</v>
      </c>
      <c r="H1415" s="3">
        <v>53</v>
      </c>
      <c r="I1415" s="3">
        <v>97</v>
      </c>
      <c r="J1415" s="3" t="s">
        <v>1416</v>
      </c>
      <c r="K1415" s="3" t="s">
        <v>1420</v>
      </c>
    </row>
    <row r="1416" spans="1:11" x14ac:dyDescent="0.2">
      <c r="A1416" s="2" t="s">
        <v>995</v>
      </c>
      <c r="B1416" s="2" t="s">
        <v>1002</v>
      </c>
      <c r="C1416" s="2" t="s">
        <v>1003</v>
      </c>
      <c r="D1416" s="2" t="s">
        <v>1453</v>
      </c>
      <c r="E1416" s="2" t="s">
        <v>1454</v>
      </c>
      <c r="F1416" s="2">
        <v>7.61</v>
      </c>
      <c r="G1416" s="2" t="s">
        <v>1415</v>
      </c>
      <c r="H1416" s="2">
        <v>3.9</v>
      </c>
      <c r="I1416" s="2">
        <v>5.5</v>
      </c>
      <c r="J1416" s="5" t="s">
        <v>1426</v>
      </c>
      <c r="K1416" s="2" t="s">
        <v>1434</v>
      </c>
    </row>
    <row r="1417" spans="1:11" x14ac:dyDescent="0.2">
      <c r="A1417" s="3" t="s">
        <v>995</v>
      </c>
      <c r="B1417" s="3" t="s">
        <v>1002</v>
      </c>
      <c r="C1417" s="3" t="s">
        <v>1003</v>
      </c>
      <c r="D1417" s="3" t="s">
        <v>1432</v>
      </c>
      <c r="E1417" s="3" t="s">
        <v>1433</v>
      </c>
      <c r="F1417" s="3">
        <v>4.38</v>
      </c>
      <c r="G1417" s="3" t="s">
        <v>1415</v>
      </c>
      <c r="H1417" s="3">
        <v>0</v>
      </c>
      <c r="I1417" s="3">
        <v>3</v>
      </c>
      <c r="J1417" s="5" t="s">
        <v>1426</v>
      </c>
      <c r="K1417" s="3" t="s">
        <v>1417</v>
      </c>
    </row>
    <row r="1418" spans="1:11" x14ac:dyDescent="0.2">
      <c r="A1418" s="2" t="s">
        <v>995</v>
      </c>
      <c r="B1418" s="2" t="s">
        <v>1002</v>
      </c>
      <c r="C1418" s="2" t="s">
        <v>1003</v>
      </c>
      <c r="D1418" s="2" t="s">
        <v>1455</v>
      </c>
      <c r="E1418" s="2" t="s">
        <v>1456</v>
      </c>
      <c r="F1418" s="2">
        <v>338.85</v>
      </c>
      <c r="G1418" s="2" t="s">
        <v>1457</v>
      </c>
      <c r="H1418" s="2">
        <v>40</v>
      </c>
      <c r="I1418" s="2">
        <v>130</v>
      </c>
      <c r="J1418" s="5" t="s">
        <v>1426</v>
      </c>
      <c r="K1418" s="2" t="s">
        <v>1431</v>
      </c>
    </row>
    <row r="1419" spans="1:11" x14ac:dyDescent="0.2">
      <c r="A1419" s="3" t="s">
        <v>995</v>
      </c>
      <c r="B1419" s="3" t="s">
        <v>1005</v>
      </c>
      <c r="C1419" s="3" t="s">
        <v>1006</v>
      </c>
      <c r="D1419" s="3" t="s">
        <v>1413</v>
      </c>
      <c r="E1419" s="3" t="s">
        <v>1414</v>
      </c>
      <c r="F1419" s="3">
        <v>1.26</v>
      </c>
      <c r="G1419" s="3" t="s">
        <v>1415</v>
      </c>
      <c r="H1419" s="3">
        <v>1</v>
      </c>
      <c r="I1419" s="3">
        <v>5</v>
      </c>
      <c r="J1419" s="3" t="s">
        <v>1416</v>
      </c>
      <c r="K1419" s="3" t="s">
        <v>1417</v>
      </c>
    </row>
    <row r="1420" spans="1:11" x14ac:dyDescent="0.2">
      <c r="A1420" s="2" t="s">
        <v>995</v>
      </c>
      <c r="B1420" s="2" t="s">
        <v>1005</v>
      </c>
      <c r="C1420" s="2" t="s">
        <v>1006</v>
      </c>
      <c r="D1420" s="2" t="s">
        <v>1455</v>
      </c>
      <c r="E1420" s="2" t="s">
        <v>1456</v>
      </c>
      <c r="F1420" s="2">
        <v>98.87</v>
      </c>
      <c r="G1420" s="2" t="s">
        <v>1457</v>
      </c>
      <c r="H1420" s="2">
        <v>40</v>
      </c>
      <c r="I1420" s="2">
        <v>130</v>
      </c>
      <c r="J1420" s="2" t="s">
        <v>1416</v>
      </c>
      <c r="K1420" s="2" t="s">
        <v>1417</v>
      </c>
    </row>
    <row r="1421" spans="1:11" x14ac:dyDescent="0.2">
      <c r="A1421" s="3" t="s">
        <v>995</v>
      </c>
      <c r="B1421" s="3" t="s">
        <v>1005</v>
      </c>
      <c r="C1421" s="3" t="s">
        <v>1006</v>
      </c>
      <c r="D1421" s="3" t="s">
        <v>1423</v>
      </c>
      <c r="E1421" s="3" t="s">
        <v>1424</v>
      </c>
      <c r="F1421" s="3">
        <v>3.82</v>
      </c>
      <c r="G1421" s="3" t="s">
        <v>1425</v>
      </c>
      <c r="H1421" s="3">
        <v>4.5</v>
      </c>
      <c r="I1421" s="3">
        <v>5.5</v>
      </c>
      <c r="J1421" s="5" t="s">
        <v>1430</v>
      </c>
      <c r="K1421" s="3" t="s">
        <v>1431</v>
      </c>
    </row>
    <row r="1422" spans="1:11" x14ac:dyDescent="0.2">
      <c r="A1422" s="2" t="s">
        <v>995</v>
      </c>
      <c r="B1422" s="2" t="s">
        <v>1005</v>
      </c>
      <c r="C1422" s="2" t="s">
        <v>1006</v>
      </c>
      <c r="D1422" s="2" t="s">
        <v>1427</v>
      </c>
      <c r="E1422" s="2" t="s">
        <v>1428</v>
      </c>
      <c r="F1422" s="2">
        <v>6.79</v>
      </c>
      <c r="G1422" s="2" t="s">
        <v>1429</v>
      </c>
      <c r="H1422" s="2">
        <v>4</v>
      </c>
      <c r="I1422" s="2">
        <v>11</v>
      </c>
      <c r="J1422" s="2" t="s">
        <v>1416</v>
      </c>
      <c r="K1422" s="2" t="s">
        <v>1434</v>
      </c>
    </row>
    <row r="1423" spans="1:11" x14ac:dyDescent="0.2">
      <c r="A1423" s="3" t="s">
        <v>995</v>
      </c>
      <c r="B1423" s="3" t="s">
        <v>1005</v>
      </c>
      <c r="C1423" s="3" t="s">
        <v>1006</v>
      </c>
      <c r="D1423" s="3" t="s">
        <v>1435</v>
      </c>
      <c r="E1423" s="3" t="s">
        <v>1436</v>
      </c>
      <c r="F1423" s="3">
        <v>1.29</v>
      </c>
      <c r="G1423" s="3" t="s">
        <v>1415</v>
      </c>
      <c r="H1423" s="3">
        <v>0.8</v>
      </c>
      <c r="I1423" s="3">
        <v>1.5</v>
      </c>
      <c r="J1423" s="3" t="s">
        <v>1416</v>
      </c>
      <c r="K1423" s="3" t="s">
        <v>1431</v>
      </c>
    </row>
    <row r="1424" spans="1:11" x14ac:dyDescent="0.2">
      <c r="A1424" s="2" t="s">
        <v>995</v>
      </c>
      <c r="B1424" s="2" t="s">
        <v>1005</v>
      </c>
      <c r="C1424" s="2" t="s">
        <v>1006</v>
      </c>
      <c r="D1424" s="2" t="s">
        <v>1421</v>
      </c>
      <c r="E1424" s="2" t="s">
        <v>1422</v>
      </c>
      <c r="F1424" s="2">
        <v>6.21</v>
      </c>
      <c r="G1424" s="2" t="s">
        <v>1415</v>
      </c>
      <c r="H1424" s="2">
        <v>0</v>
      </c>
      <c r="I1424" s="2">
        <v>5</v>
      </c>
      <c r="J1424" s="5" t="s">
        <v>1426</v>
      </c>
      <c r="K1424" s="2" t="s">
        <v>1420</v>
      </c>
    </row>
    <row r="1425" spans="1:11" x14ac:dyDescent="0.2">
      <c r="A1425" s="3" t="s">
        <v>995</v>
      </c>
      <c r="B1425" s="3" t="s">
        <v>1005</v>
      </c>
      <c r="C1425" s="3" t="s">
        <v>1006</v>
      </c>
      <c r="D1425" s="3" t="s">
        <v>1443</v>
      </c>
      <c r="E1425" s="3" t="s">
        <v>1444</v>
      </c>
      <c r="F1425" s="3">
        <v>55.2</v>
      </c>
      <c r="G1425" s="3" t="s">
        <v>1445</v>
      </c>
      <c r="H1425" s="3">
        <v>53</v>
      </c>
      <c r="I1425" s="3">
        <v>97</v>
      </c>
      <c r="J1425" s="3" t="s">
        <v>1416</v>
      </c>
      <c r="K1425" s="3" t="s">
        <v>1431</v>
      </c>
    </row>
    <row r="1426" spans="1:11" x14ac:dyDescent="0.2">
      <c r="A1426" s="2" t="s">
        <v>995</v>
      </c>
      <c r="B1426" s="2" t="s">
        <v>1007</v>
      </c>
      <c r="C1426" s="2" t="s">
        <v>1008</v>
      </c>
      <c r="D1426" s="2" t="s">
        <v>1450</v>
      </c>
      <c r="E1426" s="2" t="s">
        <v>1451</v>
      </c>
      <c r="F1426" s="2">
        <v>29.92</v>
      </c>
      <c r="G1426" s="2" t="s">
        <v>1452</v>
      </c>
      <c r="H1426" s="2">
        <v>60</v>
      </c>
      <c r="I1426" s="2">
        <v>120</v>
      </c>
      <c r="J1426" s="5" t="s">
        <v>1430</v>
      </c>
      <c r="K1426" s="2" t="s">
        <v>1420</v>
      </c>
    </row>
    <row r="1427" spans="1:11" x14ac:dyDescent="0.2">
      <c r="A1427" s="3" t="s">
        <v>995</v>
      </c>
      <c r="B1427" s="3" t="s">
        <v>1007</v>
      </c>
      <c r="C1427" s="3" t="s">
        <v>1008</v>
      </c>
      <c r="D1427" s="3" t="s">
        <v>1418</v>
      </c>
      <c r="E1427" s="3" t="s">
        <v>1419</v>
      </c>
      <c r="F1427" s="3">
        <v>4.26</v>
      </c>
      <c r="G1427" s="3" t="s">
        <v>1415</v>
      </c>
      <c r="H1427" s="3">
        <v>3.5</v>
      </c>
      <c r="I1427" s="3">
        <v>5</v>
      </c>
      <c r="J1427" s="3" t="s">
        <v>1416</v>
      </c>
      <c r="K1427" s="3" t="s">
        <v>1420</v>
      </c>
    </row>
    <row r="1428" spans="1:11" x14ac:dyDescent="0.2">
      <c r="A1428" s="2" t="s">
        <v>995</v>
      </c>
      <c r="B1428" s="2" t="s">
        <v>1007</v>
      </c>
      <c r="C1428" s="2" t="s">
        <v>1008</v>
      </c>
      <c r="D1428" s="2" t="s">
        <v>1437</v>
      </c>
      <c r="E1428" s="2" t="s">
        <v>1438</v>
      </c>
      <c r="F1428" s="2">
        <v>7.26</v>
      </c>
      <c r="G1428" s="2" t="s">
        <v>1439</v>
      </c>
      <c r="H1428" s="2">
        <v>12</v>
      </c>
      <c r="I1428" s="2">
        <v>17.5</v>
      </c>
      <c r="J1428" s="5" t="s">
        <v>1430</v>
      </c>
      <c r="K1428" s="2" t="s">
        <v>1431</v>
      </c>
    </row>
    <row r="1429" spans="1:11" x14ac:dyDescent="0.2">
      <c r="A1429" s="3" t="s">
        <v>1010</v>
      </c>
      <c r="B1429" s="3" t="s">
        <v>1011</v>
      </c>
      <c r="C1429" s="3" t="s">
        <v>667</v>
      </c>
      <c r="D1429" s="3" t="s">
        <v>1435</v>
      </c>
      <c r="E1429" s="3" t="s">
        <v>1436</v>
      </c>
      <c r="F1429" s="3">
        <v>0.57999999999999996</v>
      </c>
      <c r="G1429" s="3" t="s">
        <v>1415</v>
      </c>
      <c r="H1429" s="3">
        <v>0.8</v>
      </c>
      <c r="I1429" s="3">
        <v>1.5</v>
      </c>
      <c r="J1429" s="5" t="s">
        <v>1430</v>
      </c>
      <c r="K1429" s="3" t="s">
        <v>1420</v>
      </c>
    </row>
    <row r="1430" spans="1:11" x14ac:dyDescent="0.2">
      <c r="A1430" s="2" t="s">
        <v>1010</v>
      </c>
      <c r="B1430" s="2" t="s">
        <v>1011</v>
      </c>
      <c r="C1430" s="2" t="s">
        <v>667</v>
      </c>
      <c r="D1430" s="2" t="s">
        <v>1432</v>
      </c>
      <c r="E1430" s="2" t="s">
        <v>1433</v>
      </c>
      <c r="F1430" s="2">
        <v>3.97</v>
      </c>
      <c r="G1430" s="2" t="s">
        <v>1415</v>
      </c>
      <c r="H1430" s="2">
        <v>0</v>
      </c>
      <c r="I1430" s="2">
        <v>3</v>
      </c>
      <c r="J1430" s="5" t="s">
        <v>1426</v>
      </c>
      <c r="K1430" s="2" t="s">
        <v>1417</v>
      </c>
    </row>
    <row r="1431" spans="1:11" x14ac:dyDescent="0.2">
      <c r="A1431" s="3" t="s">
        <v>1010</v>
      </c>
      <c r="B1431" s="3" t="s">
        <v>1011</v>
      </c>
      <c r="C1431" s="3" t="s">
        <v>667</v>
      </c>
      <c r="D1431" s="3" t="s">
        <v>1421</v>
      </c>
      <c r="E1431" s="3" t="s">
        <v>1422</v>
      </c>
      <c r="F1431" s="3">
        <v>5.85</v>
      </c>
      <c r="G1431" s="3" t="s">
        <v>1415</v>
      </c>
      <c r="H1431" s="3">
        <v>0</v>
      </c>
      <c r="I1431" s="3">
        <v>5</v>
      </c>
      <c r="J1431" s="5" t="s">
        <v>1426</v>
      </c>
      <c r="K1431" s="3" t="s">
        <v>1420</v>
      </c>
    </row>
    <row r="1432" spans="1:11" x14ac:dyDescent="0.2">
      <c r="A1432" s="2" t="s">
        <v>1010</v>
      </c>
      <c r="B1432" s="2" t="s">
        <v>1014</v>
      </c>
      <c r="C1432" s="2" t="s">
        <v>1015</v>
      </c>
      <c r="D1432" s="2" t="s">
        <v>1418</v>
      </c>
      <c r="E1432" s="2" t="s">
        <v>1419</v>
      </c>
      <c r="F1432" s="2">
        <v>4</v>
      </c>
      <c r="G1432" s="2" t="s">
        <v>1415</v>
      </c>
      <c r="H1432" s="2">
        <v>3.5</v>
      </c>
      <c r="I1432" s="2">
        <v>5</v>
      </c>
      <c r="J1432" s="2" t="s">
        <v>1416</v>
      </c>
      <c r="K1432" s="2" t="s">
        <v>1417</v>
      </c>
    </row>
    <row r="1433" spans="1:11" x14ac:dyDescent="0.2">
      <c r="A1433" s="3" t="s">
        <v>1010</v>
      </c>
      <c r="B1433" s="3" t="s">
        <v>1014</v>
      </c>
      <c r="C1433" s="3" t="s">
        <v>1015</v>
      </c>
      <c r="D1433" s="3" t="s">
        <v>1448</v>
      </c>
      <c r="E1433" s="3" t="s">
        <v>1449</v>
      </c>
      <c r="F1433" s="3">
        <v>135.28</v>
      </c>
      <c r="G1433" s="3" t="s">
        <v>1415</v>
      </c>
      <c r="H1433" s="3">
        <v>136</v>
      </c>
      <c r="I1433" s="3">
        <v>145</v>
      </c>
      <c r="J1433" s="5" t="s">
        <v>1430</v>
      </c>
      <c r="K1433" s="3" t="s">
        <v>1417</v>
      </c>
    </row>
    <row r="1434" spans="1:11" x14ac:dyDescent="0.2">
      <c r="A1434" s="2" t="s">
        <v>1010</v>
      </c>
      <c r="B1434" s="2" t="s">
        <v>1014</v>
      </c>
      <c r="C1434" s="2" t="s">
        <v>1015</v>
      </c>
      <c r="D1434" s="2" t="s">
        <v>1427</v>
      </c>
      <c r="E1434" s="2" t="s">
        <v>1428</v>
      </c>
      <c r="F1434" s="2">
        <v>5.76</v>
      </c>
      <c r="G1434" s="2" t="s">
        <v>1429</v>
      </c>
      <c r="H1434" s="2">
        <v>4</v>
      </c>
      <c r="I1434" s="2">
        <v>11</v>
      </c>
      <c r="J1434" s="2" t="s">
        <v>1416</v>
      </c>
      <c r="K1434" s="2" t="s">
        <v>1431</v>
      </c>
    </row>
    <row r="1435" spans="1:11" x14ac:dyDescent="0.2">
      <c r="A1435" s="3" t="s">
        <v>1010</v>
      </c>
      <c r="B1435" s="3" t="s">
        <v>1014</v>
      </c>
      <c r="C1435" s="3" t="s">
        <v>1015</v>
      </c>
      <c r="D1435" s="3" t="s">
        <v>1443</v>
      </c>
      <c r="E1435" s="3" t="s">
        <v>1444</v>
      </c>
      <c r="F1435" s="3">
        <v>81.92</v>
      </c>
      <c r="G1435" s="3" t="s">
        <v>1445</v>
      </c>
      <c r="H1435" s="3">
        <v>53</v>
      </c>
      <c r="I1435" s="3">
        <v>97</v>
      </c>
      <c r="J1435" s="3" t="s">
        <v>1416</v>
      </c>
      <c r="K1435" s="3" t="s">
        <v>1420</v>
      </c>
    </row>
    <row r="1436" spans="1:11" x14ac:dyDescent="0.2">
      <c r="A1436" s="2" t="s">
        <v>1010</v>
      </c>
      <c r="B1436" s="2" t="s">
        <v>1014</v>
      </c>
      <c r="C1436" s="2" t="s">
        <v>1015</v>
      </c>
      <c r="D1436" s="2" t="s">
        <v>1432</v>
      </c>
      <c r="E1436" s="2" t="s">
        <v>1433</v>
      </c>
      <c r="F1436" s="2">
        <v>2.73</v>
      </c>
      <c r="G1436" s="2" t="s">
        <v>1415</v>
      </c>
      <c r="H1436" s="2">
        <v>0</v>
      </c>
      <c r="I1436" s="2">
        <v>3</v>
      </c>
      <c r="J1436" s="2" t="s">
        <v>1416</v>
      </c>
      <c r="K1436" s="2" t="s">
        <v>1434</v>
      </c>
    </row>
    <row r="1437" spans="1:11" x14ac:dyDescent="0.2">
      <c r="A1437" s="3" t="s">
        <v>1010</v>
      </c>
      <c r="B1437" s="3" t="s">
        <v>1014</v>
      </c>
      <c r="C1437" s="3" t="s">
        <v>1015</v>
      </c>
      <c r="D1437" s="3" t="s">
        <v>1437</v>
      </c>
      <c r="E1437" s="3" t="s">
        <v>1438</v>
      </c>
      <c r="F1437" s="3">
        <v>14.21</v>
      </c>
      <c r="G1437" s="3" t="s">
        <v>1439</v>
      </c>
      <c r="H1437" s="3">
        <v>12</v>
      </c>
      <c r="I1437" s="3">
        <v>17.5</v>
      </c>
      <c r="J1437" s="3" t="s">
        <v>1416</v>
      </c>
      <c r="K1437" s="3" t="s">
        <v>1420</v>
      </c>
    </row>
    <row r="1438" spans="1:11" x14ac:dyDescent="0.2">
      <c r="A1438" s="2" t="s">
        <v>1010</v>
      </c>
      <c r="B1438" s="2" t="s">
        <v>1014</v>
      </c>
      <c r="C1438" s="2" t="s">
        <v>1015</v>
      </c>
      <c r="D1438" s="2" t="s">
        <v>1423</v>
      </c>
      <c r="E1438" s="2" t="s">
        <v>1424</v>
      </c>
      <c r="F1438" s="2">
        <v>3.25</v>
      </c>
      <c r="G1438" s="2" t="s">
        <v>1425</v>
      </c>
      <c r="H1438" s="2">
        <v>4.5</v>
      </c>
      <c r="I1438" s="2">
        <v>5.5</v>
      </c>
      <c r="J1438" s="5" t="s">
        <v>1430</v>
      </c>
      <c r="K1438" s="2" t="s">
        <v>1420</v>
      </c>
    </row>
    <row r="1439" spans="1:11" x14ac:dyDescent="0.2">
      <c r="A1439" s="3" t="s">
        <v>1017</v>
      </c>
      <c r="B1439" s="3" t="s">
        <v>1018</v>
      </c>
      <c r="C1439" s="3" t="s">
        <v>1019</v>
      </c>
      <c r="D1439" s="3" t="s">
        <v>1413</v>
      </c>
      <c r="E1439" s="3" t="s">
        <v>1414</v>
      </c>
      <c r="F1439" s="3">
        <v>1.4</v>
      </c>
      <c r="G1439" s="3" t="s">
        <v>1415</v>
      </c>
      <c r="H1439" s="3">
        <v>1</v>
      </c>
      <c r="I1439" s="3">
        <v>5</v>
      </c>
      <c r="J1439" s="3" t="s">
        <v>1416</v>
      </c>
      <c r="K1439" s="3" t="s">
        <v>1431</v>
      </c>
    </row>
    <row r="1440" spans="1:11" x14ac:dyDescent="0.2">
      <c r="A1440" s="2" t="s">
        <v>1017</v>
      </c>
      <c r="B1440" s="2" t="s">
        <v>1018</v>
      </c>
      <c r="C1440" s="2" t="s">
        <v>1019</v>
      </c>
      <c r="D1440" s="2" t="s">
        <v>1450</v>
      </c>
      <c r="E1440" s="2" t="s">
        <v>1451</v>
      </c>
      <c r="F1440" s="2">
        <v>86.86</v>
      </c>
      <c r="G1440" s="2" t="s">
        <v>1452</v>
      </c>
      <c r="H1440" s="2">
        <v>60</v>
      </c>
      <c r="I1440" s="2">
        <v>120</v>
      </c>
      <c r="J1440" s="2" t="s">
        <v>1416</v>
      </c>
      <c r="K1440" s="2" t="s">
        <v>1431</v>
      </c>
    </row>
    <row r="1441" spans="1:11" x14ac:dyDescent="0.2">
      <c r="A1441" s="3" t="s">
        <v>1017</v>
      </c>
      <c r="B1441" s="3" t="s">
        <v>1018</v>
      </c>
      <c r="C1441" s="3" t="s">
        <v>1019</v>
      </c>
      <c r="D1441" s="3" t="s">
        <v>1432</v>
      </c>
      <c r="E1441" s="3" t="s">
        <v>1433</v>
      </c>
      <c r="F1441" s="3">
        <v>3.57</v>
      </c>
      <c r="G1441" s="3" t="s">
        <v>1415</v>
      </c>
      <c r="H1441" s="3">
        <v>0</v>
      </c>
      <c r="I1441" s="3">
        <v>3</v>
      </c>
      <c r="J1441" s="5" t="s">
        <v>1426</v>
      </c>
      <c r="K1441" s="3" t="s">
        <v>1417</v>
      </c>
    </row>
    <row r="1442" spans="1:11" x14ac:dyDescent="0.2">
      <c r="A1442" s="2" t="s">
        <v>1017</v>
      </c>
      <c r="B1442" s="2" t="s">
        <v>1018</v>
      </c>
      <c r="C1442" s="2" t="s">
        <v>1019</v>
      </c>
      <c r="D1442" s="2" t="s">
        <v>1448</v>
      </c>
      <c r="E1442" s="2" t="s">
        <v>1449</v>
      </c>
      <c r="F1442" s="2">
        <v>139.22999999999999</v>
      </c>
      <c r="G1442" s="2" t="s">
        <v>1415</v>
      </c>
      <c r="H1442" s="2">
        <v>136</v>
      </c>
      <c r="I1442" s="2">
        <v>145</v>
      </c>
      <c r="J1442" s="2" t="s">
        <v>1416</v>
      </c>
      <c r="K1442" s="2" t="s">
        <v>1434</v>
      </c>
    </row>
    <row r="1443" spans="1:11" x14ac:dyDescent="0.2">
      <c r="A1443" s="3" t="s">
        <v>1017</v>
      </c>
      <c r="B1443" s="3" t="s">
        <v>1018</v>
      </c>
      <c r="C1443" s="3" t="s">
        <v>1019</v>
      </c>
      <c r="D1443" s="3" t="s">
        <v>1437</v>
      </c>
      <c r="E1443" s="3" t="s">
        <v>1438</v>
      </c>
      <c r="F1443" s="3">
        <v>15.77</v>
      </c>
      <c r="G1443" s="3" t="s">
        <v>1439</v>
      </c>
      <c r="H1443" s="3">
        <v>12</v>
      </c>
      <c r="I1443" s="3">
        <v>17.5</v>
      </c>
      <c r="J1443" s="3" t="s">
        <v>1416</v>
      </c>
      <c r="K1443" s="3" t="s">
        <v>1420</v>
      </c>
    </row>
    <row r="1444" spans="1:11" x14ac:dyDescent="0.2">
      <c r="A1444" s="2" t="s">
        <v>1022</v>
      </c>
      <c r="B1444" s="2" t="s">
        <v>1023</v>
      </c>
      <c r="C1444" s="2" t="s">
        <v>1024</v>
      </c>
      <c r="D1444" s="2" t="s">
        <v>1435</v>
      </c>
      <c r="E1444" s="2" t="s">
        <v>1436</v>
      </c>
      <c r="F1444" s="2">
        <v>1.29</v>
      </c>
      <c r="G1444" s="2" t="s">
        <v>1415</v>
      </c>
      <c r="H1444" s="2">
        <v>0.8</v>
      </c>
      <c r="I1444" s="2">
        <v>1.5</v>
      </c>
      <c r="J1444" s="2" t="s">
        <v>1416</v>
      </c>
      <c r="K1444" s="2" t="s">
        <v>1434</v>
      </c>
    </row>
    <row r="1445" spans="1:11" x14ac:dyDescent="0.2">
      <c r="A1445" s="3" t="s">
        <v>1022</v>
      </c>
      <c r="B1445" s="3" t="s">
        <v>1023</v>
      </c>
      <c r="C1445" s="3" t="s">
        <v>1024</v>
      </c>
      <c r="D1445" s="3" t="s">
        <v>1448</v>
      </c>
      <c r="E1445" s="3" t="s">
        <v>1449</v>
      </c>
      <c r="F1445" s="3">
        <v>134.44999999999999</v>
      </c>
      <c r="G1445" s="3" t="s">
        <v>1415</v>
      </c>
      <c r="H1445" s="3">
        <v>136</v>
      </c>
      <c r="I1445" s="3">
        <v>145</v>
      </c>
      <c r="J1445" s="5" t="s">
        <v>1430</v>
      </c>
      <c r="K1445" s="3" t="s">
        <v>1431</v>
      </c>
    </row>
    <row r="1446" spans="1:11" x14ac:dyDescent="0.2">
      <c r="A1446" s="2" t="s">
        <v>1022</v>
      </c>
      <c r="B1446" s="2" t="s">
        <v>1023</v>
      </c>
      <c r="C1446" s="2" t="s">
        <v>1024</v>
      </c>
      <c r="D1446" s="2" t="s">
        <v>1421</v>
      </c>
      <c r="E1446" s="2" t="s">
        <v>1422</v>
      </c>
      <c r="F1446" s="2">
        <v>4.3499999999999996</v>
      </c>
      <c r="G1446" s="2" t="s">
        <v>1415</v>
      </c>
      <c r="H1446" s="2">
        <v>0</v>
      </c>
      <c r="I1446" s="2">
        <v>5</v>
      </c>
      <c r="J1446" s="2" t="s">
        <v>1416</v>
      </c>
      <c r="K1446" s="2" t="s">
        <v>1434</v>
      </c>
    </row>
    <row r="1447" spans="1:11" x14ac:dyDescent="0.2">
      <c r="A1447" s="3" t="s">
        <v>1022</v>
      </c>
      <c r="B1447" s="3" t="s">
        <v>1023</v>
      </c>
      <c r="C1447" s="3" t="s">
        <v>1024</v>
      </c>
      <c r="D1447" s="3" t="s">
        <v>1418</v>
      </c>
      <c r="E1447" s="3" t="s">
        <v>1419</v>
      </c>
      <c r="F1447" s="3">
        <v>4.51</v>
      </c>
      <c r="G1447" s="3" t="s">
        <v>1415</v>
      </c>
      <c r="H1447" s="3">
        <v>3.5</v>
      </c>
      <c r="I1447" s="3">
        <v>5</v>
      </c>
      <c r="J1447" s="3" t="s">
        <v>1416</v>
      </c>
      <c r="K1447" s="3" t="s">
        <v>1431</v>
      </c>
    </row>
    <row r="1448" spans="1:11" x14ac:dyDescent="0.2">
      <c r="A1448" s="2" t="s">
        <v>1022</v>
      </c>
      <c r="B1448" s="2" t="s">
        <v>1023</v>
      </c>
      <c r="C1448" s="2" t="s">
        <v>1024</v>
      </c>
      <c r="D1448" s="2" t="s">
        <v>1427</v>
      </c>
      <c r="E1448" s="2" t="s">
        <v>1428</v>
      </c>
      <c r="F1448" s="2">
        <v>15.91</v>
      </c>
      <c r="G1448" s="2" t="s">
        <v>1429</v>
      </c>
      <c r="H1448" s="2">
        <v>4</v>
      </c>
      <c r="I1448" s="2">
        <v>11</v>
      </c>
      <c r="J1448" s="5" t="s">
        <v>1426</v>
      </c>
      <c r="K1448" s="2" t="s">
        <v>1417</v>
      </c>
    </row>
    <row r="1449" spans="1:11" x14ac:dyDescent="0.2">
      <c r="A1449" s="3" t="s">
        <v>1022</v>
      </c>
      <c r="B1449" s="3" t="s">
        <v>1023</v>
      </c>
      <c r="C1449" s="3" t="s">
        <v>1024</v>
      </c>
      <c r="D1449" s="3" t="s">
        <v>1440</v>
      </c>
      <c r="E1449" s="3" t="s">
        <v>1441</v>
      </c>
      <c r="F1449" s="3">
        <v>8.58</v>
      </c>
      <c r="G1449" s="3" t="s">
        <v>1442</v>
      </c>
      <c r="H1449" s="3">
        <v>4</v>
      </c>
      <c r="I1449" s="3">
        <v>5.6</v>
      </c>
      <c r="J1449" s="5" t="s">
        <v>1426</v>
      </c>
      <c r="K1449" s="3" t="s">
        <v>1420</v>
      </c>
    </row>
    <row r="1450" spans="1:11" x14ac:dyDescent="0.2">
      <c r="A1450" s="2" t="s">
        <v>1022</v>
      </c>
      <c r="B1450" s="2" t="s">
        <v>1023</v>
      </c>
      <c r="C1450" s="2" t="s">
        <v>1024</v>
      </c>
      <c r="D1450" s="2" t="s">
        <v>1455</v>
      </c>
      <c r="E1450" s="2" t="s">
        <v>1456</v>
      </c>
      <c r="F1450" s="2">
        <v>270.41000000000003</v>
      </c>
      <c r="G1450" s="2" t="s">
        <v>1457</v>
      </c>
      <c r="H1450" s="2">
        <v>40</v>
      </c>
      <c r="I1450" s="2">
        <v>130</v>
      </c>
      <c r="J1450" s="5" t="s">
        <v>1426</v>
      </c>
      <c r="K1450" s="2" t="s">
        <v>1417</v>
      </c>
    </row>
    <row r="1451" spans="1:11" x14ac:dyDescent="0.2">
      <c r="A1451" s="3" t="s">
        <v>1022</v>
      </c>
      <c r="B1451" s="3" t="s">
        <v>1027</v>
      </c>
      <c r="C1451" s="3" t="s">
        <v>1028</v>
      </c>
      <c r="D1451" s="3" t="s">
        <v>1413</v>
      </c>
      <c r="E1451" s="3" t="s">
        <v>1414</v>
      </c>
      <c r="F1451" s="3">
        <v>1.45</v>
      </c>
      <c r="G1451" s="3" t="s">
        <v>1415</v>
      </c>
      <c r="H1451" s="3">
        <v>1</v>
      </c>
      <c r="I1451" s="3">
        <v>5</v>
      </c>
      <c r="J1451" s="3" t="s">
        <v>1416</v>
      </c>
      <c r="K1451" s="3" t="s">
        <v>1417</v>
      </c>
    </row>
    <row r="1452" spans="1:11" x14ac:dyDescent="0.2">
      <c r="A1452" s="2" t="s">
        <v>1022</v>
      </c>
      <c r="B1452" s="2" t="s">
        <v>1027</v>
      </c>
      <c r="C1452" s="2" t="s">
        <v>1028</v>
      </c>
      <c r="D1452" s="2" t="s">
        <v>1432</v>
      </c>
      <c r="E1452" s="2" t="s">
        <v>1433</v>
      </c>
      <c r="F1452" s="2">
        <v>2.06</v>
      </c>
      <c r="G1452" s="2" t="s">
        <v>1415</v>
      </c>
      <c r="H1452" s="2">
        <v>0</v>
      </c>
      <c r="I1452" s="2">
        <v>3</v>
      </c>
      <c r="J1452" s="2" t="s">
        <v>1416</v>
      </c>
      <c r="K1452" s="2" t="s">
        <v>1417</v>
      </c>
    </row>
    <row r="1453" spans="1:11" x14ac:dyDescent="0.2">
      <c r="A1453" s="3" t="s">
        <v>1022</v>
      </c>
      <c r="B1453" s="3" t="s">
        <v>1027</v>
      </c>
      <c r="C1453" s="3" t="s">
        <v>1028</v>
      </c>
      <c r="D1453" s="3" t="s">
        <v>1450</v>
      </c>
      <c r="E1453" s="3" t="s">
        <v>1451</v>
      </c>
      <c r="F1453" s="3">
        <v>71.91</v>
      </c>
      <c r="G1453" s="3" t="s">
        <v>1452</v>
      </c>
      <c r="H1453" s="3">
        <v>60</v>
      </c>
      <c r="I1453" s="3">
        <v>120</v>
      </c>
      <c r="J1453" s="3" t="s">
        <v>1416</v>
      </c>
      <c r="K1453" s="3" t="s">
        <v>1417</v>
      </c>
    </row>
    <row r="1454" spans="1:11" x14ac:dyDescent="0.2">
      <c r="A1454" s="2" t="s">
        <v>1022</v>
      </c>
      <c r="B1454" s="2" t="s">
        <v>1027</v>
      </c>
      <c r="C1454" s="2" t="s">
        <v>1028</v>
      </c>
      <c r="D1454" s="2" t="s">
        <v>1446</v>
      </c>
      <c r="E1454" s="2" t="s">
        <v>1447</v>
      </c>
      <c r="F1454" s="2">
        <v>2.14</v>
      </c>
      <c r="G1454" s="2" t="s">
        <v>1415</v>
      </c>
      <c r="H1454" s="2">
        <v>2.1</v>
      </c>
      <c r="I1454" s="2">
        <v>2.6</v>
      </c>
      <c r="J1454" s="2" t="s">
        <v>1416</v>
      </c>
      <c r="K1454" s="2" t="s">
        <v>1417</v>
      </c>
    </row>
    <row r="1455" spans="1:11" x14ac:dyDescent="0.2">
      <c r="A1455" s="3" t="s">
        <v>1022</v>
      </c>
      <c r="B1455" s="3" t="s">
        <v>1027</v>
      </c>
      <c r="C1455" s="3" t="s">
        <v>1028</v>
      </c>
      <c r="D1455" s="3" t="s">
        <v>1437</v>
      </c>
      <c r="E1455" s="3" t="s">
        <v>1438</v>
      </c>
      <c r="F1455" s="3">
        <v>8.0399999999999991</v>
      </c>
      <c r="G1455" s="3" t="s">
        <v>1439</v>
      </c>
      <c r="H1455" s="3">
        <v>12</v>
      </c>
      <c r="I1455" s="3">
        <v>17.5</v>
      </c>
      <c r="J1455" s="5" t="s">
        <v>1430</v>
      </c>
      <c r="K1455" s="3" t="s">
        <v>1431</v>
      </c>
    </row>
    <row r="1456" spans="1:11" x14ac:dyDescent="0.2">
      <c r="A1456" s="2" t="s">
        <v>1022</v>
      </c>
      <c r="B1456" s="2" t="s">
        <v>1027</v>
      </c>
      <c r="C1456" s="2" t="s">
        <v>1028</v>
      </c>
      <c r="D1456" s="2" t="s">
        <v>1453</v>
      </c>
      <c r="E1456" s="2" t="s">
        <v>1454</v>
      </c>
      <c r="F1456" s="2">
        <v>6</v>
      </c>
      <c r="G1456" s="2" t="s">
        <v>1415</v>
      </c>
      <c r="H1456" s="2">
        <v>3.9</v>
      </c>
      <c r="I1456" s="2">
        <v>5.5</v>
      </c>
      <c r="J1456" s="5" t="s">
        <v>1426</v>
      </c>
      <c r="K1456" s="2" t="s">
        <v>1434</v>
      </c>
    </row>
    <row r="1457" spans="1:11" x14ac:dyDescent="0.2">
      <c r="A1457" s="3" t="s">
        <v>1022</v>
      </c>
      <c r="B1457" s="3" t="s">
        <v>1027</v>
      </c>
      <c r="C1457" s="3" t="s">
        <v>1028</v>
      </c>
      <c r="D1457" s="3" t="s">
        <v>1435</v>
      </c>
      <c r="E1457" s="3" t="s">
        <v>1436</v>
      </c>
      <c r="F1457" s="3">
        <v>1.19</v>
      </c>
      <c r="G1457" s="3" t="s">
        <v>1415</v>
      </c>
      <c r="H1457" s="3">
        <v>0.8</v>
      </c>
      <c r="I1457" s="3">
        <v>1.5</v>
      </c>
      <c r="J1457" s="3" t="s">
        <v>1416</v>
      </c>
      <c r="K1457" s="3" t="s">
        <v>1420</v>
      </c>
    </row>
    <row r="1458" spans="1:11" x14ac:dyDescent="0.2">
      <c r="A1458" s="2" t="s">
        <v>1022</v>
      </c>
      <c r="B1458" s="2" t="s">
        <v>1030</v>
      </c>
      <c r="C1458" s="2" t="s">
        <v>486</v>
      </c>
      <c r="D1458" s="2" t="s">
        <v>1437</v>
      </c>
      <c r="E1458" s="2" t="s">
        <v>1438</v>
      </c>
      <c r="F1458" s="2">
        <v>14.49</v>
      </c>
      <c r="G1458" s="2" t="s">
        <v>1439</v>
      </c>
      <c r="H1458" s="2">
        <v>12</v>
      </c>
      <c r="I1458" s="2">
        <v>17.5</v>
      </c>
      <c r="J1458" s="2" t="s">
        <v>1416</v>
      </c>
      <c r="K1458" s="2" t="s">
        <v>1417</v>
      </c>
    </row>
    <row r="1459" spans="1:11" x14ac:dyDescent="0.2">
      <c r="A1459" s="3" t="s">
        <v>1022</v>
      </c>
      <c r="B1459" s="3" t="s">
        <v>1030</v>
      </c>
      <c r="C1459" s="3" t="s">
        <v>486</v>
      </c>
      <c r="D1459" s="3" t="s">
        <v>1440</v>
      </c>
      <c r="E1459" s="3" t="s">
        <v>1441</v>
      </c>
      <c r="F1459" s="3">
        <v>7.67</v>
      </c>
      <c r="G1459" s="3" t="s">
        <v>1442</v>
      </c>
      <c r="H1459" s="3">
        <v>4</v>
      </c>
      <c r="I1459" s="3">
        <v>5.6</v>
      </c>
      <c r="J1459" s="5" t="s">
        <v>1426</v>
      </c>
      <c r="K1459" s="3" t="s">
        <v>1434</v>
      </c>
    </row>
    <row r="1460" spans="1:11" x14ac:dyDescent="0.2">
      <c r="A1460" s="2" t="s">
        <v>1022</v>
      </c>
      <c r="B1460" s="2" t="s">
        <v>1030</v>
      </c>
      <c r="C1460" s="2" t="s">
        <v>486</v>
      </c>
      <c r="D1460" s="2" t="s">
        <v>1455</v>
      </c>
      <c r="E1460" s="2" t="s">
        <v>1456</v>
      </c>
      <c r="F1460" s="2">
        <v>228.04</v>
      </c>
      <c r="G1460" s="2" t="s">
        <v>1457</v>
      </c>
      <c r="H1460" s="2">
        <v>40</v>
      </c>
      <c r="I1460" s="2">
        <v>130</v>
      </c>
      <c r="J1460" s="5" t="s">
        <v>1426</v>
      </c>
      <c r="K1460" s="2" t="s">
        <v>1431</v>
      </c>
    </row>
    <row r="1461" spans="1:11" x14ac:dyDescent="0.2">
      <c r="A1461" s="3" t="s">
        <v>1022</v>
      </c>
      <c r="B1461" s="3" t="s">
        <v>1030</v>
      </c>
      <c r="C1461" s="3" t="s">
        <v>486</v>
      </c>
      <c r="D1461" s="3" t="s">
        <v>1453</v>
      </c>
      <c r="E1461" s="3" t="s">
        <v>1454</v>
      </c>
      <c r="F1461" s="3">
        <v>7.05</v>
      </c>
      <c r="G1461" s="3" t="s">
        <v>1415</v>
      </c>
      <c r="H1461" s="3">
        <v>3.9</v>
      </c>
      <c r="I1461" s="3">
        <v>5.5</v>
      </c>
      <c r="J1461" s="5" t="s">
        <v>1426</v>
      </c>
      <c r="K1461" s="3" t="s">
        <v>1434</v>
      </c>
    </row>
    <row r="1462" spans="1:11" x14ac:dyDescent="0.2">
      <c r="A1462" s="2" t="s">
        <v>1022</v>
      </c>
      <c r="B1462" s="2" t="s">
        <v>1030</v>
      </c>
      <c r="C1462" s="2" t="s">
        <v>486</v>
      </c>
      <c r="D1462" s="2" t="s">
        <v>1418</v>
      </c>
      <c r="E1462" s="2" t="s">
        <v>1419</v>
      </c>
      <c r="F1462" s="2">
        <v>4.58</v>
      </c>
      <c r="G1462" s="2" t="s">
        <v>1415</v>
      </c>
      <c r="H1462" s="2">
        <v>3.5</v>
      </c>
      <c r="I1462" s="2">
        <v>5</v>
      </c>
      <c r="J1462" s="2" t="s">
        <v>1416</v>
      </c>
      <c r="K1462" s="2" t="s">
        <v>1417</v>
      </c>
    </row>
    <row r="1463" spans="1:11" x14ac:dyDescent="0.2">
      <c r="A1463" s="3" t="s">
        <v>1022</v>
      </c>
      <c r="B1463" s="3" t="s">
        <v>1030</v>
      </c>
      <c r="C1463" s="3" t="s">
        <v>486</v>
      </c>
      <c r="D1463" s="3" t="s">
        <v>1423</v>
      </c>
      <c r="E1463" s="3" t="s">
        <v>1424</v>
      </c>
      <c r="F1463" s="3">
        <v>5.84</v>
      </c>
      <c r="G1463" s="3" t="s">
        <v>1425</v>
      </c>
      <c r="H1463" s="3">
        <v>4.5</v>
      </c>
      <c r="I1463" s="3">
        <v>5.5</v>
      </c>
      <c r="J1463" s="5" t="s">
        <v>1426</v>
      </c>
      <c r="K1463" s="3" t="s">
        <v>1420</v>
      </c>
    </row>
    <row r="1464" spans="1:11" x14ac:dyDescent="0.2">
      <c r="A1464" s="2" t="s">
        <v>1031</v>
      </c>
      <c r="B1464" s="2" t="s">
        <v>1032</v>
      </c>
      <c r="C1464" s="2" t="s">
        <v>1033</v>
      </c>
      <c r="D1464" s="2" t="s">
        <v>1421</v>
      </c>
      <c r="E1464" s="2" t="s">
        <v>1422</v>
      </c>
      <c r="F1464" s="2">
        <v>3.59</v>
      </c>
      <c r="G1464" s="2" t="s">
        <v>1415</v>
      </c>
      <c r="H1464" s="2">
        <v>0</v>
      </c>
      <c r="I1464" s="2">
        <v>5</v>
      </c>
      <c r="J1464" s="2" t="s">
        <v>1416</v>
      </c>
      <c r="K1464" s="2" t="s">
        <v>1417</v>
      </c>
    </row>
    <row r="1465" spans="1:11" x14ac:dyDescent="0.2">
      <c r="A1465" s="3" t="s">
        <v>1031</v>
      </c>
      <c r="B1465" s="3" t="s">
        <v>1032</v>
      </c>
      <c r="C1465" s="3" t="s">
        <v>1033</v>
      </c>
      <c r="D1465" s="3" t="s">
        <v>1440</v>
      </c>
      <c r="E1465" s="3" t="s">
        <v>1441</v>
      </c>
      <c r="F1465" s="3">
        <v>8.59</v>
      </c>
      <c r="G1465" s="3" t="s">
        <v>1442</v>
      </c>
      <c r="H1465" s="3">
        <v>4</v>
      </c>
      <c r="I1465" s="3">
        <v>5.6</v>
      </c>
      <c r="J1465" s="5" t="s">
        <v>1426</v>
      </c>
      <c r="K1465" s="3" t="s">
        <v>1431</v>
      </c>
    </row>
    <row r="1466" spans="1:11" x14ac:dyDescent="0.2">
      <c r="A1466" s="2" t="s">
        <v>1031</v>
      </c>
      <c r="B1466" s="2" t="s">
        <v>1032</v>
      </c>
      <c r="C1466" s="2" t="s">
        <v>1033</v>
      </c>
      <c r="D1466" s="2" t="s">
        <v>1423</v>
      </c>
      <c r="E1466" s="2" t="s">
        <v>1424</v>
      </c>
      <c r="F1466" s="2">
        <v>5.55</v>
      </c>
      <c r="G1466" s="2" t="s">
        <v>1425</v>
      </c>
      <c r="H1466" s="2">
        <v>4.5</v>
      </c>
      <c r="I1466" s="2">
        <v>5.5</v>
      </c>
      <c r="J1466" s="5" t="s">
        <v>1426</v>
      </c>
      <c r="K1466" s="2" t="s">
        <v>1431</v>
      </c>
    </row>
    <row r="1467" spans="1:11" x14ac:dyDescent="0.2">
      <c r="A1467" s="3" t="s">
        <v>1031</v>
      </c>
      <c r="B1467" s="3" t="s">
        <v>1032</v>
      </c>
      <c r="C1467" s="3" t="s">
        <v>1033</v>
      </c>
      <c r="D1467" s="3" t="s">
        <v>1437</v>
      </c>
      <c r="E1467" s="3" t="s">
        <v>1438</v>
      </c>
      <c r="F1467" s="3">
        <v>11.95</v>
      </c>
      <c r="G1467" s="3" t="s">
        <v>1439</v>
      </c>
      <c r="H1467" s="3">
        <v>12</v>
      </c>
      <c r="I1467" s="3">
        <v>17.5</v>
      </c>
      <c r="J1467" s="5" t="s">
        <v>1430</v>
      </c>
      <c r="K1467" s="3" t="s">
        <v>1431</v>
      </c>
    </row>
    <row r="1468" spans="1:11" x14ac:dyDescent="0.2">
      <c r="A1468" s="2" t="s">
        <v>1031</v>
      </c>
      <c r="B1468" s="2" t="s">
        <v>1032</v>
      </c>
      <c r="C1468" s="2" t="s">
        <v>1033</v>
      </c>
      <c r="D1468" s="2" t="s">
        <v>1448</v>
      </c>
      <c r="E1468" s="2" t="s">
        <v>1449</v>
      </c>
      <c r="F1468" s="2">
        <v>135.63</v>
      </c>
      <c r="G1468" s="2" t="s">
        <v>1415</v>
      </c>
      <c r="H1468" s="2">
        <v>136</v>
      </c>
      <c r="I1468" s="2">
        <v>145</v>
      </c>
      <c r="J1468" s="5" t="s">
        <v>1430</v>
      </c>
      <c r="K1468" s="2" t="s">
        <v>1431</v>
      </c>
    </row>
    <row r="1469" spans="1:11" x14ac:dyDescent="0.2">
      <c r="A1469" s="3" t="s">
        <v>1031</v>
      </c>
      <c r="B1469" s="3" t="s">
        <v>1032</v>
      </c>
      <c r="C1469" s="3" t="s">
        <v>1033</v>
      </c>
      <c r="D1469" s="3" t="s">
        <v>1453</v>
      </c>
      <c r="E1469" s="3" t="s">
        <v>1454</v>
      </c>
      <c r="F1469" s="3">
        <v>5.61</v>
      </c>
      <c r="G1469" s="3" t="s">
        <v>1415</v>
      </c>
      <c r="H1469" s="3">
        <v>3.9</v>
      </c>
      <c r="I1469" s="3">
        <v>5.5</v>
      </c>
      <c r="J1469" s="5" t="s">
        <v>1426</v>
      </c>
      <c r="K1469" s="3" t="s">
        <v>1420</v>
      </c>
    </row>
    <row r="1470" spans="1:11" x14ac:dyDescent="0.2">
      <c r="A1470" s="2" t="s">
        <v>1031</v>
      </c>
      <c r="B1470" s="2" t="s">
        <v>1032</v>
      </c>
      <c r="C1470" s="2" t="s">
        <v>1033</v>
      </c>
      <c r="D1470" s="2" t="s">
        <v>1432</v>
      </c>
      <c r="E1470" s="2" t="s">
        <v>1433</v>
      </c>
      <c r="F1470" s="2">
        <v>1.45</v>
      </c>
      <c r="G1470" s="2" t="s">
        <v>1415</v>
      </c>
      <c r="H1470" s="2">
        <v>0</v>
      </c>
      <c r="I1470" s="2">
        <v>3</v>
      </c>
      <c r="J1470" s="2" t="s">
        <v>1416</v>
      </c>
      <c r="K1470" s="2" t="s">
        <v>1434</v>
      </c>
    </row>
    <row r="1471" spans="1:11" x14ac:dyDescent="0.2">
      <c r="A1471" s="3" t="s">
        <v>1031</v>
      </c>
      <c r="B1471" s="3" t="s">
        <v>1036</v>
      </c>
      <c r="C1471" s="3" t="s">
        <v>1037</v>
      </c>
      <c r="D1471" s="3" t="s">
        <v>1423</v>
      </c>
      <c r="E1471" s="3" t="s">
        <v>1424</v>
      </c>
      <c r="F1471" s="3">
        <v>5.05</v>
      </c>
      <c r="G1471" s="3" t="s">
        <v>1425</v>
      </c>
      <c r="H1471" s="3">
        <v>4.5</v>
      </c>
      <c r="I1471" s="3">
        <v>5.5</v>
      </c>
      <c r="J1471" s="3" t="s">
        <v>1416</v>
      </c>
      <c r="K1471" s="3" t="s">
        <v>1417</v>
      </c>
    </row>
    <row r="1472" spans="1:11" x14ac:dyDescent="0.2">
      <c r="A1472" s="2" t="s">
        <v>1031</v>
      </c>
      <c r="B1472" s="2" t="s">
        <v>1036</v>
      </c>
      <c r="C1472" s="2" t="s">
        <v>1037</v>
      </c>
      <c r="D1472" s="2" t="s">
        <v>1448</v>
      </c>
      <c r="E1472" s="2" t="s">
        <v>1449</v>
      </c>
      <c r="F1472" s="2">
        <v>147.85</v>
      </c>
      <c r="G1472" s="2" t="s">
        <v>1415</v>
      </c>
      <c r="H1472" s="2">
        <v>136</v>
      </c>
      <c r="I1472" s="2">
        <v>145</v>
      </c>
      <c r="J1472" s="5" t="s">
        <v>1426</v>
      </c>
      <c r="K1472" s="2" t="s">
        <v>1431</v>
      </c>
    </row>
    <row r="1473" spans="1:11" x14ac:dyDescent="0.2">
      <c r="A1473" s="3" t="s">
        <v>1031</v>
      </c>
      <c r="B1473" s="3" t="s">
        <v>1036</v>
      </c>
      <c r="C1473" s="3" t="s">
        <v>1037</v>
      </c>
      <c r="D1473" s="3" t="s">
        <v>1446</v>
      </c>
      <c r="E1473" s="3" t="s">
        <v>1447</v>
      </c>
      <c r="F1473" s="3">
        <v>2.97</v>
      </c>
      <c r="G1473" s="3" t="s">
        <v>1415</v>
      </c>
      <c r="H1473" s="3">
        <v>2.1</v>
      </c>
      <c r="I1473" s="3">
        <v>2.6</v>
      </c>
      <c r="J1473" s="5" t="s">
        <v>1426</v>
      </c>
      <c r="K1473" s="3" t="s">
        <v>1434</v>
      </c>
    </row>
    <row r="1474" spans="1:11" x14ac:dyDescent="0.2">
      <c r="A1474" s="2" t="s">
        <v>1031</v>
      </c>
      <c r="B1474" s="2" t="s">
        <v>1036</v>
      </c>
      <c r="C1474" s="2" t="s">
        <v>1037</v>
      </c>
      <c r="D1474" s="2" t="s">
        <v>1421</v>
      </c>
      <c r="E1474" s="2" t="s">
        <v>1422</v>
      </c>
      <c r="F1474" s="2">
        <v>6.71</v>
      </c>
      <c r="G1474" s="2" t="s">
        <v>1415</v>
      </c>
      <c r="H1474" s="2">
        <v>0</v>
      </c>
      <c r="I1474" s="2">
        <v>5</v>
      </c>
      <c r="J1474" s="5" t="s">
        <v>1426</v>
      </c>
      <c r="K1474" s="2" t="s">
        <v>1420</v>
      </c>
    </row>
    <row r="1475" spans="1:11" x14ac:dyDescent="0.2">
      <c r="A1475" s="3" t="s">
        <v>1031</v>
      </c>
      <c r="B1475" s="3" t="s">
        <v>1039</v>
      </c>
      <c r="C1475" s="3" t="s">
        <v>1040</v>
      </c>
      <c r="D1475" s="3" t="s">
        <v>1421</v>
      </c>
      <c r="E1475" s="3" t="s">
        <v>1422</v>
      </c>
      <c r="F1475" s="3">
        <v>3.53</v>
      </c>
      <c r="G1475" s="3" t="s">
        <v>1415</v>
      </c>
      <c r="H1475" s="3">
        <v>0</v>
      </c>
      <c r="I1475" s="3">
        <v>5</v>
      </c>
      <c r="J1475" s="3" t="s">
        <v>1416</v>
      </c>
      <c r="K1475" s="3" t="s">
        <v>1434</v>
      </c>
    </row>
    <row r="1476" spans="1:11" x14ac:dyDescent="0.2">
      <c r="A1476" s="2" t="s">
        <v>1031</v>
      </c>
      <c r="B1476" s="2" t="s">
        <v>1039</v>
      </c>
      <c r="C1476" s="2" t="s">
        <v>1040</v>
      </c>
      <c r="D1476" s="2" t="s">
        <v>1448</v>
      </c>
      <c r="E1476" s="2" t="s">
        <v>1449</v>
      </c>
      <c r="F1476" s="2">
        <v>143.22999999999999</v>
      </c>
      <c r="G1476" s="2" t="s">
        <v>1415</v>
      </c>
      <c r="H1476" s="2">
        <v>136</v>
      </c>
      <c r="I1476" s="2">
        <v>145</v>
      </c>
      <c r="J1476" s="2" t="s">
        <v>1416</v>
      </c>
      <c r="K1476" s="2" t="s">
        <v>1417</v>
      </c>
    </row>
    <row r="1477" spans="1:11" x14ac:dyDescent="0.2">
      <c r="A1477" s="3" t="s">
        <v>1031</v>
      </c>
      <c r="B1477" s="3" t="s">
        <v>1039</v>
      </c>
      <c r="C1477" s="3" t="s">
        <v>1040</v>
      </c>
      <c r="D1477" s="3" t="s">
        <v>1435</v>
      </c>
      <c r="E1477" s="3" t="s">
        <v>1436</v>
      </c>
      <c r="F1477" s="3">
        <v>1.63</v>
      </c>
      <c r="G1477" s="3" t="s">
        <v>1415</v>
      </c>
      <c r="H1477" s="3">
        <v>0.8</v>
      </c>
      <c r="I1477" s="3">
        <v>1.5</v>
      </c>
      <c r="J1477" s="5" t="s">
        <v>1426</v>
      </c>
      <c r="K1477" s="3" t="s">
        <v>1417</v>
      </c>
    </row>
    <row r="1478" spans="1:11" x14ac:dyDescent="0.2">
      <c r="A1478" s="2" t="s">
        <v>1031</v>
      </c>
      <c r="B1478" s="2" t="s">
        <v>1039</v>
      </c>
      <c r="C1478" s="2" t="s">
        <v>1040</v>
      </c>
      <c r="D1478" s="2" t="s">
        <v>1453</v>
      </c>
      <c r="E1478" s="2" t="s">
        <v>1454</v>
      </c>
      <c r="F1478" s="2">
        <v>8.31</v>
      </c>
      <c r="G1478" s="2" t="s">
        <v>1415</v>
      </c>
      <c r="H1478" s="2">
        <v>3.9</v>
      </c>
      <c r="I1478" s="2">
        <v>5.5</v>
      </c>
      <c r="J1478" s="5" t="s">
        <v>1426</v>
      </c>
      <c r="K1478" s="2" t="s">
        <v>1434</v>
      </c>
    </row>
    <row r="1479" spans="1:11" x14ac:dyDescent="0.2">
      <c r="A1479" s="3" t="s">
        <v>1041</v>
      </c>
      <c r="B1479" s="3" t="s">
        <v>1042</v>
      </c>
      <c r="C1479" s="3" t="s">
        <v>1043</v>
      </c>
      <c r="D1479" s="3" t="s">
        <v>1413</v>
      </c>
      <c r="E1479" s="3" t="s">
        <v>1414</v>
      </c>
      <c r="F1479" s="3">
        <v>1.77</v>
      </c>
      <c r="G1479" s="3" t="s">
        <v>1415</v>
      </c>
      <c r="H1479" s="3">
        <v>1</v>
      </c>
      <c r="I1479" s="3">
        <v>5</v>
      </c>
      <c r="J1479" s="3" t="s">
        <v>1416</v>
      </c>
      <c r="K1479" s="3" t="s">
        <v>1417</v>
      </c>
    </row>
    <row r="1480" spans="1:11" x14ac:dyDescent="0.2">
      <c r="A1480" s="2" t="s">
        <v>1041</v>
      </c>
      <c r="B1480" s="2" t="s">
        <v>1042</v>
      </c>
      <c r="C1480" s="2" t="s">
        <v>1043</v>
      </c>
      <c r="D1480" s="2" t="s">
        <v>1435</v>
      </c>
      <c r="E1480" s="2" t="s">
        <v>1436</v>
      </c>
      <c r="F1480" s="2">
        <v>1.1299999999999999</v>
      </c>
      <c r="G1480" s="2" t="s">
        <v>1415</v>
      </c>
      <c r="H1480" s="2">
        <v>0.8</v>
      </c>
      <c r="I1480" s="2">
        <v>1.5</v>
      </c>
      <c r="J1480" s="2" t="s">
        <v>1416</v>
      </c>
      <c r="K1480" s="2" t="s">
        <v>1434</v>
      </c>
    </row>
    <row r="1481" spans="1:11" x14ac:dyDescent="0.2">
      <c r="A1481" s="3" t="s">
        <v>1041</v>
      </c>
      <c r="B1481" s="3" t="s">
        <v>1042</v>
      </c>
      <c r="C1481" s="3" t="s">
        <v>1043</v>
      </c>
      <c r="D1481" s="3" t="s">
        <v>1427</v>
      </c>
      <c r="E1481" s="3" t="s">
        <v>1428</v>
      </c>
      <c r="F1481" s="3">
        <v>7.04</v>
      </c>
      <c r="G1481" s="3" t="s">
        <v>1429</v>
      </c>
      <c r="H1481" s="3">
        <v>4</v>
      </c>
      <c r="I1481" s="3">
        <v>11</v>
      </c>
      <c r="J1481" s="3" t="s">
        <v>1416</v>
      </c>
      <c r="K1481" s="3" t="s">
        <v>1417</v>
      </c>
    </row>
    <row r="1482" spans="1:11" x14ac:dyDescent="0.2">
      <c r="A1482" s="2" t="s">
        <v>1041</v>
      </c>
      <c r="B1482" s="2" t="s">
        <v>1042</v>
      </c>
      <c r="C1482" s="2" t="s">
        <v>1043</v>
      </c>
      <c r="D1482" s="2" t="s">
        <v>1453</v>
      </c>
      <c r="E1482" s="2" t="s">
        <v>1454</v>
      </c>
      <c r="F1482" s="2">
        <v>8.14</v>
      </c>
      <c r="G1482" s="2" t="s">
        <v>1415</v>
      </c>
      <c r="H1482" s="2">
        <v>3.9</v>
      </c>
      <c r="I1482" s="2">
        <v>5.5</v>
      </c>
      <c r="J1482" s="5" t="s">
        <v>1426</v>
      </c>
      <c r="K1482" s="2" t="s">
        <v>1434</v>
      </c>
    </row>
    <row r="1483" spans="1:11" x14ac:dyDescent="0.2">
      <c r="A1483" s="3" t="s">
        <v>1041</v>
      </c>
      <c r="B1483" s="3" t="s">
        <v>1042</v>
      </c>
      <c r="C1483" s="3" t="s">
        <v>1043</v>
      </c>
      <c r="D1483" s="3" t="s">
        <v>1423</v>
      </c>
      <c r="E1483" s="3" t="s">
        <v>1424</v>
      </c>
      <c r="F1483" s="3">
        <v>4.09</v>
      </c>
      <c r="G1483" s="3" t="s">
        <v>1425</v>
      </c>
      <c r="H1483" s="3">
        <v>4.5</v>
      </c>
      <c r="I1483" s="3">
        <v>5.5</v>
      </c>
      <c r="J1483" s="5" t="s">
        <v>1430</v>
      </c>
      <c r="K1483" s="3" t="s">
        <v>1417</v>
      </c>
    </row>
    <row r="1484" spans="1:11" x14ac:dyDescent="0.2">
      <c r="A1484" s="2" t="s">
        <v>1041</v>
      </c>
      <c r="B1484" s="2" t="s">
        <v>1042</v>
      </c>
      <c r="C1484" s="2" t="s">
        <v>1043</v>
      </c>
      <c r="D1484" s="2" t="s">
        <v>1450</v>
      </c>
      <c r="E1484" s="2" t="s">
        <v>1451</v>
      </c>
      <c r="F1484" s="2">
        <v>64.290000000000006</v>
      </c>
      <c r="G1484" s="2" t="s">
        <v>1452</v>
      </c>
      <c r="H1484" s="2">
        <v>60</v>
      </c>
      <c r="I1484" s="2">
        <v>120</v>
      </c>
      <c r="J1484" s="2" t="s">
        <v>1416</v>
      </c>
      <c r="K1484" s="2" t="s">
        <v>1434</v>
      </c>
    </row>
    <row r="1485" spans="1:11" x14ac:dyDescent="0.2">
      <c r="A1485" s="3" t="s">
        <v>1041</v>
      </c>
      <c r="B1485" s="3" t="s">
        <v>1045</v>
      </c>
      <c r="C1485" s="3" t="s">
        <v>1046</v>
      </c>
      <c r="D1485" s="3" t="s">
        <v>1440</v>
      </c>
      <c r="E1485" s="3" t="s">
        <v>1441</v>
      </c>
      <c r="F1485" s="3">
        <v>9.93</v>
      </c>
      <c r="G1485" s="3" t="s">
        <v>1442</v>
      </c>
      <c r="H1485" s="3">
        <v>4</v>
      </c>
      <c r="I1485" s="3">
        <v>5.6</v>
      </c>
      <c r="J1485" s="5" t="s">
        <v>1426</v>
      </c>
      <c r="K1485" s="3" t="s">
        <v>1434</v>
      </c>
    </row>
    <row r="1486" spans="1:11" x14ac:dyDescent="0.2">
      <c r="A1486" s="2" t="s">
        <v>1041</v>
      </c>
      <c r="B1486" s="2" t="s">
        <v>1045</v>
      </c>
      <c r="C1486" s="2" t="s">
        <v>1046</v>
      </c>
      <c r="D1486" s="2" t="s">
        <v>1446</v>
      </c>
      <c r="E1486" s="2" t="s">
        <v>1447</v>
      </c>
      <c r="F1486" s="2">
        <v>2.67</v>
      </c>
      <c r="G1486" s="2" t="s">
        <v>1415</v>
      </c>
      <c r="H1486" s="2">
        <v>2.1</v>
      </c>
      <c r="I1486" s="2">
        <v>2.6</v>
      </c>
      <c r="J1486" s="5" t="s">
        <v>1426</v>
      </c>
      <c r="K1486" s="2" t="s">
        <v>1420</v>
      </c>
    </row>
    <row r="1487" spans="1:11" x14ac:dyDescent="0.2">
      <c r="A1487" s="3" t="s">
        <v>1041</v>
      </c>
      <c r="B1487" s="3" t="s">
        <v>1045</v>
      </c>
      <c r="C1487" s="3" t="s">
        <v>1046</v>
      </c>
      <c r="D1487" s="3" t="s">
        <v>1413</v>
      </c>
      <c r="E1487" s="3" t="s">
        <v>1414</v>
      </c>
      <c r="F1487" s="3">
        <v>1.32</v>
      </c>
      <c r="G1487" s="3" t="s">
        <v>1415</v>
      </c>
      <c r="H1487" s="3">
        <v>1</v>
      </c>
      <c r="I1487" s="3">
        <v>5</v>
      </c>
      <c r="J1487" s="3" t="s">
        <v>1416</v>
      </c>
      <c r="K1487" s="3" t="s">
        <v>1420</v>
      </c>
    </row>
    <row r="1488" spans="1:11" x14ac:dyDescent="0.2">
      <c r="A1488" s="2" t="s">
        <v>1041</v>
      </c>
      <c r="B1488" s="2" t="s">
        <v>1048</v>
      </c>
      <c r="C1488" s="2" t="s">
        <v>1049</v>
      </c>
      <c r="D1488" s="2" t="s">
        <v>1455</v>
      </c>
      <c r="E1488" s="2" t="s">
        <v>1456</v>
      </c>
      <c r="F1488" s="2">
        <v>97.23</v>
      </c>
      <c r="G1488" s="2" t="s">
        <v>1457</v>
      </c>
      <c r="H1488" s="2">
        <v>40</v>
      </c>
      <c r="I1488" s="2">
        <v>130</v>
      </c>
      <c r="J1488" s="2" t="s">
        <v>1416</v>
      </c>
      <c r="K1488" s="2" t="s">
        <v>1434</v>
      </c>
    </row>
    <row r="1489" spans="1:11" x14ac:dyDescent="0.2">
      <c r="A1489" s="3" t="s">
        <v>1041</v>
      </c>
      <c r="B1489" s="3" t="s">
        <v>1048</v>
      </c>
      <c r="C1489" s="3" t="s">
        <v>1049</v>
      </c>
      <c r="D1489" s="3" t="s">
        <v>1421</v>
      </c>
      <c r="E1489" s="3" t="s">
        <v>1422</v>
      </c>
      <c r="F1489" s="3">
        <v>4.82</v>
      </c>
      <c r="G1489" s="3" t="s">
        <v>1415</v>
      </c>
      <c r="H1489" s="3">
        <v>0</v>
      </c>
      <c r="I1489" s="3">
        <v>5</v>
      </c>
      <c r="J1489" s="3" t="s">
        <v>1416</v>
      </c>
      <c r="K1489" s="3" t="s">
        <v>1434</v>
      </c>
    </row>
    <row r="1490" spans="1:11" x14ac:dyDescent="0.2">
      <c r="A1490" s="2" t="s">
        <v>1041</v>
      </c>
      <c r="B1490" s="2" t="s">
        <v>1048</v>
      </c>
      <c r="C1490" s="2" t="s">
        <v>1049</v>
      </c>
      <c r="D1490" s="2" t="s">
        <v>1450</v>
      </c>
      <c r="E1490" s="2" t="s">
        <v>1451</v>
      </c>
      <c r="F1490" s="2">
        <v>67.7</v>
      </c>
      <c r="G1490" s="2" t="s">
        <v>1452</v>
      </c>
      <c r="H1490" s="2">
        <v>60</v>
      </c>
      <c r="I1490" s="2">
        <v>120</v>
      </c>
      <c r="J1490" s="2" t="s">
        <v>1416</v>
      </c>
      <c r="K1490" s="2" t="s">
        <v>1417</v>
      </c>
    </row>
    <row r="1491" spans="1:11" x14ac:dyDescent="0.2">
      <c r="A1491" s="3" t="s">
        <v>1041</v>
      </c>
      <c r="B1491" s="3" t="s">
        <v>1048</v>
      </c>
      <c r="C1491" s="3" t="s">
        <v>1049</v>
      </c>
      <c r="D1491" s="3" t="s">
        <v>1448</v>
      </c>
      <c r="E1491" s="3" t="s">
        <v>1449</v>
      </c>
      <c r="F1491" s="3">
        <v>144.29</v>
      </c>
      <c r="G1491" s="3" t="s">
        <v>1415</v>
      </c>
      <c r="H1491" s="3">
        <v>136</v>
      </c>
      <c r="I1491" s="3">
        <v>145</v>
      </c>
      <c r="J1491" s="3" t="s">
        <v>1416</v>
      </c>
      <c r="K1491" s="3" t="s">
        <v>1420</v>
      </c>
    </row>
    <row r="1492" spans="1:11" x14ac:dyDescent="0.2">
      <c r="A1492" s="2" t="s">
        <v>1041</v>
      </c>
      <c r="B1492" s="2" t="s">
        <v>1050</v>
      </c>
      <c r="C1492" s="2" t="s">
        <v>1051</v>
      </c>
      <c r="D1492" s="2" t="s">
        <v>1413</v>
      </c>
      <c r="E1492" s="2" t="s">
        <v>1414</v>
      </c>
      <c r="F1492" s="2">
        <v>1.75</v>
      </c>
      <c r="G1492" s="2" t="s">
        <v>1415</v>
      </c>
      <c r="H1492" s="2">
        <v>1</v>
      </c>
      <c r="I1492" s="2">
        <v>5</v>
      </c>
      <c r="J1492" s="2" t="s">
        <v>1416</v>
      </c>
      <c r="K1492" s="2" t="s">
        <v>1420</v>
      </c>
    </row>
    <row r="1493" spans="1:11" x14ac:dyDescent="0.2">
      <c r="A1493" s="3" t="s">
        <v>1041</v>
      </c>
      <c r="B1493" s="3" t="s">
        <v>1050</v>
      </c>
      <c r="C1493" s="3" t="s">
        <v>1051</v>
      </c>
      <c r="D1493" s="3" t="s">
        <v>1435</v>
      </c>
      <c r="E1493" s="3" t="s">
        <v>1436</v>
      </c>
      <c r="F1493" s="3">
        <v>1.27</v>
      </c>
      <c r="G1493" s="3" t="s">
        <v>1415</v>
      </c>
      <c r="H1493" s="3">
        <v>0.8</v>
      </c>
      <c r="I1493" s="3">
        <v>1.5</v>
      </c>
      <c r="J1493" s="3" t="s">
        <v>1416</v>
      </c>
      <c r="K1493" s="3" t="s">
        <v>1431</v>
      </c>
    </row>
    <row r="1494" spans="1:11" x14ac:dyDescent="0.2">
      <c r="A1494" s="2" t="s">
        <v>1041</v>
      </c>
      <c r="B1494" s="2" t="s">
        <v>1050</v>
      </c>
      <c r="C1494" s="2" t="s">
        <v>1051</v>
      </c>
      <c r="D1494" s="2" t="s">
        <v>1448</v>
      </c>
      <c r="E1494" s="2" t="s">
        <v>1449</v>
      </c>
      <c r="F1494" s="2">
        <v>135.22</v>
      </c>
      <c r="G1494" s="2" t="s">
        <v>1415</v>
      </c>
      <c r="H1494" s="2">
        <v>136</v>
      </c>
      <c r="I1494" s="2">
        <v>145</v>
      </c>
      <c r="J1494" s="5" t="s">
        <v>1430</v>
      </c>
      <c r="K1494" s="2" t="s">
        <v>1420</v>
      </c>
    </row>
    <row r="1495" spans="1:11" x14ac:dyDescent="0.2">
      <c r="A1495" s="3" t="s">
        <v>1041</v>
      </c>
      <c r="B1495" s="3" t="s">
        <v>1050</v>
      </c>
      <c r="C1495" s="3" t="s">
        <v>1051</v>
      </c>
      <c r="D1495" s="3" t="s">
        <v>1432</v>
      </c>
      <c r="E1495" s="3" t="s">
        <v>1433</v>
      </c>
      <c r="F1495" s="3">
        <v>1.3</v>
      </c>
      <c r="G1495" s="3" t="s">
        <v>1415</v>
      </c>
      <c r="H1495" s="3">
        <v>0</v>
      </c>
      <c r="I1495" s="3">
        <v>3</v>
      </c>
      <c r="J1495" s="3" t="s">
        <v>1416</v>
      </c>
      <c r="K1495" s="3" t="s">
        <v>1420</v>
      </c>
    </row>
    <row r="1496" spans="1:11" x14ac:dyDescent="0.2">
      <c r="A1496" s="2" t="s">
        <v>1041</v>
      </c>
      <c r="B1496" s="2" t="s">
        <v>1050</v>
      </c>
      <c r="C1496" s="2" t="s">
        <v>1051</v>
      </c>
      <c r="D1496" s="2" t="s">
        <v>1450</v>
      </c>
      <c r="E1496" s="2" t="s">
        <v>1451</v>
      </c>
      <c r="F1496" s="2">
        <v>79.81</v>
      </c>
      <c r="G1496" s="2" t="s">
        <v>1452</v>
      </c>
      <c r="H1496" s="2">
        <v>60</v>
      </c>
      <c r="I1496" s="2">
        <v>120</v>
      </c>
      <c r="J1496" s="2" t="s">
        <v>1416</v>
      </c>
      <c r="K1496" s="2" t="s">
        <v>1420</v>
      </c>
    </row>
    <row r="1497" spans="1:11" x14ac:dyDescent="0.2">
      <c r="A1497" s="3" t="s">
        <v>1041</v>
      </c>
      <c r="B1497" s="3" t="s">
        <v>1053</v>
      </c>
      <c r="C1497" s="3" t="s">
        <v>826</v>
      </c>
      <c r="D1497" s="3" t="s">
        <v>1435</v>
      </c>
      <c r="E1497" s="3" t="s">
        <v>1436</v>
      </c>
      <c r="F1497" s="3">
        <v>1.1200000000000001</v>
      </c>
      <c r="G1497" s="3" t="s">
        <v>1415</v>
      </c>
      <c r="H1497" s="3">
        <v>0.8</v>
      </c>
      <c r="I1497" s="3">
        <v>1.5</v>
      </c>
      <c r="J1497" s="3" t="s">
        <v>1416</v>
      </c>
      <c r="K1497" s="3" t="s">
        <v>1417</v>
      </c>
    </row>
    <row r="1498" spans="1:11" x14ac:dyDescent="0.2">
      <c r="A1498" s="2" t="s">
        <v>1041</v>
      </c>
      <c r="B1498" s="2" t="s">
        <v>1053</v>
      </c>
      <c r="C1498" s="2" t="s">
        <v>826</v>
      </c>
      <c r="D1498" s="2" t="s">
        <v>1440</v>
      </c>
      <c r="E1498" s="2" t="s">
        <v>1441</v>
      </c>
      <c r="F1498" s="2">
        <v>9.3800000000000008</v>
      </c>
      <c r="G1498" s="2" t="s">
        <v>1442</v>
      </c>
      <c r="H1498" s="2">
        <v>4</v>
      </c>
      <c r="I1498" s="2">
        <v>5.6</v>
      </c>
      <c r="J1498" s="5" t="s">
        <v>1426</v>
      </c>
      <c r="K1498" s="2" t="s">
        <v>1431</v>
      </c>
    </row>
    <row r="1499" spans="1:11" x14ac:dyDescent="0.2">
      <c r="A1499" s="3" t="s">
        <v>1041</v>
      </c>
      <c r="B1499" s="3" t="s">
        <v>1053</v>
      </c>
      <c r="C1499" s="3" t="s">
        <v>826</v>
      </c>
      <c r="D1499" s="3" t="s">
        <v>1423</v>
      </c>
      <c r="E1499" s="3" t="s">
        <v>1424</v>
      </c>
      <c r="F1499" s="3">
        <v>5.23</v>
      </c>
      <c r="G1499" s="3" t="s">
        <v>1425</v>
      </c>
      <c r="H1499" s="3">
        <v>4.5</v>
      </c>
      <c r="I1499" s="3">
        <v>5.5</v>
      </c>
      <c r="J1499" s="3" t="s">
        <v>1416</v>
      </c>
      <c r="K1499" s="3" t="s">
        <v>1431</v>
      </c>
    </row>
    <row r="1500" spans="1:11" x14ac:dyDescent="0.2">
      <c r="A1500" s="2" t="s">
        <v>1041</v>
      </c>
      <c r="B1500" s="2" t="s">
        <v>1053</v>
      </c>
      <c r="C1500" s="2" t="s">
        <v>826</v>
      </c>
      <c r="D1500" s="2" t="s">
        <v>1437</v>
      </c>
      <c r="E1500" s="2" t="s">
        <v>1438</v>
      </c>
      <c r="F1500" s="2">
        <v>7.9</v>
      </c>
      <c r="G1500" s="2" t="s">
        <v>1439</v>
      </c>
      <c r="H1500" s="2">
        <v>12</v>
      </c>
      <c r="I1500" s="2">
        <v>17.5</v>
      </c>
      <c r="J1500" s="5" t="s">
        <v>1430</v>
      </c>
      <c r="K1500" s="2" t="s">
        <v>1420</v>
      </c>
    </row>
    <row r="1501" spans="1:11" x14ac:dyDescent="0.2">
      <c r="A1501" s="3" t="s">
        <v>1041</v>
      </c>
      <c r="B1501" s="3" t="s">
        <v>1053</v>
      </c>
      <c r="C1501" s="3" t="s">
        <v>826</v>
      </c>
      <c r="D1501" s="3" t="s">
        <v>1413</v>
      </c>
      <c r="E1501" s="3" t="s">
        <v>1414</v>
      </c>
      <c r="F1501" s="3">
        <v>1.99</v>
      </c>
      <c r="G1501" s="3" t="s">
        <v>1415</v>
      </c>
      <c r="H1501" s="3">
        <v>1</v>
      </c>
      <c r="I1501" s="3">
        <v>5</v>
      </c>
      <c r="J1501" s="3" t="s">
        <v>1416</v>
      </c>
      <c r="K1501" s="3" t="s">
        <v>1420</v>
      </c>
    </row>
    <row r="1502" spans="1:11" x14ac:dyDescent="0.2">
      <c r="A1502" s="2" t="s">
        <v>1055</v>
      </c>
      <c r="B1502" s="2" t="s">
        <v>1056</v>
      </c>
      <c r="C1502" s="2" t="s">
        <v>215</v>
      </c>
      <c r="D1502" s="2" t="s">
        <v>1421</v>
      </c>
      <c r="E1502" s="2" t="s">
        <v>1422</v>
      </c>
      <c r="F1502" s="2">
        <v>4.96</v>
      </c>
      <c r="G1502" s="2" t="s">
        <v>1415</v>
      </c>
      <c r="H1502" s="2">
        <v>0</v>
      </c>
      <c r="I1502" s="2">
        <v>5</v>
      </c>
      <c r="J1502" s="2" t="s">
        <v>1416</v>
      </c>
      <c r="K1502" s="2" t="s">
        <v>1417</v>
      </c>
    </row>
    <row r="1503" spans="1:11" x14ac:dyDescent="0.2">
      <c r="A1503" s="3" t="s">
        <v>1055</v>
      </c>
      <c r="B1503" s="3" t="s">
        <v>1056</v>
      </c>
      <c r="C1503" s="3" t="s">
        <v>215</v>
      </c>
      <c r="D1503" s="3" t="s">
        <v>1443</v>
      </c>
      <c r="E1503" s="3" t="s">
        <v>1444</v>
      </c>
      <c r="F1503" s="3">
        <v>74.08</v>
      </c>
      <c r="G1503" s="3" t="s">
        <v>1445</v>
      </c>
      <c r="H1503" s="3">
        <v>53</v>
      </c>
      <c r="I1503" s="3">
        <v>97</v>
      </c>
      <c r="J1503" s="3" t="s">
        <v>1416</v>
      </c>
      <c r="K1503" s="3" t="s">
        <v>1431</v>
      </c>
    </row>
    <row r="1504" spans="1:11" x14ac:dyDescent="0.2">
      <c r="A1504" s="2" t="s">
        <v>1055</v>
      </c>
      <c r="B1504" s="2" t="s">
        <v>1056</v>
      </c>
      <c r="C1504" s="2" t="s">
        <v>215</v>
      </c>
      <c r="D1504" s="2" t="s">
        <v>1455</v>
      </c>
      <c r="E1504" s="2" t="s">
        <v>1456</v>
      </c>
      <c r="F1504" s="2">
        <v>341.17</v>
      </c>
      <c r="G1504" s="2" t="s">
        <v>1457</v>
      </c>
      <c r="H1504" s="2">
        <v>40</v>
      </c>
      <c r="I1504" s="2">
        <v>130</v>
      </c>
      <c r="J1504" s="5" t="s">
        <v>1426</v>
      </c>
      <c r="K1504" s="2" t="s">
        <v>1431</v>
      </c>
    </row>
    <row r="1505" spans="1:11" x14ac:dyDescent="0.2">
      <c r="A1505" s="3" t="s">
        <v>1055</v>
      </c>
      <c r="B1505" s="3" t="s">
        <v>1056</v>
      </c>
      <c r="C1505" s="3" t="s">
        <v>215</v>
      </c>
      <c r="D1505" s="3" t="s">
        <v>1423</v>
      </c>
      <c r="E1505" s="3" t="s">
        <v>1424</v>
      </c>
      <c r="F1505" s="3">
        <v>4.76</v>
      </c>
      <c r="G1505" s="3" t="s">
        <v>1425</v>
      </c>
      <c r="H1505" s="3">
        <v>4.5</v>
      </c>
      <c r="I1505" s="3">
        <v>5.5</v>
      </c>
      <c r="J1505" s="3" t="s">
        <v>1416</v>
      </c>
      <c r="K1505" s="3" t="s">
        <v>1420</v>
      </c>
    </row>
    <row r="1506" spans="1:11" x14ac:dyDescent="0.2">
      <c r="A1506" s="2" t="s">
        <v>1055</v>
      </c>
      <c r="B1506" s="2" t="s">
        <v>1056</v>
      </c>
      <c r="C1506" s="2" t="s">
        <v>215</v>
      </c>
      <c r="D1506" s="2" t="s">
        <v>1413</v>
      </c>
      <c r="E1506" s="2" t="s">
        <v>1414</v>
      </c>
      <c r="F1506" s="2">
        <v>1.49</v>
      </c>
      <c r="G1506" s="2" t="s">
        <v>1415</v>
      </c>
      <c r="H1506" s="2">
        <v>1</v>
      </c>
      <c r="I1506" s="2">
        <v>5</v>
      </c>
      <c r="J1506" s="2" t="s">
        <v>1416</v>
      </c>
      <c r="K1506" s="2" t="s">
        <v>1417</v>
      </c>
    </row>
    <row r="1507" spans="1:11" x14ac:dyDescent="0.2">
      <c r="A1507" s="3" t="s">
        <v>1055</v>
      </c>
      <c r="B1507" s="3" t="s">
        <v>1056</v>
      </c>
      <c r="C1507" s="3" t="s">
        <v>215</v>
      </c>
      <c r="D1507" s="3" t="s">
        <v>1440</v>
      </c>
      <c r="E1507" s="3" t="s">
        <v>1441</v>
      </c>
      <c r="F1507" s="3">
        <v>10.63</v>
      </c>
      <c r="G1507" s="3" t="s">
        <v>1442</v>
      </c>
      <c r="H1507" s="3">
        <v>4</v>
      </c>
      <c r="I1507" s="3">
        <v>5.6</v>
      </c>
      <c r="J1507" s="5" t="s">
        <v>1426</v>
      </c>
      <c r="K1507" s="3" t="s">
        <v>1417</v>
      </c>
    </row>
    <row r="1508" spans="1:11" x14ac:dyDescent="0.2">
      <c r="A1508" s="2" t="s">
        <v>1055</v>
      </c>
      <c r="B1508" s="2" t="s">
        <v>1056</v>
      </c>
      <c r="C1508" s="2" t="s">
        <v>215</v>
      </c>
      <c r="D1508" s="2" t="s">
        <v>1446</v>
      </c>
      <c r="E1508" s="2" t="s">
        <v>1447</v>
      </c>
      <c r="F1508" s="2">
        <v>2.58</v>
      </c>
      <c r="G1508" s="2" t="s">
        <v>1415</v>
      </c>
      <c r="H1508" s="2">
        <v>2.1</v>
      </c>
      <c r="I1508" s="2">
        <v>2.6</v>
      </c>
      <c r="J1508" s="2" t="s">
        <v>1416</v>
      </c>
      <c r="K1508" s="2" t="s">
        <v>1417</v>
      </c>
    </row>
    <row r="1509" spans="1:11" x14ac:dyDescent="0.2">
      <c r="A1509" s="3" t="s">
        <v>1055</v>
      </c>
      <c r="B1509" s="3" t="s">
        <v>1056</v>
      </c>
      <c r="C1509" s="3" t="s">
        <v>215</v>
      </c>
      <c r="D1509" s="3" t="s">
        <v>1437</v>
      </c>
      <c r="E1509" s="3" t="s">
        <v>1438</v>
      </c>
      <c r="F1509" s="3">
        <v>8.2799999999999994</v>
      </c>
      <c r="G1509" s="3" t="s">
        <v>1439</v>
      </c>
      <c r="H1509" s="3">
        <v>12</v>
      </c>
      <c r="I1509" s="3">
        <v>17.5</v>
      </c>
      <c r="J1509" s="5" t="s">
        <v>1430</v>
      </c>
      <c r="K1509" s="3" t="s">
        <v>1417</v>
      </c>
    </row>
    <row r="1510" spans="1:11" x14ac:dyDescent="0.2">
      <c r="A1510" s="2" t="s">
        <v>1058</v>
      </c>
      <c r="B1510" s="2" t="s">
        <v>1059</v>
      </c>
      <c r="C1510" s="2" t="s">
        <v>1060</v>
      </c>
      <c r="D1510" s="2" t="s">
        <v>1437</v>
      </c>
      <c r="E1510" s="2" t="s">
        <v>1438</v>
      </c>
      <c r="F1510" s="2">
        <v>8.92</v>
      </c>
      <c r="G1510" s="2" t="s">
        <v>1439</v>
      </c>
      <c r="H1510" s="2">
        <v>12</v>
      </c>
      <c r="I1510" s="2">
        <v>17.5</v>
      </c>
      <c r="J1510" s="5" t="s">
        <v>1430</v>
      </c>
      <c r="K1510" s="2" t="s">
        <v>1431</v>
      </c>
    </row>
    <row r="1511" spans="1:11" x14ac:dyDescent="0.2">
      <c r="A1511" s="3" t="s">
        <v>1058</v>
      </c>
      <c r="B1511" s="3" t="s">
        <v>1059</v>
      </c>
      <c r="C1511" s="3" t="s">
        <v>1060</v>
      </c>
      <c r="D1511" s="3" t="s">
        <v>1453</v>
      </c>
      <c r="E1511" s="3" t="s">
        <v>1454</v>
      </c>
      <c r="F1511" s="3">
        <v>5.12</v>
      </c>
      <c r="G1511" s="3" t="s">
        <v>1415</v>
      </c>
      <c r="H1511" s="3">
        <v>3.9</v>
      </c>
      <c r="I1511" s="3">
        <v>5.5</v>
      </c>
      <c r="J1511" s="3" t="s">
        <v>1416</v>
      </c>
      <c r="K1511" s="3" t="s">
        <v>1420</v>
      </c>
    </row>
    <row r="1512" spans="1:11" x14ac:dyDescent="0.2">
      <c r="A1512" s="2" t="s">
        <v>1058</v>
      </c>
      <c r="B1512" s="2" t="s">
        <v>1059</v>
      </c>
      <c r="C1512" s="2" t="s">
        <v>1060</v>
      </c>
      <c r="D1512" s="2" t="s">
        <v>1432</v>
      </c>
      <c r="E1512" s="2" t="s">
        <v>1433</v>
      </c>
      <c r="F1512" s="2">
        <v>3.51</v>
      </c>
      <c r="G1512" s="2" t="s">
        <v>1415</v>
      </c>
      <c r="H1512" s="2">
        <v>0</v>
      </c>
      <c r="I1512" s="2">
        <v>3</v>
      </c>
      <c r="J1512" s="5" t="s">
        <v>1426</v>
      </c>
      <c r="K1512" s="2" t="s">
        <v>1434</v>
      </c>
    </row>
    <row r="1513" spans="1:11" x14ac:dyDescent="0.2">
      <c r="A1513" s="3" t="s">
        <v>1058</v>
      </c>
      <c r="B1513" s="3" t="s">
        <v>1063</v>
      </c>
      <c r="C1513" s="3" t="s">
        <v>1064</v>
      </c>
      <c r="D1513" s="3" t="s">
        <v>1421</v>
      </c>
      <c r="E1513" s="3" t="s">
        <v>1422</v>
      </c>
      <c r="F1513" s="3">
        <v>6.47</v>
      </c>
      <c r="G1513" s="3" t="s">
        <v>1415</v>
      </c>
      <c r="H1513" s="3">
        <v>0</v>
      </c>
      <c r="I1513" s="3">
        <v>5</v>
      </c>
      <c r="J1513" s="5" t="s">
        <v>1426</v>
      </c>
      <c r="K1513" s="3" t="s">
        <v>1420</v>
      </c>
    </row>
    <row r="1514" spans="1:11" x14ac:dyDescent="0.2">
      <c r="A1514" s="2" t="s">
        <v>1058</v>
      </c>
      <c r="B1514" s="2" t="s">
        <v>1063</v>
      </c>
      <c r="C1514" s="2" t="s">
        <v>1064</v>
      </c>
      <c r="D1514" s="2" t="s">
        <v>1432</v>
      </c>
      <c r="E1514" s="2" t="s">
        <v>1433</v>
      </c>
      <c r="F1514" s="2">
        <v>3.72</v>
      </c>
      <c r="G1514" s="2" t="s">
        <v>1415</v>
      </c>
      <c r="H1514" s="2">
        <v>0</v>
      </c>
      <c r="I1514" s="2">
        <v>3</v>
      </c>
      <c r="J1514" s="5" t="s">
        <v>1426</v>
      </c>
      <c r="K1514" s="2" t="s">
        <v>1417</v>
      </c>
    </row>
    <row r="1515" spans="1:11" x14ac:dyDescent="0.2">
      <c r="A1515" s="3" t="s">
        <v>1058</v>
      </c>
      <c r="B1515" s="3" t="s">
        <v>1063</v>
      </c>
      <c r="C1515" s="3" t="s">
        <v>1064</v>
      </c>
      <c r="D1515" s="3" t="s">
        <v>1448</v>
      </c>
      <c r="E1515" s="3" t="s">
        <v>1449</v>
      </c>
      <c r="F1515" s="3">
        <v>142.4</v>
      </c>
      <c r="G1515" s="3" t="s">
        <v>1415</v>
      </c>
      <c r="H1515" s="3">
        <v>136</v>
      </c>
      <c r="I1515" s="3">
        <v>145</v>
      </c>
      <c r="J1515" s="3" t="s">
        <v>1416</v>
      </c>
      <c r="K1515" s="3" t="s">
        <v>1420</v>
      </c>
    </row>
    <row r="1516" spans="1:11" x14ac:dyDescent="0.2">
      <c r="A1516" s="2" t="s">
        <v>1058</v>
      </c>
      <c r="B1516" s="2" t="s">
        <v>1063</v>
      </c>
      <c r="C1516" s="2" t="s">
        <v>1064</v>
      </c>
      <c r="D1516" s="2" t="s">
        <v>1450</v>
      </c>
      <c r="E1516" s="2" t="s">
        <v>1451</v>
      </c>
      <c r="F1516" s="2">
        <v>73.349999999999994</v>
      </c>
      <c r="G1516" s="2" t="s">
        <v>1452</v>
      </c>
      <c r="H1516" s="2">
        <v>60</v>
      </c>
      <c r="I1516" s="2">
        <v>120</v>
      </c>
      <c r="J1516" s="2" t="s">
        <v>1416</v>
      </c>
      <c r="K1516" s="2" t="s">
        <v>1420</v>
      </c>
    </row>
    <row r="1517" spans="1:11" x14ac:dyDescent="0.2">
      <c r="A1517" s="3" t="s">
        <v>1058</v>
      </c>
      <c r="B1517" s="3" t="s">
        <v>1063</v>
      </c>
      <c r="C1517" s="3" t="s">
        <v>1064</v>
      </c>
      <c r="D1517" s="3" t="s">
        <v>1423</v>
      </c>
      <c r="E1517" s="3" t="s">
        <v>1424</v>
      </c>
      <c r="F1517" s="3">
        <v>4.66</v>
      </c>
      <c r="G1517" s="3" t="s">
        <v>1425</v>
      </c>
      <c r="H1517" s="3">
        <v>4.5</v>
      </c>
      <c r="I1517" s="3">
        <v>5.5</v>
      </c>
      <c r="J1517" s="3" t="s">
        <v>1416</v>
      </c>
      <c r="K1517" s="3" t="s">
        <v>1434</v>
      </c>
    </row>
    <row r="1518" spans="1:11" x14ac:dyDescent="0.2">
      <c r="A1518" s="2" t="s">
        <v>1058</v>
      </c>
      <c r="B1518" s="2" t="s">
        <v>1063</v>
      </c>
      <c r="C1518" s="2" t="s">
        <v>1064</v>
      </c>
      <c r="D1518" s="2" t="s">
        <v>1443</v>
      </c>
      <c r="E1518" s="2" t="s">
        <v>1444</v>
      </c>
      <c r="F1518" s="2">
        <v>93.82</v>
      </c>
      <c r="G1518" s="2" t="s">
        <v>1445</v>
      </c>
      <c r="H1518" s="2">
        <v>53</v>
      </c>
      <c r="I1518" s="2">
        <v>97</v>
      </c>
      <c r="J1518" s="2" t="s">
        <v>1416</v>
      </c>
      <c r="K1518" s="2" t="s">
        <v>1434</v>
      </c>
    </row>
    <row r="1519" spans="1:11" x14ac:dyDescent="0.2">
      <c r="A1519" s="3" t="s">
        <v>1058</v>
      </c>
      <c r="B1519" s="3" t="s">
        <v>1063</v>
      </c>
      <c r="C1519" s="3" t="s">
        <v>1064</v>
      </c>
      <c r="D1519" s="3" t="s">
        <v>1427</v>
      </c>
      <c r="E1519" s="3" t="s">
        <v>1428</v>
      </c>
      <c r="F1519" s="3">
        <v>9.42</v>
      </c>
      <c r="G1519" s="3" t="s">
        <v>1429</v>
      </c>
      <c r="H1519" s="3">
        <v>4</v>
      </c>
      <c r="I1519" s="3">
        <v>11</v>
      </c>
      <c r="J1519" s="3" t="s">
        <v>1416</v>
      </c>
      <c r="K1519" s="3" t="s">
        <v>1431</v>
      </c>
    </row>
    <row r="1520" spans="1:11" x14ac:dyDescent="0.2">
      <c r="A1520" s="2" t="s">
        <v>1058</v>
      </c>
      <c r="B1520" s="2" t="s">
        <v>1063</v>
      </c>
      <c r="C1520" s="2" t="s">
        <v>1064</v>
      </c>
      <c r="D1520" s="2" t="s">
        <v>1455</v>
      </c>
      <c r="E1520" s="2" t="s">
        <v>1456</v>
      </c>
      <c r="F1520" s="2">
        <v>108.3</v>
      </c>
      <c r="G1520" s="2" t="s">
        <v>1457</v>
      </c>
      <c r="H1520" s="2">
        <v>40</v>
      </c>
      <c r="I1520" s="2">
        <v>130</v>
      </c>
      <c r="J1520" s="2" t="s">
        <v>1416</v>
      </c>
      <c r="K1520" s="2" t="s">
        <v>1431</v>
      </c>
    </row>
    <row r="1521" spans="1:11" x14ac:dyDescent="0.2">
      <c r="A1521" s="3" t="s">
        <v>1058</v>
      </c>
      <c r="B1521" s="3" t="s">
        <v>1065</v>
      </c>
      <c r="C1521" s="3" t="s">
        <v>1066</v>
      </c>
      <c r="D1521" s="3" t="s">
        <v>1455</v>
      </c>
      <c r="E1521" s="3" t="s">
        <v>1456</v>
      </c>
      <c r="F1521" s="3">
        <v>206.63</v>
      </c>
      <c r="G1521" s="3" t="s">
        <v>1457</v>
      </c>
      <c r="H1521" s="3">
        <v>40</v>
      </c>
      <c r="I1521" s="3">
        <v>130</v>
      </c>
      <c r="J1521" s="5" t="s">
        <v>1426</v>
      </c>
      <c r="K1521" s="3" t="s">
        <v>1434</v>
      </c>
    </row>
    <row r="1522" spans="1:11" x14ac:dyDescent="0.2">
      <c r="A1522" s="2" t="s">
        <v>1058</v>
      </c>
      <c r="B1522" s="2" t="s">
        <v>1065</v>
      </c>
      <c r="C1522" s="2" t="s">
        <v>1066</v>
      </c>
      <c r="D1522" s="2" t="s">
        <v>1437</v>
      </c>
      <c r="E1522" s="2" t="s">
        <v>1438</v>
      </c>
      <c r="F1522" s="2">
        <v>15.66</v>
      </c>
      <c r="G1522" s="2" t="s">
        <v>1439</v>
      </c>
      <c r="H1522" s="2">
        <v>12</v>
      </c>
      <c r="I1522" s="2">
        <v>17.5</v>
      </c>
      <c r="J1522" s="2" t="s">
        <v>1416</v>
      </c>
      <c r="K1522" s="2" t="s">
        <v>1434</v>
      </c>
    </row>
    <row r="1523" spans="1:11" x14ac:dyDescent="0.2">
      <c r="A1523" s="3" t="s">
        <v>1058</v>
      </c>
      <c r="B1523" s="3" t="s">
        <v>1065</v>
      </c>
      <c r="C1523" s="3" t="s">
        <v>1066</v>
      </c>
      <c r="D1523" s="3" t="s">
        <v>1421</v>
      </c>
      <c r="E1523" s="3" t="s">
        <v>1422</v>
      </c>
      <c r="F1523" s="3">
        <v>7.12</v>
      </c>
      <c r="G1523" s="3" t="s">
        <v>1415</v>
      </c>
      <c r="H1523" s="3">
        <v>0</v>
      </c>
      <c r="I1523" s="3">
        <v>5</v>
      </c>
      <c r="J1523" s="5" t="s">
        <v>1426</v>
      </c>
      <c r="K1523" s="3" t="s">
        <v>1431</v>
      </c>
    </row>
    <row r="1524" spans="1:11" x14ac:dyDescent="0.2">
      <c r="A1524" s="2" t="s">
        <v>1058</v>
      </c>
      <c r="B1524" s="2" t="s">
        <v>1065</v>
      </c>
      <c r="C1524" s="2" t="s">
        <v>1066</v>
      </c>
      <c r="D1524" s="2" t="s">
        <v>1450</v>
      </c>
      <c r="E1524" s="2" t="s">
        <v>1451</v>
      </c>
      <c r="F1524" s="2">
        <v>75.09</v>
      </c>
      <c r="G1524" s="2" t="s">
        <v>1452</v>
      </c>
      <c r="H1524" s="2">
        <v>60</v>
      </c>
      <c r="I1524" s="2">
        <v>120</v>
      </c>
      <c r="J1524" s="2" t="s">
        <v>1416</v>
      </c>
      <c r="K1524" s="2" t="s">
        <v>1434</v>
      </c>
    </row>
    <row r="1525" spans="1:11" x14ac:dyDescent="0.2">
      <c r="A1525" s="3" t="s">
        <v>1058</v>
      </c>
      <c r="B1525" s="3" t="s">
        <v>1065</v>
      </c>
      <c r="C1525" s="3" t="s">
        <v>1066</v>
      </c>
      <c r="D1525" s="3" t="s">
        <v>1448</v>
      </c>
      <c r="E1525" s="3" t="s">
        <v>1449</v>
      </c>
      <c r="F1525" s="3">
        <v>136.12</v>
      </c>
      <c r="G1525" s="3" t="s">
        <v>1415</v>
      </c>
      <c r="H1525" s="3">
        <v>136</v>
      </c>
      <c r="I1525" s="3">
        <v>145</v>
      </c>
      <c r="J1525" s="3" t="s">
        <v>1416</v>
      </c>
      <c r="K1525" s="3" t="s">
        <v>1431</v>
      </c>
    </row>
    <row r="1526" spans="1:11" x14ac:dyDescent="0.2">
      <c r="A1526" s="2" t="s">
        <v>1058</v>
      </c>
      <c r="B1526" s="2" t="s">
        <v>1065</v>
      </c>
      <c r="C1526" s="2" t="s">
        <v>1066</v>
      </c>
      <c r="D1526" s="2" t="s">
        <v>1440</v>
      </c>
      <c r="E1526" s="2" t="s">
        <v>1441</v>
      </c>
      <c r="F1526" s="2">
        <v>8.81</v>
      </c>
      <c r="G1526" s="2" t="s">
        <v>1442</v>
      </c>
      <c r="H1526" s="2">
        <v>4</v>
      </c>
      <c r="I1526" s="2">
        <v>5.6</v>
      </c>
      <c r="J1526" s="5" t="s">
        <v>1426</v>
      </c>
      <c r="K1526" s="2" t="s">
        <v>1417</v>
      </c>
    </row>
    <row r="1527" spans="1:11" x14ac:dyDescent="0.2">
      <c r="A1527" s="3" t="s">
        <v>1058</v>
      </c>
      <c r="B1527" s="3" t="s">
        <v>1065</v>
      </c>
      <c r="C1527" s="3" t="s">
        <v>1066</v>
      </c>
      <c r="D1527" s="3" t="s">
        <v>1443</v>
      </c>
      <c r="E1527" s="3" t="s">
        <v>1444</v>
      </c>
      <c r="F1527" s="3">
        <v>73.569999999999993</v>
      </c>
      <c r="G1527" s="3" t="s">
        <v>1445</v>
      </c>
      <c r="H1527" s="3">
        <v>53</v>
      </c>
      <c r="I1527" s="3">
        <v>97</v>
      </c>
      <c r="J1527" s="3" t="s">
        <v>1416</v>
      </c>
      <c r="K1527" s="3" t="s">
        <v>1434</v>
      </c>
    </row>
    <row r="1528" spans="1:11" x14ac:dyDescent="0.2">
      <c r="A1528" s="2" t="s">
        <v>1058</v>
      </c>
      <c r="B1528" s="2" t="s">
        <v>1065</v>
      </c>
      <c r="C1528" s="2" t="s">
        <v>1066</v>
      </c>
      <c r="D1528" s="2" t="s">
        <v>1413</v>
      </c>
      <c r="E1528" s="2" t="s">
        <v>1414</v>
      </c>
      <c r="F1528" s="2">
        <v>1.18</v>
      </c>
      <c r="G1528" s="2" t="s">
        <v>1415</v>
      </c>
      <c r="H1528" s="2">
        <v>1</v>
      </c>
      <c r="I1528" s="2">
        <v>5</v>
      </c>
      <c r="J1528" s="2" t="s">
        <v>1416</v>
      </c>
      <c r="K1528" s="2" t="s">
        <v>1434</v>
      </c>
    </row>
    <row r="1529" spans="1:11" x14ac:dyDescent="0.2">
      <c r="A1529" s="3" t="s">
        <v>1058</v>
      </c>
      <c r="B1529" s="3" t="s">
        <v>1068</v>
      </c>
      <c r="C1529" s="3" t="s">
        <v>114</v>
      </c>
      <c r="D1529" s="3" t="s">
        <v>1448</v>
      </c>
      <c r="E1529" s="3" t="s">
        <v>1449</v>
      </c>
      <c r="F1529" s="3">
        <v>140.13999999999999</v>
      </c>
      <c r="G1529" s="3" t="s">
        <v>1415</v>
      </c>
      <c r="H1529" s="3">
        <v>136</v>
      </c>
      <c r="I1529" s="3">
        <v>145</v>
      </c>
      <c r="J1529" s="3" t="s">
        <v>1416</v>
      </c>
      <c r="K1529" s="3" t="s">
        <v>1434</v>
      </c>
    </row>
    <row r="1530" spans="1:11" x14ac:dyDescent="0.2">
      <c r="A1530" s="2" t="s">
        <v>1058</v>
      </c>
      <c r="B1530" s="2" t="s">
        <v>1068</v>
      </c>
      <c r="C1530" s="2" t="s">
        <v>114</v>
      </c>
      <c r="D1530" s="2" t="s">
        <v>1453</v>
      </c>
      <c r="E1530" s="2" t="s">
        <v>1454</v>
      </c>
      <c r="F1530" s="2">
        <v>6.71</v>
      </c>
      <c r="G1530" s="2" t="s">
        <v>1415</v>
      </c>
      <c r="H1530" s="2">
        <v>3.9</v>
      </c>
      <c r="I1530" s="2">
        <v>5.5</v>
      </c>
      <c r="J1530" s="5" t="s">
        <v>1426</v>
      </c>
      <c r="K1530" s="2" t="s">
        <v>1431</v>
      </c>
    </row>
    <row r="1531" spans="1:11" x14ac:dyDescent="0.2">
      <c r="A1531" s="3" t="s">
        <v>1058</v>
      </c>
      <c r="B1531" s="3" t="s">
        <v>1068</v>
      </c>
      <c r="C1531" s="3" t="s">
        <v>114</v>
      </c>
      <c r="D1531" s="3" t="s">
        <v>1455</v>
      </c>
      <c r="E1531" s="3" t="s">
        <v>1456</v>
      </c>
      <c r="F1531" s="3">
        <v>221.45</v>
      </c>
      <c r="G1531" s="3" t="s">
        <v>1457</v>
      </c>
      <c r="H1531" s="3">
        <v>40</v>
      </c>
      <c r="I1531" s="3">
        <v>130</v>
      </c>
      <c r="J1531" s="5" t="s">
        <v>1426</v>
      </c>
      <c r="K1531" s="3" t="s">
        <v>1420</v>
      </c>
    </row>
    <row r="1532" spans="1:11" x14ac:dyDescent="0.2">
      <c r="A1532" s="2" t="s">
        <v>1058</v>
      </c>
      <c r="B1532" s="2" t="s">
        <v>1068</v>
      </c>
      <c r="C1532" s="2" t="s">
        <v>114</v>
      </c>
      <c r="D1532" s="2" t="s">
        <v>1446</v>
      </c>
      <c r="E1532" s="2" t="s">
        <v>1447</v>
      </c>
      <c r="F1532" s="2">
        <v>2.48</v>
      </c>
      <c r="G1532" s="2" t="s">
        <v>1415</v>
      </c>
      <c r="H1532" s="2">
        <v>2.1</v>
      </c>
      <c r="I1532" s="2">
        <v>2.6</v>
      </c>
      <c r="J1532" s="2" t="s">
        <v>1416</v>
      </c>
      <c r="K1532" s="2" t="s">
        <v>1417</v>
      </c>
    </row>
    <row r="1533" spans="1:11" x14ac:dyDescent="0.2">
      <c r="A1533" s="3" t="s">
        <v>1070</v>
      </c>
      <c r="B1533" s="3" t="s">
        <v>1071</v>
      </c>
      <c r="C1533" s="3" t="s">
        <v>1072</v>
      </c>
      <c r="D1533" s="3" t="s">
        <v>1435</v>
      </c>
      <c r="E1533" s="3" t="s">
        <v>1436</v>
      </c>
      <c r="F1533" s="3">
        <v>1.34</v>
      </c>
      <c r="G1533" s="3" t="s">
        <v>1415</v>
      </c>
      <c r="H1533" s="3">
        <v>0.8</v>
      </c>
      <c r="I1533" s="3">
        <v>1.5</v>
      </c>
      <c r="J1533" s="3" t="s">
        <v>1416</v>
      </c>
      <c r="K1533" s="3" t="s">
        <v>1417</v>
      </c>
    </row>
    <row r="1534" spans="1:11" x14ac:dyDescent="0.2">
      <c r="A1534" s="2" t="s">
        <v>1070</v>
      </c>
      <c r="B1534" s="2" t="s">
        <v>1071</v>
      </c>
      <c r="C1534" s="2" t="s">
        <v>1072</v>
      </c>
      <c r="D1534" s="2" t="s">
        <v>1448</v>
      </c>
      <c r="E1534" s="2" t="s">
        <v>1449</v>
      </c>
      <c r="F1534" s="2">
        <v>147.88</v>
      </c>
      <c r="G1534" s="2" t="s">
        <v>1415</v>
      </c>
      <c r="H1534" s="2">
        <v>136</v>
      </c>
      <c r="I1534" s="2">
        <v>145</v>
      </c>
      <c r="J1534" s="5" t="s">
        <v>1426</v>
      </c>
      <c r="K1534" s="2" t="s">
        <v>1420</v>
      </c>
    </row>
    <row r="1535" spans="1:11" x14ac:dyDescent="0.2">
      <c r="A1535" s="3" t="s">
        <v>1070</v>
      </c>
      <c r="B1535" s="3" t="s">
        <v>1071</v>
      </c>
      <c r="C1535" s="3" t="s">
        <v>1072</v>
      </c>
      <c r="D1535" s="3" t="s">
        <v>1450</v>
      </c>
      <c r="E1535" s="3" t="s">
        <v>1451</v>
      </c>
      <c r="F1535" s="3">
        <v>101.77</v>
      </c>
      <c r="G1535" s="3" t="s">
        <v>1452</v>
      </c>
      <c r="H1535" s="3">
        <v>60</v>
      </c>
      <c r="I1535" s="3">
        <v>120</v>
      </c>
      <c r="J1535" s="3" t="s">
        <v>1416</v>
      </c>
      <c r="K1535" s="3" t="s">
        <v>1420</v>
      </c>
    </row>
    <row r="1536" spans="1:11" x14ac:dyDescent="0.2">
      <c r="A1536" s="2" t="s">
        <v>1070</v>
      </c>
      <c r="B1536" s="2" t="s">
        <v>1074</v>
      </c>
      <c r="C1536" s="2" t="s">
        <v>1006</v>
      </c>
      <c r="D1536" s="2" t="s">
        <v>1437</v>
      </c>
      <c r="E1536" s="2" t="s">
        <v>1438</v>
      </c>
      <c r="F1536" s="2">
        <v>9.69</v>
      </c>
      <c r="G1536" s="2" t="s">
        <v>1439</v>
      </c>
      <c r="H1536" s="2">
        <v>12</v>
      </c>
      <c r="I1536" s="2">
        <v>17.5</v>
      </c>
      <c r="J1536" s="5" t="s">
        <v>1430</v>
      </c>
      <c r="K1536" s="2" t="s">
        <v>1420</v>
      </c>
    </row>
    <row r="1537" spans="1:11" x14ac:dyDescent="0.2">
      <c r="A1537" s="3" t="s">
        <v>1070</v>
      </c>
      <c r="B1537" s="3" t="s">
        <v>1074</v>
      </c>
      <c r="C1537" s="3" t="s">
        <v>1006</v>
      </c>
      <c r="D1537" s="3" t="s">
        <v>1440</v>
      </c>
      <c r="E1537" s="3" t="s">
        <v>1441</v>
      </c>
      <c r="F1537" s="3">
        <v>6.72</v>
      </c>
      <c r="G1537" s="3" t="s">
        <v>1442</v>
      </c>
      <c r="H1537" s="3">
        <v>4</v>
      </c>
      <c r="I1537" s="3">
        <v>5.6</v>
      </c>
      <c r="J1537" s="5" t="s">
        <v>1426</v>
      </c>
      <c r="K1537" s="3" t="s">
        <v>1431</v>
      </c>
    </row>
    <row r="1538" spans="1:11" x14ac:dyDescent="0.2">
      <c r="A1538" s="2" t="s">
        <v>1070</v>
      </c>
      <c r="B1538" s="2" t="s">
        <v>1074</v>
      </c>
      <c r="C1538" s="2" t="s">
        <v>1006</v>
      </c>
      <c r="D1538" s="2" t="s">
        <v>1432</v>
      </c>
      <c r="E1538" s="2" t="s">
        <v>1433</v>
      </c>
      <c r="F1538" s="2">
        <v>2.5</v>
      </c>
      <c r="G1538" s="2" t="s">
        <v>1415</v>
      </c>
      <c r="H1538" s="2">
        <v>0</v>
      </c>
      <c r="I1538" s="2">
        <v>3</v>
      </c>
      <c r="J1538" s="2" t="s">
        <v>1416</v>
      </c>
      <c r="K1538" s="2" t="s">
        <v>1420</v>
      </c>
    </row>
    <row r="1539" spans="1:11" x14ac:dyDescent="0.2">
      <c r="A1539" s="3" t="s">
        <v>1070</v>
      </c>
      <c r="B1539" s="3" t="s">
        <v>1074</v>
      </c>
      <c r="C1539" s="3" t="s">
        <v>1006</v>
      </c>
      <c r="D1539" s="3" t="s">
        <v>1427</v>
      </c>
      <c r="E1539" s="3" t="s">
        <v>1428</v>
      </c>
      <c r="F1539" s="3">
        <v>12.2</v>
      </c>
      <c r="G1539" s="3" t="s">
        <v>1429</v>
      </c>
      <c r="H1539" s="3">
        <v>4</v>
      </c>
      <c r="I1539" s="3">
        <v>11</v>
      </c>
      <c r="J1539" s="5" t="s">
        <v>1426</v>
      </c>
      <c r="K1539" s="3" t="s">
        <v>1434</v>
      </c>
    </row>
    <row r="1540" spans="1:11" x14ac:dyDescent="0.2">
      <c r="A1540" s="2" t="s">
        <v>1070</v>
      </c>
      <c r="B1540" s="2" t="s">
        <v>1074</v>
      </c>
      <c r="C1540" s="2" t="s">
        <v>1006</v>
      </c>
      <c r="D1540" s="2" t="s">
        <v>1448</v>
      </c>
      <c r="E1540" s="2" t="s">
        <v>1449</v>
      </c>
      <c r="F1540" s="2">
        <v>147.66</v>
      </c>
      <c r="G1540" s="2" t="s">
        <v>1415</v>
      </c>
      <c r="H1540" s="2">
        <v>136</v>
      </c>
      <c r="I1540" s="2">
        <v>145</v>
      </c>
      <c r="J1540" s="5" t="s">
        <v>1426</v>
      </c>
      <c r="K1540" s="2" t="s">
        <v>1431</v>
      </c>
    </row>
    <row r="1541" spans="1:11" x14ac:dyDescent="0.2">
      <c r="A1541" s="3" t="s">
        <v>1070</v>
      </c>
      <c r="B1541" s="3" t="s">
        <v>1074</v>
      </c>
      <c r="C1541" s="3" t="s">
        <v>1006</v>
      </c>
      <c r="D1541" s="3" t="s">
        <v>1435</v>
      </c>
      <c r="E1541" s="3" t="s">
        <v>1436</v>
      </c>
      <c r="F1541" s="3">
        <v>1.1299999999999999</v>
      </c>
      <c r="G1541" s="3" t="s">
        <v>1415</v>
      </c>
      <c r="H1541" s="3">
        <v>0.8</v>
      </c>
      <c r="I1541" s="3">
        <v>1.5</v>
      </c>
      <c r="J1541" s="3" t="s">
        <v>1416</v>
      </c>
      <c r="K1541" s="3" t="s">
        <v>1420</v>
      </c>
    </row>
    <row r="1542" spans="1:11" x14ac:dyDescent="0.2">
      <c r="A1542" s="2" t="s">
        <v>1070</v>
      </c>
      <c r="B1542" s="2" t="s">
        <v>1076</v>
      </c>
      <c r="C1542" s="2" t="s">
        <v>1077</v>
      </c>
      <c r="D1542" s="2" t="s">
        <v>1448</v>
      </c>
      <c r="E1542" s="2" t="s">
        <v>1449</v>
      </c>
      <c r="F1542" s="2">
        <v>134.41999999999999</v>
      </c>
      <c r="G1542" s="2" t="s">
        <v>1415</v>
      </c>
      <c r="H1542" s="2">
        <v>136</v>
      </c>
      <c r="I1542" s="2">
        <v>145</v>
      </c>
      <c r="J1542" s="5" t="s">
        <v>1430</v>
      </c>
      <c r="K1542" s="2" t="s">
        <v>1417</v>
      </c>
    </row>
    <row r="1543" spans="1:11" x14ac:dyDescent="0.2">
      <c r="A1543" s="3" t="s">
        <v>1070</v>
      </c>
      <c r="B1543" s="3" t="s">
        <v>1076</v>
      </c>
      <c r="C1543" s="3" t="s">
        <v>1077</v>
      </c>
      <c r="D1543" s="3" t="s">
        <v>1455</v>
      </c>
      <c r="E1543" s="3" t="s">
        <v>1456</v>
      </c>
      <c r="F1543" s="3">
        <v>139.58000000000001</v>
      </c>
      <c r="G1543" s="3" t="s">
        <v>1457</v>
      </c>
      <c r="H1543" s="3">
        <v>40</v>
      </c>
      <c r="I1543" s="3">
        <v>130</v>
      </c>
      <c r="J1543" s="5" t="s">
        <v>1426</v>
      </c>
      <c r="K1543" s="3" t="s">
        <v>1431</v>
      </c>
    </row>
    <row r="1544" spans="1:11" x14ac:dyDescent="0.2">
      <c r="A1544" s="2" t="s">
        <v>1070</v>
      </c>
      <c r="B1544" s="2" t="s">
        <v>1076</v>
      </c>
      <c r="C1544" s="2" t="s">
        <v>1077</v>
      </c>
      <c r="D1544" s="2" t="s">
        <v>1440</v>
      </c>
      <c r="E1544" s="2" t="s">
        <v>1441</v>
      </c>
      <c r="F1544" s="2">
        <v>6.26</v>
      </c>
      <c r="G1544" s="2" t="s">
        <v>1442</v>
      </c>
      <c r="H1544" s="2">
        <v>4</v>
      </c>
      <c r="I1544" s="2">
        <v>5.6</v>
      </c>
      <c r="J1544" s="5" t="s">
        <v>1426</v>
      </c>
      <c r="K1544" s="2" t="s">
        <v>1434</v>
      </c>
    </row>
    <row r="1545" spans="1:11" x14ac:dyDescent="0.2">
      <c r="A1545" s="3" t="s">
        <v>1070</v>
      </c>
      <c r="B1545" s="3" t="s">
        <v>1076</v>
      </c>
      <c r="C1545" s="3" t="s">
        <v>1077</v>
      </c>
      <c r="D1545" s="3" t="s">
        <v>1450</v>
      </c>
      <c r="E1545" s="3" t="s">
        <v>1451</v>
      </c>
      <c r="F1545" s="3">
        <v>102.73</v>
      </c>
      <c r="G1545" s="3" t="s">
        <v>1452</v>
      </c>
      <c r="H1545" s="3">
        <v>60</v>
      </c>
      <c r="I1545" s="3">
        <v>120</v>
      </c>
      <c r="J1545" s="3" t="s">
        <v>1416</v>
      </c>
      <c r="K1545" s="3" t="s">
        <v>1431</v>
      </c>
    </row>
    <row r="1546" spans="1:11" x14ac:dyDescent="0.2">
      <c r="A1546" s="2" t="s">
        <v>1070</v>
      </c>
      <c r="B1546" s="2" t="s">
        <v>1076</v>
      </c>
      <c r="C1546" s="2" t="s">
        <v>1077</v>
      </c>
      <c r="D1546" s="2" t="s">
        <v>1453</v>
      </c>
      <c r="E1546" s="2" t="s">
        <v>1454</v>
      </c>
      <c r="F1546" s="2">
        <v>5.54</v>
      </c>
      <c r="G1546" s="2" t="s">
        <v>1415</v>
      </c>
      <c r="H1546" s="2">
        <v>3.9</v>
      </c>
      <c r="I1546" s="2">
        <v>5.5</v>
      </c>
      <c r="J1546" s="5" t="s">
        <v>1426</v>
      </c>
      <c r="K1546" s="2" t="s">
        <v>1420</v>
      </c>
    </row>
    <row r="1547" spans="1:11" x14ac:dyDescent="0.2">
      <c r="A1547" s="3" t="s">
        <v>1070</v>
      </c>
      <c r="B1547" s="3" t="s">
        <v>1076</v>
      </c>
      <c r="C1547" s="3" t="s">
        <v>1077</v>
      </c>
      <c r="D1547" s="3" t="s">
        <v>1418</v>
      </c>
      <c r="E1547" s="3" t="s">
        <v>1419</v>
      </c>
      <c r="F1547" s="3">
        <v>3.94</v>
      </c>
      <c r="G1547" s="3" t="s">
        <v>1415</v>
      </c>
      <c r="H1547" s="3">
        <v>3.5</v>
      </c>
      <c r="I1547" s="3">
        <v>5</v>
      </c>
      <c r="J1547" s="3" t="s">
        <v>1416</v>
      </c>
      <c r="K1547" s="3" t="s">
        <v>1417</v>
      </c>
    </row>
    <row r="1548" spans="1:11" x14ac:dyDescent="0.2">
      <c r="A1548" s="2" t="s">
        <v>1070</v>
      </c>
      <c r="B1548" s="2" t="s">
        <v>1076</v>
      </c>
      <c r="C1548" s="2" t="s">
        <v>1077</v>
      </c>
      <c r="D1548" s="2" t="s">
        <v>1413</v>
      </c>
      <c r="E1548" s="2" t="s">
        <v>1414</v>
      </c>
      <c r="F1548" s="2">
        <v>0.85</v>
      </c>
      <c r="G1548" s="2" t="s">
        <v>1415</v>
      </c>
      <c r="H1548" s="2">
        <v>1</v>
      </c>
      <c r="I1548" s="2">
        <v>5</v>
      </c>
      <c r="J1548" s="5" t="s">
        <v>1430</v>
      </c>
      <c r="K1548" s="2" t="s">
        <v>1420</v>
      </c>
    </row>
    <row r="1549" spans="1:11" x14ac:dyDescent="0.2">
      <c r="A1549" s="3" t="s">
        <v>1079</v>
      </c>
      <c r="B1549" s="3" t="s">
        <v>1080</v>
      </c>
      <c r="C1549" s="3" t="s">
        <v>1081</v>
      </c>
      <c r="D1549" s="3" t="s">
        <v>1421</v>
      </c>
      <c r="E1549" s="3" t="s">
        <v>1422</v>
      </c>
      <c r="F1549" s="3">
        <v>6.57</v>
      </c>
      <c r="G1549" s="3" t="s">
        <v>1415</v>
      </c>
      <c r="H1549" s="3">
        <v>0</v>
      </c>
      <c r="I1549" s="3">
        <v>5</v>
      </c>
      <c r="J1549" s="5" t="s">
        <v>1426</v>
      </c>
      <c r="K1549" s="3" t="s">
        <v>1431</v>
      </c>
    </row>
    <row r="1550" spans="1:11" x14ac:dyDescent="0.2">
      <c r="A1550" s="2" t="s">
        <v>1079</v>
      </c>
      <c r="B1550" s="2" t="s">
        <v>1080</v>
      </c>
      <c r="C1550" s="2" t="s">
        <v>1081</v>
      </c>
      <c r="D1550" s="2" t="s">
        <v>1423</v>
      </c>
      <c r="E1550" s="2" t="s">
        <v>1424</v>
      </c>
      <c r="F1550" s="2">
        <v>5.56</v>
      </c>
      <c r="G1550" s="2" t="s">
        <v>1425</v>
      </c>
      <c r="H1550" s="2">
        <v>4.5</v>
      </c>
      <c r="I1550" s="2">
        <v>5.5</v>
      </c>
      <c r="J1550" s="5" t="s">
        <v>1426</v>
      </c>
      <c r="K1550" s="2" t="s">
        <v>1431</v>
      </c>
    </row>
    <row r="1551" spans="1:11" x14ac:dyDescent="0.2">
      <c r="A1551" s="3" t="s">
        <v>1079</v>
      </c>
      <c r="B1551" s="3" t="s">
        <v>1080</v>
      </c>
      <c r="C1551" s="3" t="s">
        <v>1081</v>
      </c>
      <c r="D1551" s="3" t="s">
        <v>1437</v>
      </c>
      <c r="E1551" s="3" t="s">
        <v>1438</v>
      </c>
      <c r="F1551" s="3">
        <v>10.23</v>
      </c>
      <c r="G1551" s="3" t="s">
        <v>1439</v>
      </c>
      <c r="H1551" s="3">
        <v>12</v>
      </c>
      <c r="I1551" s="3">
        <v>17.5</v>
      </c>
      <c r="J1551" s="5" t="s">
        <v>1430</v>
      </c>
      <c r="K1551" s="3" t="s">
        <v>1417</v>
      </c>
    </row>
    <row r="1552" spans="1:11" x14ac:dyDescent="0.2">
      <c r="A1552" s="2" t="s">
        <v>1079</v>
      </c>
      <c r="B1552" s="2" t="s">
        <v>1080</v>
      </c>
      <c r="C1552" s="2" t="s">
        <v>1081</v>
      </c>
      <c r="D1552" s="2" t="s">
        <v>1440</v>
      </c>
      <c r="E1552" s="2" t="s">
        <v>1441</v>
      </c>
      <c r="F1552" s="2">
        <v>9.25</v>
      </c>
      <c r="G1552" s="2" t="s">
        <v>1442</v>
      </c>
      <c r="H1552" s="2">
        <v>4</v>
      </c>
      <c r="I1552" s="2">
        <v>5.6</v>
      </c>
      <c r="J1552" s="5" t="s">
        <v>1426</v>
      </c>
      <c r="K1552" s="2" t="s">
        <v>1417</v>
      </c>
    </row>
    <row r="1553" spans="1:11" x14ac:dyDescent="0.2">
      <c r="A1553" s="3" t="s">
        <v>1079</v>
      </c>
      <c r="B1553" s="3" t="s">
        <v>1080</v>
      </c>
      <c r="C1553" s="3" t="s">
        <v>1081</v>
      </c>
      <c r="D1553" s="3" t="s">
        <v>1432</v>
      </c>
      <c r="E1553" s="3" t="s">
        <v>1433</v>
      </c>
      <c r="F1553" s="3">
        <v>4.16</v>
      </c>
      <c r="G1553" s="3" t="s">
        <v>1415</v>
      </c>
      <c r="H1553" s="3">
        <v>0</v>
      </c>
      <c r="I1553" s="3">
        <v>3</v>
      </c>
      <c r="J1553" s="5" t="s">
        <v>1426</v>
      </c>
      <c r="K1553" s="3" t="s">
        <v>1420</v>
      </c>
    </row>
    <row r="1554" spans="1:11" x14ac:dyDescent="0.2">
      <c r="A1554" s="2" t="s">
        <v>1079</v>
      </c>
      <c r="B1554" s="2" t="s">
        <v>1080</v>
      </c>
      <c r="C1554" s="2" t="s">
        <v>1081</v>
      </c>
      <c r="D1554" s="2" t="s">
        <v>1435</v>
      </c>
      <c r="E1554" s="2" t="s">
        <v>1436</v>
      </c>
      <c r="F1554" s="2">
        <v>0.8</v>
      </c>
      <c r="G1554" s="2" t="s">
        <v>1415</v>
      </c>
      <c r="H1554" s="2">
        <v>0.8</v>
      </c>
      <c r="I1554" s="2">
        <v>1.5</v>
      </c>
      <c r="J1554" s="2" t="s">
        <v>1416</v>
      </c>
      <c r="K1554" s="2" t="s">
        <v>1420</v>
      </c>
    </row>
    <row r="1555" spans="1:11" x14ac:dyDescent="0.2">
      <c r="A1555" s="3" t="s">
        <v>1079</v>
      </c>
      <c r="B1555" s="3" t="s">
        <v>1080</v>
      </c>
      <c r="C1555" s="3" t="s">
        <v>1081</v>
      </c>
      <c r="D1555" s="3" t="s">
        <v>1455</v>
      </c>
      <c r="E1555" s="3" t="s">
        <v>1456</v>
      </c>
      <c r="F1555" s="3">
        <v>181.03</v>
      </c>
      <c r="G1555" s="3" t="s">
        <v>1457</v>
      </c>
      <c r="H1555" s="3">
        <v>40</v>
      </c>
      <c r="I1555" s="3">
        <v>130</v>
      </c>
      <c r="J1555" s="5" t="s">
        <v>1426</v>
      </c>
      <c r="K1555" s="3" t="s">
        <v>1420</v>
      </c>
    </row>
    <row r="1556" spans="1:11" x14ac:dyDescent="0.2">
      <c r="A1556" s="2" t="s">
        <v>1079</v>
      </c>
      <c r="B1556" s="2" t="s">
        <v>1084</v>
      </c>
      <c r="C1556" s="2" t="s">
        <v>1028</v>
      </c>
      <c r="D1556" s="2" t="s">
        <v>1440</v>
      </c>
      <c r="E1556" s="2" t="s">
        <v>1441</v>
      </c>
      <c r="F1556" s="2">
        <v>10.39</v>
      </c>
      <c r="G1556" s="2" t="s">
        <v>1442</v>
      </c>
      <c r="H1556" s="2">
        <v>4</v>
      </c>
      <c r="I1556" s="2">
        <v>5.6</v>
      </c>
      <c r="J1556" s="5" t="s">
        <v>1426</v>
      </c>
      <c r="K1556" s="2" t="s">
        <v>1420</v>
      </c>
    </row>
    <row r="1557" spans="1:11" x14ac:dyDescent="0.2">
      <c r="A1557" s="3" t="s">
        <v>1079</v>
      </c>
      <c r="B1557" s="3" t="s">
        <v>1084</v>
      </c>
      <c r="C1557" s="3" t="s">
        <v>1028</v>
      </c>
      <c r="D1557" s="3" t="s">
        <v>1413</v>
      </c>
      <c r="E1557" s="3" t="s">
        <v>1414</v>
      </c>
      <c r="F1557" s="3">
        <v>1.37</v>
      </c>
      <c r="G1557" s="3" t="s">
        <v>1415</v>
      </c>
      <c r="H1557" s="3">
        <v>1</v>
      </c>
      <c r="I1557" s="3">
        <v>5</v>
      </c>
      <c r="J1557" s="3" t="s">
        <v>1416</v>
      </c>
      <c r="K1557" s="3" t="s">
        <v>1417</v>
      </c>
    </row>
    <row r="1558" spans="1:11" x14ac:dyDescent="0.2">
      <c r="A1558" s="2" t="s">
        <v>1079</v>
      </c>
      <c r="B1558" s="2" t="s">
        <v>1084</v>
      </c>
      <c r="C1558" s="2" t="s">
        <v>1028</v>
      </c>
      <c r="D1558" s="2" t="s">
        <v>1432</v>
      </c>
      <c r="E1558" s="2" t="s">
        <v>1433</v>
      </c>
      <c r="F1558" s="2">
        <v>3.34</v>
      </c>
      <c r="G1558" s="2" t="s">
        <v>1415</v>
      </c>
      <c r="H1558" s="2">
        <v>0</v>
      </c>
      <c r="I1558" s="2">
        <v>3</v>
      </c>
      <c r="J1558" s="5" t="s">
        <v>1426</v>
      </c>
      <c r="K1558" s="2" t="s">
        <v>1417</v>
      </c>
    </row>
    <row r="1559" spans="1:11" x14ac:dyDescent="0.2">
      <c r="A1559" s="3" t="s">
        <v>1079</v>
      </c>
      <c r="B1559" s="3" t="s">
        <v>1084</v>
      </c>
      <c r="C1559" s="3" t="s">
        <v>1028</v>
      </c>
      <c r="D1559" s="3" t="s">
        <v>1435</v>
      </c>
      <c r="E1559" s="3" t="s">
        <v>1436</v>
      </c>
      <c r="F1559" s="3">
        <v>0.51</v>
      </c>
      <c r="G1559" s="3" t="s">
        <v>1415</v>
      </c>
      <c r="H1559" s="3">
        <v>0.8</v>
      </c>
      <c r="I1559" s="3">
        <v>1.5</v>
      </c>
      <c r="J1559" s="5" t="s">
        <v>1430</v>
      </c>
      <c r="K1559" s="3" t="s">
        <v>1417</v>
      </c>
    </row>
    <row r="1560" spans="1:11" x14ac:dyDescent="0.2">
      <c r="A1560" s="2" t="s">
        <v>1079</v>
      </c>
      <c r="B1560" s="2" t="s">
        <v>1084</v>
      </c>
      <c r="C1560" s="2" t="s">
        <v>1028</v>
      </c>
      <c r="D1560" s="2" t="s">
        <v>1450</v>
      </c>
      <c r="E1560" s="2" t="s">
        <v>1451</v>
      </c>
      <c r="F1560" s="2">
        <v>21.36</v>
      </c>
      <c r="G1560" s="2" t="s">
        <v>1452</v>
      </c>
      <c r="H1560" s="2">
        <v>60</v>
      </c>
      <c r="I1560" s="2">
        <v>120</v>
      </c>
      <c r="J1560" s="5" t="s">
        <v>1430</v>
      </c>
      <c r="K1560" s="2" t="s">
        <v>1417</v>
      </c>
    </row>
    <row r="1561" spans="1:11" x14ac:dyDescent="0.2">
      <c r="A1561" s="3" t="s">
        <v>1079</v>
      </c>
      <c r="B1561" s="3" t="s">
        <v>1086</v>
      </c>
      <c r="C1561" s="3" t="s">
        <v>582</v>
      </c>
      <c r="D1561" s="3" t="s">
        <v>1437</v>
      </c>
      <c r="E1561" s="3" t="s">
        <v>1438</v>
      </c>
      <c r="F1561" s="3">
        <v>6.25</v>
      </c>
      <c r="G1561" s="3" t="s">
        <v>1439</v>
      </c>
      <c r="H1561" s="3">
        <v>12</v>
      </c>
      <c r="I1561" s="3">
        <v>17.5</v>
      </c>
      <c r="J1561" s="5" t="s">
        <v>1430</v>
      </c>
      <c r="K1561" s="3" t="s">
        <v>1431</v>
      </c>
    </row>
    <row r="1562" spans="1:11" x14ac:dyDescent="0.2">
      <c r="A1562" s="2" t="s">
        <v>1079</v>
      </c>
      <c r="B1562" s="2" t="s">
        <v>1086</v>
      </c>
      <c r="C1562" s="2" t="s">
        <v>582</v>
      </c>
      <c r="D1562" s="2" t="s">
        <v>1450</v>
      </c>
      <c r="E1562" s="2" t="s">
        <v>1451</v>
      </c>
      <c r="F1562" s="2">
        <v>38.99</v>
      </c>
      <c r="G1562" s="2" t="s">
        <v>1452</v>
      </c>
      <c r="H1562" s="2">
        <v>60</v>
      </c>
      <c r="I1562" s="2">
        <v>120</v>
      </c>
      <c r="J1562" s="5" t="s">
        <v>1430</v>
      </c>
      <c r="K1562" s="2" t="s">
        <v>1420</v>
      </c>
    </row>
    <row r="1563" spans="1:11" x14ac:dyDescent="0.2">
      <c r="A1563" s="3" t="s">
        <v>1079</v>
      </c>
      <c r="B1563" s="3" t="s">
        <v>1086</v>
      </c>
      <c r="C1563" s="3" t="s">
        <v>582</v>
      </c>
      <c r="D1563" s="3" t="s">
        <v>1440</v>
      </c>
      <c r="E1563" s="3" t="s">
        <v>1441</v>
      </c>
      <c r="F1563" s="3">
        <v>6.92</v>
      </c>
      <c r="G1563" s="3" t="s">
        <v>1442</v>
      </c>
      <c r="H1563" s="3">
        <v>4</v>
      </c>
      <c r="I1563" s="3">
        <v>5.6</v>
      </c>
      <c r="J1563" s="5" t="s">
        <v>1426</v>
      </c>
      <c r="K1563" s="3" t="s">
        <v>1420</v>
      </c>
    </row>
    <row r="1564" spans="1:11" x14ac:dyDescent="0.2">
      <c r="A1564" s="2" t="s">
        <v>1079</v>
      </c>
      <c r="B1564" s="2" t="s">
        <v>1086</v>
      </c>
      <c r="C1564" s="2" t="s">
        <v>582</v>
      </c>
      <c r="D1564" s="2" t="s">
        <v>1448</v>
      </c>
      <c r="E1564" s="2" t="s">
        <v>1449</v>
      </c>
      <c r="F1564" s="2">
        <v>133.36000000000001</v>
      </c>
      <c r="G1564" s="2" t="s">
        <v>1415</v>
      </c>
      <c r="H1564" s="2">
        <v>136</v>
      </c>
      <c r="I1564" s="2">
        <v>145</v>
      </c>
      <c r="J1564" s="5" t="s">
        <v>1430</v>
      </c>
      <c r="K1564" s="2" t="s">
        <v>1417</v>
      </c>
    </row>
    <row r="1565" spans="1:11" x14ac:dyDescent="0.2">
      <c r="A1565" s="3" t="s">
        <v>1079</v>
      </c>
      <c r="B1565" s="3" t="s">
        <v>1086</v>
      </c>
      <c r="C1565" s="3" t="s">
        <v>582</v>
      </c>
      <c r="D1565" s="3" t="s">
        <v>1413</v>
      </c>
      <c r="E1565" s="3" t="s">
        <v>1414</v>
      </c>
      <c r="F1565" s="3">
        <v>1.89</v>
      </c>
      <c r="G1565" s="3" t="s">
        <v>1415</v>
      </c>
      <c r="H1565" s="3">
        <v>1</v>
      </c>
      <c r="I1565" s="3">
        <v>5</v>
      </c>
      <c r="J1565" s="3" t="s">
        <v>1416</v>
      </c>
      <c r="K1565" s="3" t="s">
        <v>1420</v>
      </c>
    </row>
    <row r="1566" spans="1:11" x14ac:dyDescent="0.2">
      <c r="A1566" s="2" t="s">
        <v>1079</v>
      </c>
      <c r="B1566" s="2" t="s">
        <v>1087</v>
      </c>
      <c r="C1566" s="2" t="s">
        <v>577</v>
      </c>
      <c r="D1566" s="2" t="s">
        <v>1427</v>
      </c>
      <c r="E1566" s="2" t="s">
        <v>1428</v>
      </c>
      <c r="F1566" s="2">
        <v>15.77</v>
      </c>
      <c r="G1566" s="2" t="s">
        <v>1429</v>
      </c>
      <c r="H1566" s="2">
        <v>4</v>
      </c>
      <c r="I1566" s="2">
        <v>11</v>
      </c>
      <c r="J1566" s="5" t="s">
        <v>1426</v>
      </c>
      <c r="K1566" s="2" t="s">
        <v>1434</v>
      </c>
    </row>
    <row r="1567" spans="1:11" x14ac:dyDescent="0.2">
      <c r="A1567" s="3" t="s">
        <v>1079</v>
      </c>
      <c r="B1567" s="3" t="s">
        <v>1087</v>
      </c>
      <c r="C1567" s="3" t="s">
        <v>577</v>
      </c>
      <c r="D1567" s="3" t="s">
        <v>1435</v>
      </c>
      <c r="E1567" s="3" t="s">
        <v>1436</v>
      </c>
      <c r="F1567" s="3">
        <v>0.6</v>
      </c>
      <c r="G1567" s="3" t="s">
        <v>1415</v>
      </c>
      <c r="H1567" s="3">
        <v>0.8</v>
      </c>
      <c r="I1567" s="3">
        <v>1.5</v>
      </c>
      <c r="J1567" s="5" t="s">
        <v>1430</v>
      </c>
      <c r="K1567" s="3" t="s">
        <v>1431</v>
      </c>
    </row>
    <row r="1568" spans="1:11" x14ac:dyDescent="0.2">
      <c r="A1568" s="2" t="s">
        <v>1079</v>
      </c>
      <c r="B1568" s="2" t="s">
        <v>1087</v>
      </c>
      <c r="C1568" s="2" t="s">
        <v>577</v>
      </c>
      <c r="D1568" s="2" t="s">
        <v>1421</v>
      </c>
      <c r="E1568" s="2" t="s">
        <v>1422</v>
      </c>
      <c r="F1568" s="2">
        <v>4.8</v>
      </c>
      <c r="G1568" s="2" t="s">
        <v>1415</v>
      </c>
      <c r="H1568" s="2">
        <v>0</v>
      </c>
      <c r="I1568" s="2">
        <v>5</v>
      </c>
      <c r="J1568" s="2" t="s">
        <v>1416</v>
      </c>
      <c r="K1568" s="2" t="s">
        <v>1417</v>
      </c>
    </row>
    <row r="1569" spans="1:11" x14ac:dyDescent="0.2">
      <c r="A1569" s="3" t="s">
        <v>1079</v>
      </c>
      <c r="B1569" s="3" t="s">
        <v>1087</v>
      </c>
      <c r="C1569" s="3" t="s">
        <v>577</v>
      </c>
      <c r="D1569" s="3" t="s">
        <v>1450</v>
      </c>
      <c r="E1569" s="3" t="s">
        <v>1451</v>
      </c>
      <c r="F1569" s="3">
        <v>123.27</v>
      </c>
      <c r="G1569" s="3" t="s">
        <v>1452</v>
      </c>
      <c r="H1569" s="3">
        <v>60</v>
      </c>
      <c r="I1569" s="3">
        <v>120</v>
      </c>
      <c r="J1569" s="5" t="s">
        <v>1426</v>
      </c>
      <c r="K1569" s="3" t="s">
        <v>1417</v>
      </c>
    </row>
    <row r="1570" spans="1:11" x14ac:dyDescent="0.2">
      <c r="A1570" s="2" t="s">
        <v>1079</v>
      </c>
      <c r="B1570" s="2" t="s">
        <v>1087</v>
      </c>
      <c r="C1570" s="2" t="s">
        <v>577</v>
      </c>
      <c r="D1570" s="2" t="s">
        <v>1423</v>
      </c>
      <c r="E1570" s="2" t="s">
        <v>1424</v>
      </c>
      <c r="F1570" s="2">
        <v>5.86</v>
      </c>
      <c r="G1570" s="2" t="s">
        <v>1425</v>
      </c>
      <c r="H1570" s="2">
        <v>4.5</v>
      </c>
      <c r="I1570" s="2">
        <v>5.5</v>
      </c>
      <c r="J1570" s="5" t="s">
        <v>1426</v>
      </c>
      <c r="K1570" s="2" t="s">
        <v>1434</v>
      </c>
    </row>
    <row r="1571" spans="1:11" x14ac:dyDescent="0.2">
      <c r="A1571" s="3" t="s">
        <v>1079</v>
      </c>
      <c r="B1571" s="3" t="s">
        <v>1087</v>
      </c>
      <c r="C1571" s="3" t="s">
        <v>577</v>
      </c>
      <c r="D1571" s="3" t="s">
        <v>1455</v>
      </c>
      <c r="E1571" s="3" t="s">
        <v>1456</v>
      </c>
      <c r="F1571" s="3">
        <v>279.99</v>
      </c>
      <c r="G1571" s="3" t="s">
        <v>1457</v>
      </c>
      <c r="H1571" s="3">
        <v>40</v>
      </c>
      <c r="I1571" s="3">
        <v>130</v>
      </c>
      <c r="J1571" s="5" t="s">
        <v>1426</v>
      </c>
      <c r="K1571" s="3" t="s">
        <v>1417</v>
      </c>
    </row>
    <row r="1572" spans="1:11" x14ac:dyDescent="0.2">
      <c r="A1572" s="2" t="s">
        <v>1079</v>
      </c>
      <c r="B1572" s="2" t="s">
        <v>1087</v>
      </c>
      <c r="C1572" s="2" t="s">
        <v>577</v>
      </c>
      <c r="D1572" s="2" t="s">
        <v>1448</v>
      </c>
      <c r="E1572" s="2" t="s">
        <v>1449</v>
      </c>
      <c r="F1572" s="2">
        <v>143.32</v>
      </c>
      <c r="G1572" s="2" t="s">
        <v>1415</v>
      </c>
      <c r="H1572" s="2">
        <v>136</v>
      </c>
      <c r="I1572" s="2">
        <v>145</v>
      </c>
      <c r="J1572" s="2" t="s">
        <v>1416</v>
      </c>
      <c r="K1572" s="2" t="s">
        <v>1417</v>
      </c>
    </row>
    <row r="1573" spans="1:11" x14ac:dyDescent="0.2">
      <c r="A1573" s="3" t="s">
        <v>1079</v>
      </c>
      <c r="B1573" s="3" t="s">
        <v>1089</v>
      </c>
      <c r="C1573" s="3" t="s">
        <v>1090</v>
      </c>
      <c r="D1573" s="3" t="s">
        <v>1413</v>
      </c>
      <c r="E1573" s="3" t="s">
        <v>1414</v>
      </c>
      <c r="F1573" s="3">
        <v>0.79</v>
      </c>
      <c r="G1573" s="3" t="s">
        <v>1415</v>
      </c>
      <c r="H1573" s="3">
        <v>1</v>
      </c>
      <c r="I1573" s="3">
        <v>5</v>
      </c>
      <c r="J1573" s="5" t="s">
        <v>1430</v>
      </c>
      <c r="K1573" s="3" t="s">
        <v>1434</v>
      </c>
    </row>
    <row r="1574" spans="1:11" x14ac:dyDescent="0.2">
      <c r="A1574" s="2" t="s">
        <v>1079</v>
      </c>
      <c r="B1574" s="2" t="s">
        <v>1089</v>
      </c>
      <c r="C1574" s="2" t="s">
        <v>1090</v>
      </c>
      <c r="D1574" s="2" t="s">
        <v>1423</v>
      </c>
      <c r="E1574" s="2" t="s">
        <v>1424</v>
      </c>
      <c r="F1574" s="2">
        <v>4.92</v>
      </c>
      <c r="G1574" s="2" t="s">
        <v>1425</v>
      </c>
      <c r="H1574" s="2">
        <v>4.5</v>
      </c>
      <c r="I1574" s="2">
        <v>5.5</v>
      </c>
      <c r="J1574" s="2" t="s">
        <v>1416</v>
      </c>
      <c r="K1574" s="2" t="s">
        <v>1420</v>
      </c>
    </row>
    <row r="1575" spans="1:11" x14ac:dyDescent="0.2">
      <c r="A1575" s="3" t="s">
        <v>1079</v>
      </c>
      <c r="B1575" s="3" t="s">
        <v>1089</v>
      </c>
      <c r="C1575" s="3" t="s">
        <v>1090</v>
      </c>
      <c r="D1575" s="3" t="s">
        <v>1446</v>
      </c>
      <c r="E1575" s="3" t="s">
        <v>1447</v>
      </c>
      <c r="F1575" s="3">
        <v>2.4500000000000002</v>
      </c>
      <c r="G1575" s="3" t="s">
        <v>1415</v>
      </c>
      <c r="H1575" s="3">
        <v>2.1</v>
      </c>
      <c r="I1575" s="3">
        <v>2.6</v>
      </c>
      <c r="J1575" s="3" t="s">
        <v>1416</v>
      </c>
      <c r="K1575" s="3" t="s">
        <v>1417</v>
      </c>
    </row>
    <row r="1576" spans="1:11" x14ac:dyDescent="0.2">
      <c r="A1576" s="2" t="s">
        <v>1079</v>
      </c>
      <c r="B1576" s="2" t="s">
        <v>1089</v>
      </c>
      <c r="C1576" s="2" t="s">
        <v>1090</v>
      </c>
      <c r="D1576" s="2" t="s">
        <v>1418</v>
      </c>
      <c r="E1576" s="2" t="s">
        <v>1419</v>
      </c>
      <c r="F1576" s="2">
        <v>5.32</v>
      </c>
      <c r="G1576" s="2" t="s">
        <v>1415</v>
      </c>
      <c r="H1576" s="2">
        <v>3.5</v>
      </c>
      <c r="I1576" s="2">
        <v>5</v>
      </c>
      <c r="J1576" s="5" t="s">
        <v>1426</v>
      </c>
      <c r="K1576" s="2" t="s">
        <v>1434</v>
      </c>
    </row>
    <row r="1577" spans="1:11" x14ac:dyDescent="0.2">
      <c r="A1577" s="3" t="s">
        <v>1092</v>
      </c>
      <c r="B1577" s="3" t="s">
        <v>1093</v>
      </c>
      <c r="C1577" s="3" t="s">
        <v>451</v>
      </c>
      <c r="D1577" s="3" t="s">
        <v>1440</v>
      </c>
      <c r="E1577" s="3" t="s">
        <v>1441</v>
      </c>
      <c r="F1577" s="3">
        <v>10.68</v>
      </c>
      <c r="G1577" s="3" t="s">
        <v>1442</v>
      </c>
      <c r="H1577" s="3">
        <v>4</v>
      </c>
      <c r="I1577" s="3">
        <v>5.6</v>
      </c>
      <c r="J1577" s="5" t="s">
        <v>1426</v>
      </c>
      <c r="K1577" s="3" t="s">
        <v>1420</v>
      </c>
    </row>
    <row r="1578" spans="1:11" x14ac:dyDescent="0.2">
      <c r="A1578" s="2" t="s">
        <v>1092</v>
      </c>
      <c r="B1578" s="2" t="s">
        <v>1093</v>
      </c>
      <c r="C1578" s="2" t="s">
        <v>451</v>
      </c>
      <c r="D1578" s="2" t="s">
        <v>1435</v>
      </c>
      <c r="E1578" s="2" t="s">
        <v>1436</v>
      </c>
      <c r="F1578" s="2">
        <v>1.25</v>
      </c>
      <c r="G1578" s="2" t="s">
        <v>1415</v>
      </c>
      <c r="H1578" s="2">
        <v>0.8</v>
      </c>
      <c r="I1578" s="2">
        <v>1.5</v>
      </c>
      <c r="J1578" s="2" t="s">
        <v>1416</v>
      </c>
      <c r="K1578" s="2" t="s">
        <v>1434</v>
      </c>
    </row>
    <row r="1579" spans="1:11" x14ac:dyDescent="0.2">
      <c r="A1579" s="3" t="s">
        <v>1092</v>
      </c>
      <c r="B1579" s="3" t="s">
        <v>1093</v>
      </c>
      <c r="C1579" s="3" t="s">
        <v>451</v>
      </c>
      <c r="D1579" s="3" t="s">
        <v>1453</v>
      </c>
      <c r="E1579" s="3" t="s">
        <v>1454</v>
      </c>
      <c r="F1579" s="3">
        <v>6.19</v>
      </c>
      <c r="G1579" s="3" t="s">
        <v>1415</v>
      </c>
      <c r="H1579" s="3">
        <v>3.9</v>
      </c>
      <c r="I1579" s="3">
        <v>5.5</v>
      </c>
      <c r="J1579" s="5" t="s">
        <v>1426</v>
      </c>
      <c r="K1579" s="3" t="s">
        <v>1420</v>
      </c>
    </row>
    <row r="1580" spans="1:11" x14ac:dyDescent="0.2">
      <c r="A1580" s="2" t="s">
        <v>1092</v>
      </c>
      <c r="B1580" s="2" t="s">
        <v>1093</v>
      </c>
      <c r="C1580" s="2" t="s">
        <v>451</v>
      </c>
      <c r="D1580" s="2" t="s">
        <v>1432</v>
      </c>
      <c r="E1580" s="2" t="s">
        <v>1433</v>
      </c>
      <c r="F1580" s="2">
        <v>3.38</v>
      </c>
      <c r="G1580" s="2" t="s">
        <v>1415</v>
      </c>
      <c r="H1580" s="2">
        <v>0</v>
      </c>
      <c r="I1580" s="2">
        <v>3</v>
      </c>
      <c r="J1580" s="5" t="s">
        <v>1426</v>
      </c>
      <c r="K1580" s="2" t="s">
        <v>1420</v>
      </c>
    </row>
    <row r="1581" spans="1:11" x14ac:dyDescent="0.2">
      <c r="A1581" s="3" t="s">
        <v>1092</v>
      </c>
      <c r="B1581" s="3" t="s">
        <v>1093</v>
      </c>
      <c r="C1581" s="3" t="s">
        <v>451</v>
      </c>
      <c r="D1581" s="3" t="s">
        <v>1418</v>
      </c>
      <c r="E1581" s="3" t="s">
        <v>1419</v>
      </c>
      <c r="F1581" s="3">
        <v>4.4800000000000004</v>
      </c>
      <c r="G1581" s="3" t="s">
        <v>1415</v>
      </c>
      <c r="H1581" s="3">
        <v>3.5</v>
      </c>
      <c r="I1581" s="3">
        <v>5</v>
      </c>
      <c r="J1581" s="3" t="s">
        <v>1416</v>
      </c>
      <c r="K1581" s="3" t="s">
        <v>1420</v>
      </c>
    </row>
    <row r="1582" spans="1:11" x14ac:dyDescent="0.2">
      <c r="A1582" s="2" t="s">
        <v>1092</v>
      </c>
      <c r="B1582" s="2" t="s">
        <v>1093</v>
      </c>
      <c r="C1582" s="2" t="s">
        <v>451</v>
      </c>
      <c r="D1582" s="2" t="s">
        <v>1455</v>
      </c>
      <c r="E1582" s="2" t="s">
        <v>1456</v>
      </c>
      <c r="F1582" s="2">
        <v>250.66</v>
      </c>
      <c r="G1582" s="2" t="s">
        <v>1457</v>
      </c>
      <c r="H1582" s="2">
        <v>40</v>
      </c>
      <c r="I1582" s="2">
        <v>130</v>
      </c>
      <c r="J1582" s="5" t="s">
        <v>1426</v>
      </c>
      <c r="K1582" s="2" t="s">
        <v>1431</v>
      </c>
    </row>
    <row r="1583" spans="1:11" x14ac:dyDescent="0.2">
      <c r="A1583" s="3" t="s">
        <v>1092</v>
      </c>
      <c r="B1583" s="3" t="s">
        <v>1095</v>
      </c>
      <c r="C1583" s="3" t="s">
        <v>396</v>
      </c>
      <c r="D1583" s="3" t="s">
        <v>1446</v>
      </c>
      <c r="E1583" s="3" t="s">
        <v>1447</v>
      </c>
      <c r="F1583" s="3">
        <v>2.65</v>
      </c>
      <c r="G1583" s="3" t="s">
        <v>1415</v>
      </c>
      <c r="H1583" s="3">
        <v>2.1</v>
      </c>
      <c r="I1583" s="3">
        <v>2.6</v>
      </c>
      <c r="J1583" s="5" t="s">
        <v>1426</v>
      </c>
      <c r="K1583" s="3" t="s">
        <v>1420</v>
      </c>
    </row>
    <row r="1584" spans="1:11" x14ac:dyDescent="0.2">
      <c r="A1584" s="2" t="s">
        <v>1092</v>
      </c>
      <c r="B1584" s="2" t="s">
        <v>1095</v>
      </c>
      <c r="C1584" s="2" t="s">
        <v>396</v>
      </c>
      <c r="D1584" s="2" t="s">
        <v>1450</v>
      </c>
      <c r="E1584" s="2" t="s">
        <v>1451</v>
      </c>
      <c r="F1584" s="2">
        <v>125.08</v>
      </c>
      <c r="G1584" s="2" t="s">
        <v>1452</v>
      </c>
      <c r="H1584" s="2">
        <v>60</v>
      </c>
      <c r="I1584" s="2">
        <v>120</v>
      </c>
      <c r="J1584" s="5" t="s">
        <v>1426</v>
      </c>
      <c r="K1584" s="2" t="s">
        <v>1420</v>
      </c>
    </row>
    <row r="1585" spans="1:11" x14ac:dyDescent="0.2">
      <c r="A1585" s="3" t="s">
        <v>1092</v>
      </c>
      <c r="B1585" s="3" t="s">
        <v>1095</v>
      </c>
      <c r="C1585" s="3" t="s">
        <v>396</v>
      </c>
      <c r="D1585" s="3" t="s">
        <v>1435</v>
      </c>
      <c r="E1585" s="3" t="s">
        <v>1436</v>
      </c>
      <c r="F1585" s="3">
        <v>1.68</v>
      </c>
      <c r="G1585" s="3" t="s">
        <v>1415</v>
      </c>
      <c r="H1585" s="3">
        <v>0.8</v>
      </c>
      <c r="I1585" s="3">
        <v>1.5</v>
      </c>
      <c r="J1585" s="5" t="s">
        <v>1426</v>
      </c>
      <c r="K1585" s="3" t="s">
        <v>1417</v>
      </c>
    </row>
    <row r="1586" spans="1:11" x14ac:dyDescent="0.2">
      <c r="A1586" s="2" t="s">
        <v>1096</v>
      </c>
      <c r="B1586" s="2" t="s">
        <v>1097</v>
      </c>
      <c r="C1586" s="2" t="s">
        <v>1098</v>
      </c>
      <c r="D1586" s="2" t="s">
        <v>1455</v>
      </c>
      <c r="E1586" s="2" t="s">
        <v>1456</v>
      </c>
      <c r="F1586" s="2">
        <v>136.56</v>
      </c>
      <c r="G1586" s="2" t="s">
        <v>1457</v>
      </c>
      <c r="H1586" s="2">
        <v>40</v>
      </c>
      <c r="I1586" s="2">
        <v>130</v>
      </c>
      <c r="J1586" s="5" t="s">
        <v>1426</v>
      </c>
      <c r="K1586" s="2" t="s">
        <v>1420</v>
      </c>
    </row>
    <row r="1587" spans="1:11" x14ac:dyDescent="0.2">
      <c r="A1587" s="3" t="s">
        <v>1096</v>
      </c>
      <c r="B1587" s="3" t="s">
        <v>1097</v>
      </c>
      <c r="C1587" s="3" t="s">
        <v>1098</v>
      </c>
      <c r="D1587" s="3" t="s">
        <v>1421</v>
      </c>
      <c r="E1587" s="3" t="s">
        <v>1422</v>
      </c>
      <c r="F1587" s="3">
        <v>4.5199999999999996</v>
      </c>
      <c r="G1587" s="3" t="s">
        <v>1415</v>
      </c>
      <c r="H1587" s="3">
        <v>0</v>
      </c>
      <c r="I1587" s="3">
        <v>5</v>
      </c>
      <c r="J1587" s="3" t="s">
        <v>1416</v>
      </c>
      <c r="K1587" s="3" t="s">
        <v>1434</v>
      </c>
    </row>
    <row r="1588" spans="1:11" x14ac:dyDescent="0.2">
      <c r="A1588" s="2" t="s">
        <v>1096</v>
      </c>
      <c r="B1588" s="2" t="s">
        <v>1097</v>
      </c>
      <c r="C1588" s="2" t="s">
        <v>1098</v>
      </c>
      <c r="D1588" s="2" t="s">
        <v>1440</v>
      </c>
      <c r="E1588" s="2" t="s">
        <v>1441</v>
      </c>
      <c r="F1588" s="2">
        <v>5.91</v>
      </c>
      <c r="G1588" s="2" t="s">
        <v>1442</v>
      </c>
      <c r="H1588" s="2">
        <v>4</v>
      </c>
      <c r="I1588" s="2">
        <v>5.6</v>
      </c>
      <c r="J1588" s="5" t="s">
        <v>1426</v>
      </c>
      <c r="K1588" s="2" t="s">
        <v>1417</v>
      </c>
    </row>
    <row r="1589" spans="1:11" x14ac:dyDescent="0.2">
      <c r="A1589" s="3" t="s">
        <v>1096</v>
      </c>
      <c r="B1589" s="3" t="s">
        <v>1097</v>
      </c>
      <c r="C1589" s="3" t="s">
        <v>1098</v>
      </c>
      <c r="D1589" s="3" t="s">
        <v>1432</v>
      </c>
      <c r="E1589" s="3" t="s">
        <v>1433</v>
      </c>
      <c r="F1589" s="3">
        <v>2.82</v>
      </c>
      <c r="G1589" s="3" t="s">
        <v>1415</v>
      </c>
      <c r="H1589" s="3">
        <v>0</v>
      </c>
      <c r="I1589" s="3">
        <v>3</v>
      </c>
      <c r="J1589" s="3" t="s">
        <v>1416</v>
      </c>
      <c r="K1589" s="3" t="s">
        <v>1417</v>
      </c>
    </row>
    <row r="1590" spans="1:11" x14ac:dyDescent="0.2">
      <c r="A1590" s="2" t="s">
        <v>1096</v>
      </c>
      <c r="B1590" s="2" t="s">
        <v>1097</v>
      </c>
      <c r="C1590" s="2" t="s">
        <v>1098</v>
      </c>
      <c r="D1590" s="2" t="s">
        <v>1448</v>
      </c>
      <c r="E1590" s="2" t="s">
        <v>1449</v>
      </c>
      <c r="F1590" s="2">
        <v>144.97</v>
      </c>
      <c r="G1590" s="2" t="s">
        <v>1415</v>
      </c>
      <c r="H1590" s="2">
        <v>136</v>
      </c>
      <c r="I1590" s="2">
        <v>145</v>
      </c>
      <c r="J1590" s="2" t="s">
        <v>1416</v>
      </c>
      <c r="K1590" s="2" t="s">
        <v>1434</v>
      </c>
    </row>
    <row r="1591" spans="1:11" x14ac:dyDescent="0.2">
      <c r="A1591" s="3" t="s">
        <v>1096</v>
      </c>
      <c r="B1591" s="3" t="s">
        <v>1097</v>
      </c>
      <c r="C1591" s="3" t="s">
        <v>1098</v>
      </c>
      <c r="D1591" s="3" t="s">
        <v>1446</v>
      </c>
      <c r="E1591" s="3" t="s">
        <v>1447</v>
      </c>
      <c r="F1591" s="3">
        <v>2.9</v>
      </c>
      <c r="G1591" s="3" t="s">
        <v>1415</v>
      </c>
      <c r="H1591" s="3">
        <v>2.1</v>
      </c>
      <c r="I1591" s="3">
        <v>2.6</v>
      </c>
      <c r="J1591" s="5" t="s">
        <v>1426</v>
      </c>
      <c r="K1591" s="3" t="s">
        <v>1420</v>
      </c>
    </row>
    <row r="1592" spans="1:11" x14ac:dyDescent="0.2">
      <c r="A1592" s="2" t="s">
        <v>1096</v>
      </c>
      <c r="B1592" s="2" t="s">
        <v>1097</v>
      </c>
      <c r="C1592" s="2" t="s">
        <v>1098</v>
      </c>
      <c r="D1592" s="2" t="s">
        <v>1437</v>
      </c>
      <c r="E1592" s="2" t="s">
        <v>1438</v>
      </c>
      <c r="F1592" s="2">
        <v>6.21</v>
      </c>
      <c r="G1592" s="2" t="s">
        <v>1439</v>
      </c>
      <c r="H1592" s="2">
        <v>12</v>
      </c>
      <c r="I1592" s="2">
        <v>17.5</v>
      </c>
      <c r="J1592" s="5" t="s">
        <v>1430</v>
      </c>
      <c r="K1592" s="2" t="s">
        <v>1417</v>
      </c>
    </row>
    <row r="1593" spans="1:11" x14ac:dyDescent="0.2">
      <c r="A1593" s="3" t="s">
        <v>1096</v>
      </c>
      <c r="B1593" s="3" t="s">
        <v>1097</v>
      </c>
      <c r="C1593" s="3" t="s">
        <v>1098</v>
      </c>
      <c r="D1593" s="3" t="s">
        <v>1435</v>
      </c>
      <c r="E1593" s="3" t="s">
        <v>1436</v>
      </c>
      <c r="F1593" s="3">
        <v>1.79</v>
      </c>
      <c r="G1593" s="3" t="s">
        <v>1415</v>
      </c>
      <c r="H1593" s="3">
        <v>0.8</v>
      </c>
      <c r="I1593" s="3">
        <v>1.5</v>
      </c>
      <c r="J1593" s="5" t="s">
        <v>1426</v>
      </c>
      <c r="K1593" s="3" t="s">
        <v>1420</v>
      </c>
    </row>
    <row r="1594" spans="1:11" x14ac:dyDescent="0.2">
      <c r="A1594" s="2" t="s">
        <v>1096</v>
      </c>
      <c r="B1594" s="2" t="s">
        <v>1100</v>
      </c>
      <c r="C1594" s="2" t="s">
        <v>313</v>
      </c>
      <c r="D1594" s="2" t="s">
        <v>1448</v>
      </c>
      <c r="E1594" s="2" t="s">
        <v>1449</v>
      </c>
      <c r="F1594" s="2">
        <v>141.47999999999999</v>
      </c>
      <c r="G1594" s="2" t="s">
        <v>1415</v>
      </c>
      <c r="H1594" s="2">
        <v>136</v>
      </c>
      <c r="I1594" s="2">
        <v>145</v>
      </c>
      <c r="J1594" s="2" t="s">
        <v>1416</v>
      </c>
      <c r="K1594" s="2" t="s">
        <v>1434</v>
      </c>
    </row>
    <row r="1595" spans="1:11" x14ac:dyDescent="0.2">
      <c r="A1595" s="3" t="s">
        <v>1096</v>
      </c>
      <c r="B1595" s="3" t="s">
        <v>1100</v>
      </c>
      <c r="C1595" s="3" t="s">
        <v>313</v>
      </c>
      <c r="D1595" s="3" t="s">
        <v>1413</v>
      </c>
      <c r="E1595" s="3" t="s">
        <v>1414</v>
      </c>
      <c r="F1595" s="3">
        <v>1.5</v>
      </c>
      <c r="G1595" s="3" t="s">
        <v>1415</v>
      </c>
      <c r="H1595" s="3">
        <v>1</v>
      </c>
      <c r="I1595" s="3">
        <v>5</v>
      </c>
      <c r="J1595" s="3" t="s">
        <v>1416</v>
      </c>
      <c r="K1595" s="3" t="s">
        <v>1434</v>
      </c>
    </row>
    <row r="1596" spans="1:11" x14ac:dyDescent="0.2">
      <c r="A1596" s="2" t="s">
        <v>1096</v>
      </c>
      <c r="B1596" s="2" t="s">
        <v>1100</v>
      </c>
      <c r="C1596" s="2" t="s">
        <v>313</v>
      </c>
      <c r="D1596" s="2" t="s">
        <v>1423</v>
      </c>
      <c r="E1596" s="2" t="s">
        <v>1424</v>
      </c>
      <c r="F1596" s="2">
        <v>4.72</v>
      </c>
      <c r="G1596" s="2" t="s">
        <v>1425</v>
      </c>
      <c r="H1596" s="2">
        <v>4.5</v>
      </c>
      <c r="I1596" s="2">
        <v>5.5</v>
      </c>
      <c r="J1596" s="2" t="s">
        <v>1416</v>
      </c>
      <c r="K1596" s="2" t="s">
        <v>1417</v>
      </c>
    </row>
    <row r="1597" spans="1:11" x14ac:dyDescent="0.2">
      <c r="A1597" s="3" t="s">
        <v>1096</v>
      </c>
      <c r="B1597" s="3" t="s">
        <v>1100</v>
      </c>
      <c r="C1597" s="3" t="s">
        <v>313</v>
      </c>
      <c r="D1597" s="3" t="s">
        <v>1432</v>
      </c>
      <c r="E1597" s="3" t="s">
        <v>1433</v>
      </c>
      <c r="F1597" s="3">
        <v>3.52</v>
      </c>
      <c r="G1597" s="3" t="s">
        <v>1415</v>
      </c>
      <c r="H1597" s="3">
        <v>0</v>
      </c>
      <c r="I1597" s="3">
        <v>3</v>
      </c>
      <c r="J1597" s="5" t="s">
        <v>1426</v>
      </c>
      <c r="K1597" s="3" t="s">
        <v>1431</v>
      </c>
    </row>
    <row r="1598" spans="1:11" x14ac:dyDescent="0.2">
      <c r="A1598" s="2" t="s">
        <v>1096</v>
      </c>
      <c r="B1598" s="2" t="s">
        <v>1100</v>
      </c>
      <c r="C1598" s="2" t="s">
        <v>313</v>
      </c>
      <c r="D1598" s="2" t="s">
        <v>1437</v>
      </c>
      <c r="E1598" s="2" t="s">
        <v>1438</v>
      </c>
      <c r="F1598" s="2">
        <v>15.77</v>
      </c>
      <c r="G1598" s="2" t="s">
        <v>1439</v>
      </c>
      <c r="H1598" s="2">
        <v>12</v>
      </c>
      <c r="I1598" s="2">
        <v>17.5</v>
      </c>
      <c r="J1598" s="2" t="s">
        <v>1416</v>
      </c>
      <c r="K1598" s="2" t="s">
        <v>1417</v>
      </c>
    </row>
    <row r="1599" spans="1:11" x14ac:dyDescent="0.2">
      <c r="A1599" s="3" t="s">
        <v>1096</v>
      </c>
      <c r="B1599" s="3" t="s">
        <v>1100</v>
      </c>
      <c r="C1599" s="3" t="s">
        <v>313</v>
      </c>
      <c r="D1599" s="3" t="s">
        <v>1453</v>
      </c>
      <c r="E1599" s="3" t="s">
        <v>1454</v>
      </c>
      <c r="F1599" s="3">
        <v>8.09</v>
      </c>
      <c r="G1599" s="3" t="s">
        <v>1415</v>
      </c>
      <c r="H1599" s="3">
        <v>3.9</v>
      </c>
      <c r="I1599" s="3">
        <v>5.5</v>
      </c>
      <c r="J1599" s="5" t="s">
        <v>1426</v>
      </c>
      <c r="K1599" s="3" t="s">
        <v>1417</v>
      </c>
    </row>
    <row r="1600" spans="1:11" x14ac:dyDescent="0.2">
      <c r="A1600" s="2" t="s">
        <v>1096</v>
      </c>
      <c r="B1600" s="2" t="s">
        <v>1100</v>
      </c>
      <c r="C1600" s="2" t="s">
        <v>313</v>
      </c>
      <c r="D1600" s="2" t="s">
        <v>1450</v>
      </c>
      <c r="E1600" s="2" t="s">
        <v>1451</v>
      </c>
      <c r="F1600" s="2">
        <v>66.900000000000006</v>
      </c>
      <c r="G1600" s="2" t="s">
        <v>1452</v>
      </c>
      <c r="H1600" s="2">
        <v>60</v>
      </c>
      <c r="I1600" s="2">
        <v>120</v>
      </c>
      <c r="J1600" s="2" t="s">
        <v>1416</v>
      </c>
      <c r="K1600" s="2" t="s">
        <v>1431</v>
      </c>
    </row>
    <row r="1601" spans="1:11" x14ac:dyDescent="0.2">
      <c r="A1601" s="3" t="s">
        <v>1096</v>
      </c>
      <c r="B1601" s="3" t="s">
        <v>1101</v>
      </c>
      <c r="C1601" s="3" t="s">
        <v>473</v>
      </c>
      <c r="D1601" s="3" t="s">
        <v>1432</v>
      </c>
      <c r="E1601" s="3" t="s">
        <v>1433</v>
      </c>
      <c r="F1601" s="3">
        <v>4.58</v>
      </c>
      <c r="G1601" s="3" t="s">
        <v>1415</v>
      </c>
      <c r="H1601" s="3">
        <v>0</v>
      </c>
      <c r="I1601" s="3">
        <v>3</v>
      </c>
      <c r="J1601" s="5" t="s">
        <v>1426</v>
      </c>
      <c r="K1601" s="3" t="s">
        <v>1417</v>
      </c>
    </row>
    <row r="1602" spans="1:11" x14ac:dyDescent="0.2">
      <c r="A1602" s="2" t="s">
        <v>1096</v>
      </c>
      <c r="B1602" s="2" t="s">
        <v>1101</v>
      </c>
      <c r="C1602" s="2" t="s">
        <v>473</v>
      </c>
      <c r="D1602" s="2" t="s">
        <v>1453</v>
      </c>
      <c r="E1602" s="2" t="s">
        <v>1454</v>
      </c>
      <c r="F1602" s="2">
        <v>6.87</v>
      </c>
      <c r="G1602" s="2" t="s">
        <v>1415</v>
      </c>
      <c r="H1602" s="2">
        <v>3.9</v>
      </c>
      <c r="I1602" s="2">
        <v>5.5</v>
      </c>
      <c r="J1602" s="5" t="s">
        <v>1426</v>
      </c>
      <c r="K1602" s="2" t="s">
        <v>1434</v>
      </c>
    </row>
    <row r="1603" spans="1:11" x14ac:dyDescent="0.2">
      <c r="A1603" s="3" t="s">
        <v>1096</v>
      </c>
      <c r="B1603" s="3" t="s">
        <v>1101</v>
      </c>
      <c r="C1603" s="3" t="s">
        <v>473</v>
      </c>
      <c r="D1603" s="3" t="s">
        <v>1440</v>
      </c>
      <c r="E1603" s="3" t="s">
        <v>1441</v>
      </c>
      <c r="F1603" s="3">
        <v>9.0500000000000007</v>
      </c>
      <c r="G1603" s="3" t="s">
        <v>1442</v>
      </c>
      <c r="H1603" s="3">
        <v>4</v>
      </c>
      <c r="I1603" s="3">
        <v>5.6</v>
      </c>
      <c r="J1603" s="5" t="s">
        <v>1426</v>
      </c>
      <c r="K1603" s="3" t="s">
        <v>1417</v>
      </c>
    </row>
    <row r="1604" spans="1:11" x14ac:dyDescent="0.2">
      <c r="A1604" s="2" t="s">
        <v>1096</v>
      </c>
      <c r="B1604" s="2" t="s">
        <v>1101</v>
      </c>
      <c r="C1604" s="2" t="s">
        <v>473</v>
      </c>
      <c r="D1604" s="2" t="s">
        <v>1437</v>
      </c>
      <c r="E1604" s="2" t="s">
        <v>1438</v>
      </c>
      <c r="F1604" s="2">
        <v>6.25</v>
      </c>
      <c r="G1604" s="2" t="s">
        <v>1439</v>
      </c>
      <c r="H1604" s="2">
        <v>12</v>
      </c>
      <c r="I1604" s="2">
        <v>17.5</v>
      </c>
      <c r="J1604" s="5" t="s">
        <v>1430</v>
      </c>
      <c r="K1604" s="2" t="s">
        <v>1431</v>
      </c>
    </row>
    <row r="1605" spans="1:11" x14ac:dyDescent="0.2">
      <c r="A1605" s="3" t="s">
        <v>1096</v>
      </c>
      <c r="B1605" s="3" t="s">
        <v>1101</v>
      </c>
      <c r="C1605" s="3" t="s">
        <v>473</v>
      </c>
      <c r="D1605" s="3" t="s">
        <v>1423</v>
      </c>
      <c r="E1605" s="3" t="s">
        <v>1424</v>
      </c>
      <c r="F1605" s="3">
        <v>3.97</v>
      </c>
      <c r="G1605" s="3" t="s">
        <v>1425</v>
      </c>
      <c r="H1605" s="3">
        <v>4.5</v>
      </c>
      <c r="I1605" s="3">
        <v>5.5</v>
      </c>
      <c r="J1605" s="5" t="s">
        <v>1430</v>
      </c>
      <c r="K1605" s="3" t="s">
        <v>1431</v>
      </c>
    </row>
    <row r="1606" spans="1:11" x14ac:dyDescent="0.2">
      <c r="A1606" s="2" t="s">
        <v>1096</v>
      </c>
      <c r="B1606" s="2" t="s">
        <v>1101</v>
      </c>
      <c r="C1606" s="2" t="s">
        <v>473</v>
      </c>
      <c r="D1606" s="2" t="s">
        <v>1455</v>
      </c>
      <c r="E1606" s="2" t="s">
        <v>1456</v>
      </c>
      <c r="F1606" s="2">
        <v>112.83</v>
      </c>
      <c r="G1606" s="2" t="s">
        <v>1457</v>
      </c>
      <c r="H1606" s="2">
        <v>40</v>
      </c>
      <c r="I1606" s="2">
        <v>130</v>
      </c>
      <c r="J1606" s="2" t="s">
        <v>1416</v>
      </c>
      <c r="K1606" s="2" t="s">
        <v>1431</v>
      </c>
    </row>
    <row r="1607" spans="1:11" x14ac:dyDescent="0.2">
      <c r="A1607" s="3" t="s">
        <v>1096</v>
      </c>
      <c r="B1607" s="3" t="s">
        <v>1101</v>
      </c>
      <c r="C1607" s="3" t="s">
        <v>473</v>
      </c>
      <c r="D1607" s="3" t="s">
        <v>1448</v>
      </c>
      <c r="E1607" s="3" t="s">
        <v>1449</v>
      </c>
      <c r="F1607" s="3">
        <v>141.77000000000001</v>
      </c>
      <c r="G1607" s="3" t="s">
        <v>1415</v>
      </c>
      <c r="H1607" s="3">
        <v>136</v>
      </c>
      <c r="I1607" s="3">
        <v>145</v>
      </c>
      <c r="J1607" s="3" t="s">
        <v>1416</v>
      </c>
      <c r="K1607" s="3" t="s">
        <v>1420</v>
      </c>
    </row>
    <row r="1608" spans="1:11" x14ac:dyDescent="0.2">
      <c r="A1608" s="2" t="s">
        <v>1096</v>
      </c>
      <c r="B1608" s="2" t="s">
        <v>1101</v>
      </c>
      <c r="C1608" s="2" t="s">
        <v>473</v>
      </c>
      <c r="D1608" s="2" t="s">
        <v>1418</v>
      </c>
      <c r="E1608" s="2" t="s">
        <v>1419</v>
      </c>
      <c r="F1608" s="2">
        <v>4.42</v>
      </c>
      <c r="G1608" s="2" t="s">
        <v>1415</v>
      </c>
      <c r="H1608" s="2">
        <v>3.5</v>
      </c>
      <c r="I1608" s="2">
        <v>5</v>
      </c>
      <c r="J1608" s="2" t="s">
        <v>1416</v>
      </c>
      <c r="K1608" s="2" t="s">
        <v>1431</v>
      </c>
    </row>
    <row r="1609" spans="1:11" x14ac:dyDescent="0.2">
      <c r="A1609" s="3" t="s">
        <v>1096</v>
      </c>
      <c r="B1609" s="3" t="s">
        <v>1103</v>
      </c>
      <c r="C1609" s="3" t="s">
        <v>1104</v>
      </c>
      <c r="D1609" s="3" t="s">
        <v>1455</v>
      </c>
      <c r="E1609" s="3" t="s">
        <v>1456</v>
      </c>
      <c r="F1609" s="3">
        <v>95.97</v>
      </c>
      <c r="G1609" s="3" t="s">
        <v>1457</v>
      </c>
      <c r="H1609" s="3">
        <v>40</v>
      </c>
      <c r="I1609" s="3">
        <v>130</v>
      </c>
      <c r="J1609" s="3" t="s">
        <v>1416</v>
      </c>
      <c r="K1609" s="3" t="s">
        <v>1431</v>
      </c>
    </row>
    <row r="1610" spans="1:11" x14ac:dyDescent="0.2">
      <c r="A1610" s="2" t="s">
        <v>1096</v>
      </c>
      <c r="B1610" s="2" t="s">
        <v>1103</v>
      </c>
      <c r="C1610" s="2" t="s">
        <v>1104</v>
      </c>
      <c r="D1610" s="2" t="s">
        <v>1432</v>
      </c>
      <c r="E1610" s="2" t="s">
        <v>1433</v>
      </c>
      <c r="F1610" s="2">
        <v>1.58</v>
      </c>
      <c r="G1610" s="2" t="s">
        <v>1415</v>
      </c>
      <c r="H1610" s="2">
        <v>0</v>
      </c>
      <c r="I1610" s="2">
        <v>3</v>
      </c>
      <c r="J1610" s="2" t="s">
        <v>1416</v>
      </c>
      <c r="K1610" s="2" t="s">
        <v>1434</v>
      </c>
    </row>
    <row r="1611" spans="1:11" x14ac:dyDescent="0.2">
      <c r="A1611" s="3" t="s">
        <v>1096</v>
      </c>
      <c r="B1611" s="3" t="s">
        <v>1103</v>
      </c>
      <c r="C1611" s="3" t="s">
        <v>1104</v>
      </c>
      <c r="D1611" s="3" t="s">
        <v>1435</v>
      </c>
      <c r="E1611" s="3" t="s">
        <v>1436</v>
      </c>
      <c r="F1611" s="3">
        <v>1.51</v>
      </c>
      <c r="G1611" s="3" t="s">
        <v>1415</v>
      </c>
      <c r="H1611" s="3">
        <v>0.8</v>
      </c>
      <c r="I1611" s="3">
        <v>1.5</v>
      </c>
      <c r="J1611" s="5" t="s">
        <v>1426</v>
      </c>
      <c r="K1611" s="3" t="s">
        <v>1420</v>
      </c>
    </row>
    <row r="1612" spans="1:11" x14ac:dyDescent="0.2">
      <c r="A1612" s="2" t="s">
        <v>1096</v>
      </c>
      <c r="B1612" s="2" t="s">
        <v>1103</v>
      </c>
      <c r="C1612" s="2" t="s">
        <v>1104</v>
      </c>
      <c r="D1612" s="2" t="s">
        <v>1423</v>
      </c>
      <c r="E1612" s="2" t="s">
        <v>1424</v>
      </c>
      <c r="F1612" s="2">
        <v>5.86</v>
      </c>
      <c r="G1612" s="2" t="s">
        <v>1425</v>
      </c>
      <c r="H1612" s="2">
        <v>4.5</v>
      </c>
      <c r="I1612" s="2">
        <v>5.5</v>
      </c>
      <c r="J1612" s="5" t="s">
        <v>1426</v>
      </c>
      <c r="K1612" s="2" t="s">
        <v>1420</v>
      </c>
    </row>
    <row r="1613" spans="1:11" x14ac:dyDescent="0.2">
      <c r="A1613" s="3" t="s">
        <v>1096</v>
      </c>
      <c r="B1613" s="3" t="s">
        <v>1103</v>
      </c>
      <c r="C1613" s="3" t="s">
        <v>1104</v>
      </c>
      <c r="D1613" s="3" t="s">
        <v>1440</v>
      </c>
      <c r="E1613" s="3" t="s">
        <v>1441</v>
      </c>
      <c r="F1613" s="3">
        <v>10.66</v>
      </c>
      <c r="G1613" s="3" t="s">
        <v>1442</v>
      </c>
      <c r="H1613" s="3">
        <v>4</v>
      </c>
      <c r="I1613" s="3">
        <v>5.6</v>
      </c>
      <c r="J1613" s="5" t="s">
        <v>1426</v>
      </c>
      <c r="K1613" s="3" t="s">
        <v>1431</v>
      </c>
    </row>
    <row r="1614" spans="1:11" x14ac:dyDescent="0.2">
      <c r="A1614" s="2" t="s">
        <v>1096</v>
      </c>
      <c r="B1614" s="2" t="s">
        <v>1103</v>
      </c>
      <c r="C1614" s="2" t="s">
        <v>1104</v>
      </c>
      <c r="D1614" s="2" t="s">
        <v>1421</v>
      </c>
      <c r="E1614" s="2" t="s">
        <v>1422</v>
      </c>
      <c r="F1614" s="2">
        <v>6.13</v>
      </c>
      <c r="G1614" s="2" t="s">
        <v>1415</v>
      </c>
      <c r="H1614" s="2">
        <v>0</v>
      </c>
      <c r="I1614" s="2">
        <v>5</v>
      </c>
      <c r="J1614" s="5" t="s">
        <v>1426</v>
      </c>
      <c r="K1614" s="2" t="s">
        <v>1431</v>
      </c>
    </row>
    <row r="1615" spans="1:11" x14ac:dyDescent="0.2">
      <c r="A1615" s="3" t="s">
        <v>1096</v>
      </c>
      <c r="B1615" s="3" t="s">
        <v>1103</v>
      </c>
      <c r="C1615" s="3" t="s">
        <v>1104</v>
      </c>
      <c r="D1615" s="3" t="s">
        <v>1437</v>
      </c>
      <c r="E1615" s="3" t="s">
        <v>1438</v>
      </c>
      <c r="F1615" s="3">
        <v>9.94</v>
      </c>
      <c r="G1615" s="3" t="s">
        <v>1439</v>
      </c>
      <c r="H1615" s="3">
        <v>12</v>
      </c>
      <c r="I1615" s="3">
        <v>17.5</v>
      </c>
      <c r="J1615" s="5" t="s">
        <v>1430</v>
      </c>
      <c r="K1615" s="3" t="s">
        <v>1417</v>
      </c>
    </row>
    <row r="1616" spans="1:11" x14ac:dyDescent="0.2">
      <c r="A1616" s="2" t="s">
        <v>1096</v>
      </c>
      <c r="B1616" s="2" t="s">
        <v>1106</v>
      </c>
      <c r="C1616" s="2" t="s">
        <v>1107</v>
      </c>
      <c r="D1616" s="2" t="s">
        <v>1421</v>
      </c>
      <c r="E1616" s="2" t="s">
        <v>1422</v>
      </c>
      <c r="F1616" s="2">
        <v>4.05</v>
      </c>
      <c r="G1616" s="2" t="s">
        <v>1415</v>
      </c>
      <c r="H1616" s="2">
        <v>0</v>
      </c>
      <c r="I1616" s="2">
        <v>5</v>
      </c>
      <c r="J1616" s="2" t="s">
        <v>1416</v>
      </c>
      <c r="K1616" s="2" t="s">
        <v>1417</v>
      </c>
    </row>
    <row r="1617" spans="1:11" x14ac:dyDescent="0.2">
      <c r="A1617" s="3" t="s">
        <v>1096</v>
      </c>
      <c r="B1617" s="3" t="s">
        <v>1106</v>
      </c>
      <c r="C1617" s="3" t="s">
        <v>1107</v>
      </c>
      <c r="D1617" s="3" t="s">
        <v>1455</v>
      </c>
      <c r="E1617" s="3" t="s">
        <v>1456</v>
      </c>
      <c r="F1617" s="3">
        <v>69.400000000000006</v>
      </c>
      <c r="G1617" s="3" t="s">
        <v>1457</v>
      </c>
      <c r="H1617" s="3">
        <v>40</v>
      </c>
      <c r="I1617" s="3">
        <v>130</v>
      </c>
      <c r="J1617" s="3" t="s">
        <v>1416</v>
      </c>
      <c r="K1617" s="3" t="s">
        <v>1417</v>
      </c>
    </row>
    <row r="1618" spans="1:11" x14ac:dyDescent="0.2">
      <c r="A1618" s="2" t="s">
        <v>1096</v>
      </c>
      <c r="B1618" s="2" t="s">
        <v>1106</v>
      </c>
      <c r="C1618" s="2" t="s">
        <v>1107</v>
      </c>
      <c r="D1618" s="2" t="s">
        <v>1450</v>
      </c>
      <c r="E1618" s="2" t="s">
        <v>1451</v>
      </c>
      <c r="F1618" s="2">
        <v>17.920000000000002</v>
      </c>
      <c r="G1618" s="2" t="s">
        <v>1452</v>
      </c>
      <c r="H1618" s="2">
        <v>60</v>
      </c>
      <c r="I1618" s="2">
        <v>120</v>
      </c>
      <c r="J1618" s="5" t="s">
        <v>1430</v>
      </c>
      <c r="K1618" s="2" t="s">
        <v>1431</v>
      </c>
    </row>
    <row r="1619" spans="1:11" x14ac:dyDescent="0.2">
      <c r="A1619" s="3" t="s">
        <v>1096</v>
      </c>
      <c r="B1619" s="3" t="s">
        <v>1106</v>
      </c>
      <c r="C1619" s="3" t="s">
        <v>1107</v>
      </c>
      <c r="D1619" s="3" t="s">
        <v>1432</v>
      </c>
      <c r="E1619" s="3" t="s">
        <v>1433</v>
      </c>
      <c r="F1619" s="3">
        <v>2.65</v>
      </c>
      <c r="G1619" s="3" t="s">
        <v>1415</v>
      </c>
      <c r="H1619" s="3">
        <v>0</v>
      </c>
      <c r="I1619" s="3">
        <v>3</v>
      </c>
      <c r="J1619" s="3" t="s">
        <v>1416</v>
      </c>
      <c r="K1619" s="3" t="s">
        <v>1417</v>
      </c>
    </row>
    <row r="1620" spans="1:11" x14ac:dyDescent="0.2">
      <c r="A1620" s="2" t="s">
        <v>1096</v>
      </c>
      <c r="B1620" s="2" t="s">
        <v>1106</v>
      </c>
      <c r="C1620" s="2" t="s">
        <v>1107</v>
      </c>
      <c r="D1620" s="2" t="s">
        <v>1443</v>
      </c>
      <c r="E1620" s="2" t="s">
        <v>1444</v>
      </c>
      <c r="F1620" s="2">
        <v>72.540000000000006</v>
      </c>
      <c r="G1620" s="2" t="s">
        <v>1445</v>
      </c>
      <c r="H1620" s="2">
        <v>53</v>
      </c>
      <c r="I1620" s="2">
        <v>97</v>
      </c>
      <c r="J1620" s="2" t="s">
        <v>1416</v>
      </c>
      <c r="K1620" s="2" t="s">
        <v>1431</v>
      </c>
    </row>
    <row r="1621" spans="1:11" x14ac:dyDescent="0.2">
      <c r="A1621" s="3" t="s">
        <v>1109</v>
      </c>
      <c r="B1621" s="3" t="s">
        <v>1110</v>
      </c>
      <c r="C1621" s="3" t="s">
        <v>963</v>
      </c>
      <c r="D1621" s="3" t="s">
        <v>1450</v>
      </c>
      <c r="E1621" s="3" t="s">
        <v>1451</v>
      </c>
      <c r="F1621" s="3">
        <v>25.68</v>
      </c>
      <c r="G1621" s="3" t="s">
        <v>1452</v>
      </c>
      <c r="H1621" s="3">
        <v>60</v>
      </c>
      <c r="I1621" s="3">
        <v>120</v>
      </c>
      <c r="J1621" s="5" t="s">
        <v>1430</v>
      </c>
      <c r="K1621" s="3" t="s">
        <v>1431</v>
      </c>
    </row>
    <row r="1622" spans="1:11" x14ac:dyDescent="0.2">
      <c r="A1622" s="2" t="s">
        <v>1109</v>
      </c>
      <c r="B1622" s="2" t="s">
        <v>1110</v>
      </c>
      <c r="C1622" s="2" t="s">
        <v>963</v>
      </c>
      <c r="D1622" s="2" t="s">
        <v>1418</v>
      </c>
      <c r="E1622" s="2" t="s">
        <v>1419</v>
      </c>
      <c r="F1622" s="2">
        <v>4.37</v>
      </c>
      <c r="G1622" s="2" t="s">
        <v>1415</v>
      </c>
      <c r="H1622" s="2">
        <v>3.5</v>
      </c>
      <c r="I1622" s="2">
        <v>5</v>
      </c>
      <c r="J1622" s="2" t="s">
        <v>1416</v>
      </c>
      <c r="K1622" s="2" t="s">
        <v>1434</v>
      </c>
    </row>
    <row r="1623" spans="1:11" x14ac:dyDescent="0.2">
      <c r="A1623" s="3" t="s">
        <v>1109</v>
      </c>
      <c r="B1623" s="3" t="s">
        <v>1110</v>
      </c>
      <c r="C1623" s="3" t="s">
        <v>963</v>
      </c>
      <c r="D1623" s="3" t="s">
        <v>1423</v>
      </c>
      <c r="E1623" s="3" t="s">
        <v>1424</v>
      </c>
      <c r="F1623" s="3">
        <v>3.49</v>
      </c>
      <c r="G1623" s="3" t="s">
        <v>1425</v>
      </c>
      <c r="H1623" s="3">
        <v>4.5</v>
      </c>
      <c r="I1623" s="3">
        <v>5.5</v>
      </c>
      <c r="J1623" s="5" t="s">
        <v>1430</v>
      </c>
      <c r="K1623" s="3" t="s">
        <v>1431</v>
      </c>
    </row>
    <row r="1624" spans="1:11" x14ac:dyDescent="0.2">
      <c r="A1624" s="2" t="s">
        <v>1109</v>
      </c>
      <c r="B1624" s="2" t="s">
        <v>1110</v>
      </c>
      <c r="C1624" s="2" t="s">
        <v>963</v>
      </c>
      <c r="D1624" s="2" t="s">
        <v>1453</v>
      </c>
      <c r="E1624" s="2" t="s">
        <v>1454</v>
      </c>
      <c r="F1624" s="2">
        <v>4.5999999999999996</v>
      </c>
      <c r="G1624" s="2" t="s">
        <v>1415</v>
      </c>
      <c r="H1624" s="2">
        <v>3.9</v>
      </c>
      <c r="I1624" s="2">
        <v>5.5</v>
      </c>
      <c r="J1624" s="2" t="s">
        <v>1416</v>
      </c>
      <c r="K1624" s="2" t="s">
        <v>1417</v>
      </c>
    </row>
    <row r="1625" spans="1:11" x14ac:dyDescent="0.2">
      <c r="A1625" s="3" t="s">
        <v>1113</v>
      </c>
      <c r="B1625" s="3" t="s">
        <v>1114</v>
      </c>
      <c r="C1625" s="3" t="s">
        <v>313</v>
      </c>
      <c r="D1625" s="3" t="s">
        <v>1423</v>
      </c>
      <c r="E1625" s="3" t="s">
        <v>1424</v>
      </c>
      <c r="F1625" s="3">
        <v>5.4</v>
      </c>
      <c r="G1625" s="3" t="s">
        <v>1425</v>
      </c>
      <c r="H1625" s="3">
        <v>4.5</v>
      </c>
      <c r="I1625" s="3">
        <v>5.5</v>
      </c>
      <c r="J1625" s="3" t="s">
        <v>1416</v>
      </c>
      <c r="K1625" s="3" t="s">
        <v>1420</v>
      </c>
    </row>
    <row r="1626" spans="1:11" x14ac:dyDescent="0.2">
      <c r="A1626" s="2" t="s">
        <v>1113</v>
      </c>
      <c r="B1626" s="2" t="s">
        <v>1114</v>
      </c>
      <c r="C1626" s="2" t="s">
        <v>313</v>
      </c>
      <c r="D1626" s="2" t="s">
        <v>1432</v>
      </c>
      <c r="E1626" s="2" t="s">
        <v>1433</v>
      </c>
      <c r="F1626" s="2">
        <v>3.02</v>
      </c>
      <c r="G1626" s="2" t="s">
        <v>1415</v>
      </c>
      <c r="H1626" s="2">
        <v>0</v>
      </c>
      <c r="I1626" s="2">
        <v>3</v>
      </c>
      <c r="J1626" s="5" t="s">
        <v>1426</v>
      </c>
      <c r="K1626" s="2" t="s">
        <v>1434</v>
      </c>
    </row>
    <row r="1627" spans="1:11" x14ac:dyDescent="0.2">
      <c r="A1627" s="3" t="s">
        <v>1113</v>
      </c>
      <c r="B1627" s="3" t="s">
        <v>1114</v>
      </c>
      <c r="C1627" s="3" t="s">
        <v>313</v>
      </c>
      <c r="D1627" s="3" t="s">
        <v>1435</v>
      </c>
      <c r="E1627" s="3" t="s">
        <v>1436</v>
      </c>
      <c r="F1627" s="3">
        <v>1.73</v>
      </c>
      <c r="G1627" s="3" t="s">
        <v>1415</v>
      </c>
      <c r="H1627" s="3">
        <v>0.8</v>
      </c>
      <c r="I1627" s="3">
        <v>1.5</v>
      </c>
      <c r="J1627" s="5" t="s">
        <v>1426</v>
      </c>
      <c r="K1627" s="3" t="s">
        <v>1434</v>
      </c>
    </row>
    <row r="1628" spans="1:11" x14ac:dyDescent="0.2">
      <c r="A1628" s="2" t="s">
        <v>1113</v>
      </c>
      <c r="B1628" s="2" t="s">
        <v>1114</v>
      </c>
      <c r="C1628" s="2" t="s">
        <v>313</v>
      </c>
      <c r="D1628" s="2" t="s">
        <v>1446</v>
      </c>
      <c r="E1628" s="2" t="s">
        <v>1447</v>
      </c>
      <c r="F1628" s="2">
        <v>1.81</v>
      </c>
      <c r="G1628" s="2" t="s">
        <v>1415</v>
      </c>
      <c r="H1628" s="2">
        <v>2.1</v>
      </c>
      <c r="I1628" s="2">
        <v>2.6</v>
      </c>
      <c r="J1628" s="5" t="s">
        <v>1430</v>
      </c>
      <c r="K1628" s="2" t="s">
        <v>1417</v>
      </c>
    </row>
    <row r="1629" spans="1:11" x14ac:dyDescent="0.2">
      <c r="A1629" s="3" t="s">
        <v>1113</v>
      </c>
      <c r="B1629" s="3" t="s">
        <v>1114</v>
      </c>
      <c r="C1629" s="3" t="s">
        <v>313</v>
      </c>
      <c r="D1629" s="3" t="s">
        <v>1418</v>
      </c>
      <c r="E1629" s="3" t="s">
        <v>1419</v>
      </c>
      <c r="F1629" s="3">
        <v>4.12</v>
      </c>
      <c r="G1629" s="3" t="s">
        <v>1415</v>
      </c>
      <c r="H1629" s="3">
        <v>3.5</v>
      </c>
      <c r="I1629" s="3">
        <v>5</v>
      </c>
      <c r="J1629" s="3" t="s">
        <v>1416</v>
      </c>
      <c r="K1629" s="3" t="s">
        <v>1434</v>
      </c>
    </row>
    <row r="1630" spans="1:11" x14ac:dyDescent="0.2">
      <c r="A1630" s="2" t="s">
        <v>1113</v>
      </c>
      <c r="B1630" s="2" t="s">
        <v>1114</v>
      </c>
      <c r="C1630" s="2" t="s">
        <v>313</v>
      </c>
      <c r="D1630" s="2" t="s">
        <v>1421</v>
      </c>
      <c r="E1630" s="2" t="s">
        <v>1422</v>
      </c>
      <c r="F1630" s="2">
        <v>4.92</v>
      </c>
      <c r="G1630" s="2" t="s">
        <v>1415</v>
      </c>
      <c r="H1630" s="2">
        <v>0</v>
      </c>
      <c r="I1630" s="2">
        <v>5</v>
      </c>
      <c r="J1630" s="2" t="s">
        <v>1416</v>
      </c>
      <c r="K1630" s="2" t="s">
        <v>1420</v>
      </c>
    </row>
    <row r="1631" spans="1:11" x14ac:dyDescent="0.2">
      <c r="A1631" s="3" t="s">
        <v>1113</v>
      </c>
      <c r="B1631" s="3" t="s">
        <v>1114</v>
      </c>
      <c r="C1631" s="3" t="s">
        <v>313</v>
      </c>
      <c r="D1631" s="3" t="s">
        <v>1455</v>
      </c>
      <c r="E1631" s="3" t="s">
        <v>1456</v>
      </c>
      <c r="F1631" s="3">
        <v>297.69</v>
      </c>
      <c r="G1631" s="3" t="s">
        <v>1457</v>
      </c>
      <c r="H1631" s="3">
        <v>40</v>
      </c>
      <c r="I1631" s="3">
        <v>130</v>
      </c>
      <c r="J1631" s="5" t="s">
        <v>1426</v>
      </c>
      <c r="K1631" s="3" t="s">
        <v>1417</v>
      </c>
    </row>
    <row r="1632" spans="1:11" x14ac:dyDescent="0.2">
      <c r="A1632" s="2" t="s">
        <v>1113</v>
      </c>
      <c r="B1632" s="2" t="s">
        <v>1114</v>
      </c>
      <c r="C1632" s="2" t="s">
        <v>313</v>
      </c>
      <c r="D1632" s="2" t="s">
        <v>1453</v>
      </c>
      <c r="E1632" s="2" t="s">
        <v>1454</v>
      </c>
      <c r="F1632" s="2">
        <v>8.73</v>
      </c>
      <c r="G1632" s="2" t="s">
        <v>1415</v>
      </c>
      <c r="H1632" s="2">
        <v>3.9</v>
      </c>
      <c r="I1632" s="2">
        <v>5.5</v>
      </c>
      <c r="J1632" s="5" t="s">
        <v>1426</v>
      </c>
      <c r="K1632" s="2" t="s">
        <v>1420</v>
      </c>
    </row>
    <row r="1633" spans="1:11" x14ac:dyDescent="0.2">
      <c r="A1633" s="3" t="s">
        <v>1113</v>
      </c>
      <c r="B1633" s="3" t="s">
        <v>1117</v>
      </c>
      <c r="C1633" s="3" t="s">
        <v>313</v>
      </c>
      <c r="D1633" s="3" t="s">
        <v>1435</v>
      </c>
      <c r="E1633" s="3" t="s">
        <v>1436</v>
      </c>
      <c r="F1633" s="3">
        <v>1.55</v>
      </c>
      <c r="G1633" s="3" t="s">
        <v>1415</v>
      </c>
      <c r="H1633" s="3">
        <v>0.8</v>
      </c>
      <c r="I1633" s="3">
        <v>1.5</v>
      </c>
      <c r="J1633" s="5" t="s">
        <v>1426</v>
      </c>
      <c r="K1633" s="3" t="s">
        <v>1417</v>
      </c>
    </row>
    <row r="1634" spans="1:11" x14ac:dyDescent="0.2">
      <c r="A1634" s="2" t="s">
        <v>1113</v>
      </c>
      <c r="B1634" s="2" t="s">
        <v>1117</v>
      </c>
      <c r="C1634" s="2" t="s">
        <v>313</v>
      </c>
      <c r="D1634" s="2" t="s">
        <v>1453</v>
      </c>
      <c r="E1634" s="2" t="s">
        <v>1454</v>
      </c>
      <c r="F1634" s="2">
        <v>4.08</v>
      </c>
      <c r="G1634" s="2" t="s">
        <v>1415</v>
      </c>
      <c r="H1634" s="2">
        <v>3.9</v>
      </c>
      <c r="I1634" s="2">
        <v>5.5</v>
      </c>
      <c r="J1634" s="2" t="s">
        <v>1416</v>
      </c>
      <c r="K1634" s="2" t="s">
        <v>1420</v>
      </c>
    </row>
    <row r="1635" spans="1:11" x14ac:dyDescent="0.2">
      <c r="A1635" s="3" t="s">
        <v>1113</v>
      </c>
      <c r="B1635" s="3" t="s">
        <v>1117</v>
      </c>
      <c r="C1635" s="3" t="s">
        <v>313</v>
      </c>
      <c r="D1635" s="3" t="s">
        <v>1437</v>
      </c>
      <c r="E1635" s="3" t="s">
        <v>1438</v>
      </c>
      <c r="F1635" s="3">
        <v>15.49</v>
      </c>
      <c r="G1635" s="3" t="s">
        <v>1439</v>
      </c>
      <c r="H1635" s="3">
        <v>12</v>
      </c>
      <c r="I1635" s="3">
        <v>17.5</v>
      </c>
      <c r="J1635" s="3" t="s">
        <v>1416</v>
      </c>
      <c r="K1635" s="3" t="s">
        <v>1420</v>
      </c>
    </row>
    <row r="1636" spans="1:11" x14ac:dyDescent="0.2">
      <c r="A1636" s="2" t="s">
        <v>1113</v>
      </c>
      <c r="B1636" s="2" t="s">
        <v>1117</v>
      </c>
      <c r="C1636" s="2" t="s">
        <v>313</v>
      </c>
      <c r="D1636" s="2" t="s">
        <v>1450</v>
      </c>
      <c r="E1636" s="2" t="s">
        <v>1451</v>
      </c>
      <c r="F1636" s="2">
        <v>20.22</v>
      </c>
      <c r="G1636" s="2" t="s">
        <v>1452</v>
      </c>
      <c r="H1636" s="2">
        <v>60</v>
      </c>
      <c r="I1636" s="2">
        <v>120</v>
      </c>
      <c r="J1636" s="5" t="s">
        <v>1430</v>
      </c>
      <c r="K1636" s="2" t="s">
        <v>1431</v>
      </c>
    </row>
    <row r="1637" spans="1:11" x14ac:dyDescent="0.2">
      <c r="A1637" s="3" t="s">
        <v>1119</v>
      </c>
      <c r="B1637" s="3" t="s">
        <v>1120</v>
      </c>
      <c r="C1637" s="3" t="s">
        <v>1121</v>
      </c>
      <c r="D1637" s="3" t="s">
        <v>1423</v>
      </c>
      <c r="E1637" s="3" t="s">
        <v>1424</v>
      </c>
      <c r="F1637" s="3">
        <v>3.47</v>
      </c>
      <c r="G1637" s="3" t="s">
        <v>1425</v>
      </c>
      <c r="H1637" s="3">
        <v>4.5</v>
      </c>
      <c r="I1637" s="3">
        <v>5.5</v>
      </c>
      <c r="J1637" s="5" t="s">
        <v>1430</v>
      </c>
      <c r="K1637" s="3" t="s">
        <v>1417</v>
      </c>
    </row>
    <row r="1638" spans="1:11" x14ac:dyDescent="0.2">
      <c r="A1638" s="2" t="s">
        <v>1119</v>
      </c>
      <c r="B1638" s="2" t="s">
        <v>1120</v>
      </c>
      <c r="C1638" s="2" t="s">
        <v>1121</v>
      </c>
      <c r="D1638" s="2" t="s">
        <v>1443</v>
      </c>
      <c r="E1638" s="2" t="s">
        <v>1444</v>
      </c>
      <c r="F1638" s="2">
        <v>85.49</v>
      </c>
      <c r="G1638" s="2" t="s">
        <v>1445</v>
      </c>
      <c r="H1638" s="2">
        <v>53</v>
      </c>
      <c r="I1638" s="2">
        <v>97</v>
      </c>
      <c r="J1638" s="2" t="s">
        <v>1416</v>
      </c>
      <c r="K1638" s="2" t="s">
        <v>1434</v>
      </c>
    </row>
    <row r="1639" spans="1:11" x14ac:dyDescent="0.2">
      <c r="A1639" s="3" t="s">
        <v>1119</v>
      </c>
      <c r="B1639" s="3" t="s">
        <v>1120</v>
      </c>
      <c r="C1639" s="3" t="s">
        <v>1121</v>
      </c>
      <c r="D1639" s="3" t="s">
        <v>1440</v>
      </c>
      <c r="E1639" s="3" t="s">
        <v>1441</v>
      </c>
      <c r="F1639" s="3">
        <v>8.8800000000000008</v>
      </c>
      <c r="G1639" s="3" t="s">
        <v>1442</v>
      </c>
      <c r="H1639" s="3">
        <v>4</v>
      </c>
      <c r="I1639" s="3">
        <v>5.6</v>
      </c>
      <c r="J1639" s="5" t="s">
        <v>1426</v>
      </c>
      <c r="K1639" s="3" t="s">
        <v>1431</v>
      </c>
    </row>
    <row r="1640" spans="1:11" x14ac:dyDescent="0.2">
      <c r="A1640" s="2" t="s">
        <v>1119</v>
      </c>
      <c r="B1640" s="2" t="s">
        <v>1120</v>
      </c>
      <c r="C1640" s="2" t="s">
        <v>1121</v>
      </c>
      <c r="D1640" s="2" t="s">
        <v>1427</v>
      </c>
      <c r="E1640" s="2" t="s">
        <v>1428</v>
      </c>
      <c r="F1640" s="2">
        <v>15.93</v>
      </c>
      <c r="G1640" s="2" t="s">
        <v>1429</v>
      </c>
      <c r="H1640" s="2">
        <v>4</v>
      </c>
      <c r="I1640" s="2">
        <v>11</v>
      </c>
      <c r="J1640" s="5" t="s">
        <v>1426</v>
      </c>
      <c r="K1640" s="2" t="s">
        <v>1420</v>
      </c>
    </row>
    <row r="1641" spans="1:11" x14ac:dyDescent="0.2">
      <c r="A1641" s="3" t="s">
        <v>1119</v>
      </c>
      <c r="B1641" s="3" t="s">
        <v>1124</v>
      </c>
      <c r="C1641" s="3" t="s">
        <v>1008</v>
      </c>
      <c r="D1641" s="3" t="s">
        <v>1423</v>
      </c>
      <c r="E1641" s="3" t="s">
        <v>1424</v>
      </c>
      <c r="F1641" s="3">
        <v>3.52</v>
      </c>
      <c r="G1641" s="3" t="s">
        <v>1425</v>
      </c>
      <c r="H1641" s="3">
        <v>4.5</v>
      </c>
      <c r="I1641" s="3">
        <v>5.5</v>
      </c>
      <c r="J1641" s="5" t="s">
        <v>1430</v>
      </c>
      <c r="K1641" s="3" t="s">
        <v>1431</v>
      </c>
    </row>
    <row r="1642" spans="1:11" x14ac:dyDescent="0.2">
      <c r="A1642" s="2" t="s">
        <v>1119</v>
      </c>
      <c r="B1642" s="2" t="s">
        <v>1124</v>
      </c>
      <c r="C1642" s="2" t="s">
        <v>1008</v>
      </c>
      <c r="D1642" s="2" t="s">
        <v>1418</v>
      </c>
      <c r="E1642" s="2" t="s">
        <v>1419</v>
      </c>
      <c r="F1642" s="2">
        <v>4.91</v>
      </c>
      <c r="G1642" s="2" t="s">
        <v>1415</v>
      </c>
      <c r="H1642" s="2">
        <v>3.5</v>
      </c>
      <c r="I1642" s="2">
        <v>5</v>
      </c>
      <c r="J1642" s="2" t="s">
        <v>1416</v>
      </c>
      <c r="K1642" s="2" t="s">
        <v>1431</v>
      </c>
    </row>
    <row r="1643" spans="1:11" x14ac:dyDescent="0.2">
      <c r="A1643" s="3" t="s">
        <v>1119</v>
      </c>
      <c r="B1643" s="3" t="s">
        <v>1124</v>
      </c>
      <c r="C1643" s="3" t="s">
        <v>1008</v>
      </c>
      <c r="D1643" s="3" t="s">
        <v>1440</v>
      </c>
      <c r="E1643" s="3" t="s">
        <v>1441</v>
      </c>
      <c r="F1643" s="3">
        <v>7.37</v>
      </c>
      <c r="G1643" s="3" t="s">
        <v>1442</v>
      </c>
      <c r="H1643" s="3">
        <v>4</v>
      </c>
      <c r="I1643" s="3">
        <v>5.6</v>
      </c>
      <c r="J1643" s="5" t="s">
        <v>1426</v>
      </c>
      <c r="K1643" s="3" t="s">
        <v>1434</v>
      </c>
    </row>
    <row r="1644" spans="1:11" x14ac:dyDescent="0.2">
      <c r="A1644" s="2" t="s">
        <v>1119</v>
      </c>
      <c r="B1644" s="2" t="s">
        <v>1124</v>
      </c>
      <c r="C1644" s="2" t="s">
        <v>1008</v>
      </c>
      <c r="D1644" s="2" t="s">
        <v>1446</v>
      </c>
      <c r="E1644" s="2" t="s">
        <v>1447</v>
      </c>
      <c r="F1644" s="2">
        <v>2.74</v>
      </c>
      <c r="G1644" s="2" t="s">
        <v>1415</v>
      </c>
      <c r="H1644" s="2">
        <v>2.1</v>
      </c>
      <c r="I1644" s="2">
        <v>2.6</v>
      </c>
      <c r="J1644" s="5" t="s">
        <v>1426</v>
      </c>
      <c r="K1644" s="2" t="s">
        <v>1434</v>
      </c>
    </row>
    <row r="1645" spans="1:11" x14ac:dyDescent="0.2">
      <c r="A1645" s="3" t="s">
        <v>1119</v>
      </c>
      <c r="B1645" s="3" t="s">
        <v>1124</v>
      </c>
      <c r="C1645" s="3" t="s">
        <v>1008</v>
      </c>
      <c r="D1645" s="3" t="s">
        <v>1450</v>
      </c>
      <c r="E1645" s="3" t="s">
        <v>1451</v>
      </c>
      <c r="F1645" s="3">
        <v>72.22</v>
      </c>
      <c r="G1645" s="3" t="s">
        <v>1452</v>
      </c>
      <c r="H1645" s="3">
        <v>60</v>
      </c>
      <c r="I1645" s="3">
        <v>120</v>
      </c>
      <c r="J1645" s="3" t="s">
        <v>1416</v>
      </c>
      <c r="K1645" s="3" t="s">
        <v>1420</v>
      </c>
    </row>
    <row r="1646" spans="1:11" x14ac:dyDescent="0.2">
      <c r="A1646" s="2" t="s">
        <v>1119</v>
      </c>
      <c r="B1646" s="2" t="s">
        <v>1126</v>
      </c>
      <c r="C1646" s="2" t="s">
        <v>741</v>
      </c>
      <c r="D1646" s="2" t="s">
        <v>1437</v>
      </c>
      <c r="E1646" s="2" t="s">
        <v>1438</v>
      </c>
      <c r="F1646" s="2">
        <v>16.18</v>
      </c>
      <c r="G1646" s="2" t="s">
        <v>1439</v>
      </c>
      <c r="H1646" s="2">
        <v>12</v>
      </c>
      <c r="I1646" s="2">
        <v>17.5</v>
      </c>
      <c r="J1646" s="2" t="s">
        <v>1416</v>
      </c>
      <c r="K1646" s="2" t="s">
        <v>1420</v>
      </c>
    </row>
    <row r="1647" spans="1:11" x14ac:dyDescent="0.2">
      <c r="A1647" s="3" t="s">
        <v>1119</v>
      </c>
      <c r="B1647" s="3" t="s">
        <v>1126</v>
      </c>
      <c r="C1647" s="3" t="s">
        <v>741</v>
      </c>
      <c r="D1647" s="3" t="s">
        <v>1432</v>
      </c>
      <c r="E1647" s="3" t="s">
        <v>1433</v>
      </c>
      <c r="F1647" s="3">
        <v>1.31</v>
      </c>
      <c r="G1647" s="3" t="s">
        <v>1415</v>
      </c>
      <c r="H1647" s="3">
        <v>0</v>
      </c>
      <c r="I1647" s="3">
        <v>3</v>
      </c>
      <c r="J1647" s="3" t="s">
        <v>1416</v>
      </c>
      <c r="K1647" s="3" t="s">
        <v>1417</v>
      </c>
    </row>
    <row r="1648" spans="1:11" x14ac:dyDescent="0.2">
      <c r="A1648" s="2" t="s">
        <v>1119</v>
      </c>
      <c r="B1648" s="2" t="s">
        <v>1126</v>
      </c>
      <c r="C1648" s="2" t="s">
        <v>741</v>
      </c>
      <c r="D1648" s="2" t="s">
        <v>1413</v>
      </c>
      <c r="E1648" s="2" t="s">
        <v>1414</v>
      </c>
      <c r="F1648" s="2">
        <v>0.75</v>
      </c>
      <c r="G1648" s="2" t="s">
        <v>1415</v>
      </c>
      <c r="H1648" s="2">
        <v>1</v>
      </c>
      <c r="I1648" s="2">
        <v>5</v>
      </c>
      <c r="J1648" s="5" t="s">
        <v>1430</v>
      </c>
      <c r="K1648" s="2" t="s">
        <v>1431</v>
      </c>
    </row>
    <row r="1649" spans="1:11" x14ac:dyDescent="0.2">
      <c r="A1649" s="3" t="s">
        <v>1119</v>
      </c>
      <c r="B1649" s="3" t="s">
        <v>1126</v>
      </c>
      <c r="C1649" s="3" t="s">
        <v>741</v>
      </c>
      <c r="D1649" s="3" t="s">
        <v>1423</v>
      </c>
      <c r="E1649" s="3" t="s">
        <v>1424</v>
      </c>
      <c r="F1649" s="3">
        <v>5.74</v>
      </c>
      <c r="G1649" s="3" t="s">
        <v>1425</v>
      </c>
      <c r="H1649" s="3">
        <v>4.5</v>
      </c>
      <c r="I1649" s="3">
        <v>5.5</v>
      </c>
      <c r="J1649" s="5" t="s">
        <v>1426</v>
      </c>
      <c r="K1649" s="3" t="s">
        <v>1434</v>
      </c>
    </row>
    <row r="1650" spans="1:11" x14ac:dyDescent="0.2">
      <c r="A1650" s="2" t="s">
        <v>1119</v>
      </c>
      <c r="B1650" s="2" t="s">
        <v>1126</v>
      </c>
      <c r="C1650" s="2" t="s">
        <v>741</v>
      </c>
      <c r="D1650" s="2" t="s">
        <v>1446</v>
      </c>
      <c r="E1650" s="2" t="s">
        <v>1447</v>
      </c>
      <c r="F1650" s="2">
        <v>2.4500000000000002</v>
      </c>
      <c r="G1650" s="2" t="s">
        <v>1415</v>
      </c>
      <c r="H1650" s="2">
        <v>2.1</v>
      </c>
      <c r="I1650" s="2">
        <v>2.6</v>
      </c>
      <c r="J1650" s="2" t="s">
        <v>1416</v>
      </c>
      <c r="K1650" s="2" t="s">
        <v>1431</v>
      </c>
    </row>
    <row r="1651" spans="1:11" x14ac:dyDescent="0.2">
      <c r="A1651" s="3" t="s">
        <v>1119</v>
      </c>
      <c r="B1651" s="3" t="s">
        <v>1126</v>
      </c>
      <c r="C1651" s="3" t="s">
        <v>741</v>
      </c>
      <c r="D1651" s="3" t="s">
        <v>1443</v>
      </c>
      <c r="E1651" s="3" t="s">
        <v>1444</v>
      </c>
      <c r="F1651" s="3">
        <v>61.33</v>
      </c>
      <c r="G1651" s="3" t="s">
        <v>1445</v>
      </c>
      <c r="H1651" s="3">
        <v>53</v>
      </c>
      <c r="I1651" s="3">
        <v>97</v>
      </c>
      <c r="J1651" s="3" t="s">
        <v>1416</v>
      </c>
      <c r="K1651" s="3" t="s">
        <v>1434</v>
      </c>
    </row>
    <row r="1652" spans="1:11" x14ac:dyDescent="0.2">
      <c r="A1652" s="2" t="s">
        <v>1119</v>
      </c>
      <c r="B1652" s="2" t="s">
        <v>1127</v>
      </c>
      <c r="C1652" s="2" t="s">
        <v>1128</v>
      </c>
      <c r="D1652" s="2" t="s">
        <v>1455</v>
      </c>
      <c r="E1652" s="2" t="s">
        <v>1456</v>
      </c>
      <c r="F1652" s="2">
        <v>65.97</v>
      </c>
      <c r="G1652" s="2" t="s">
        <v>1457</v>
      </c>
      <c r="H1652" s="2">
        <v>40</v>
      </c>
      <c r="I1652" s="2">
        <v>130</v>
      </c>
      <c r="J1652" s="2" t="s">
        <v>1416</v>
      </c>
      <c r="K1652" s="2" t="s">
        <v>1417</v>
      </c>
    </row>
    <row r="1653" spans="1:11" x14ac:dyDescent="0.2">
      <c r="A1653" s="3" t="s">
        <v>1119</v>
      </c>
      <c r="B1653" s="3" t="s">
        <v>1127</v>
      </c>
      <c r="C1653" s="3" t="s">
        <v>1128</v>
      </c>
      <c r="D1653" s="3" t="s">
        <v>1421</v>
      </c>
      <c r="E1653" s="3" t="s">
        <v>1422</v>
      </c>
      <c r="F1653" s="3">
        <v>5.36</v>
      </c>
      <c r="G1653" s="3" t="s">
        <v>1415</v>
      </c>
      <c r="H1653" s="3">
        <v>0</v>
      </c>
      <c r="I1653" s="3">
        <v>5</v>
      </c>
      <c r="J1653" s="5" t="s">
        <v>1426</v>
      </c>
      <c r="K1653" s="3" t="s">
        <v>1417</v>
      </c>
    </row>
    <row r="1654" spans="1:11" x14ac:dyDescent="0.2">
      <c r="A1654" s="2" t="s">
        <v>1119</v>
      </c>
      <c r="B1654" s="2" t="s">
        <v>1127</v>
      </c>
      <c r="C1654" s="2" t="s">
        <v>1128</v>
      </c>
      <c r="D1654" s="2" t="s">
        <v>1453</v>
      </c>
      <c r="E1654" s="2" t="s">
        <v>1454</v>
      </c>
      <c r="F1654" s="2">
        <v>8.2799999999999994</v>
      </c>
      <c r="G1654" s="2" t="s">
        <v>1415</v>
      </c>
      <c r="H1654" s="2">
        <v>3.9</v>
      </c>
      <c r="I1654" s="2">
        <v>5.5</v>
      </c>
      <c r="J1654" s="5" t="s">
        <v>1426</v>
      </c>
      <c r="K1654" s="2" t="s">
        <v>1417</v>
      </c>
    </row>
    <row r="1655" spans="1:11" x14ac:dyDescent="0.2">
      <c r="A1655" s="3" t="s">
        <v>1119</v>
      </c>
      <c r="B1655" s="3" t="s">
        <v>1127</v>
      </c>
      <c r="C1655" s="3" t="s">
        <v>1128</v>
      </c>
      <c r="D1655" s="3" t="s">
        <v>1418</v>
      </c>
      <c r="E1655" s="3" t="s">
        <v>1419</v>
      </c>
      <c r="F1655" s="3">
        <v>3.51</v>
      </c>
      <c r="G1655" s="3" t="s">
        <v>1415</v>
      </c>
      <c r="H1655" s="3">
        <v>3.5</v>
      </c>
      <c r="I1655" s="3">
        <v>5</v>
      </c>
      <c r="J1655" s="3" t="s">
        <v>1416</v>
      </c>
      <c r="K1655" s="3" t="s">
        <v>1434</v>
      </c>
    </row>
    <row r="1656" spans="1:11" x14ac:dyDescent="0.2">
      <c r="A1656" s="2" t="s">
        <v>1119</v>
      </c>
      <c r="B1656" s="2" t="s">
        <v>1127</v>
      </c>
      <c r="C1656" s="2" t="s">
        <v>1128</v>
      </c>
      <c r="D1656" s="2" t="s">
        <v>1450</v>
      </c>
      <c r="E1656" s="2" t="s">
        <v>1451</v>
      </c>
      <c r="F1656" s="2">
        <v>50.81</v>
      </c>
      <c r="G1656" s="2" t="s">
        <v>1452</v>
      </c>
      <c r="H1656" s="2">
        <v>60</v>
      </c>
      <c r="I1656" s="2">
        <v>120</v>
      </c>
      <c r="J1656" s="5" t="s">
        <v>1430</v>
      </c>
      <c r="K1656" s="2" t="s">
        <v>1417</v>
      </c>
    </row>
    <row r="1657" spans="1:11" x14ac:dyDescent="0.2">
      <c r="A1657" s="3" t="s">
        <v>1119</v>
      </c>
      <c r="B1657" s="3" t="s">
        <v>1129</v>
      </c>
      <c r="C1657" s="3" t="s">
        <v>848</v>
      </c>
      <c r="D1657" s="3" t="s">
        <v>1440</v>
      </c>
      <c r="E1657" s="3" t="s">
        <v>1441</v>
      </c>
      <c r="F1657" s="3">
        <v>11.22</v>
      </c>
      <c r="G1657" s="3" t="s">
        <v>1442</v>
      </c>
      <c r="H1657" s="3">
        <v>4</v>
      </c>
      <c r="I1657" s="3">
        <v>5.6</v>
      </c>
      <c r="J1657" s="5" t="s">
        <v>1426</v>
      </c>
      <c r="K1657" s="3" t="s">
        <v>1434</v>
      </c>
    </row>
    <row r="1658" spans="1:11" x14ac:dyDescent="0.2">
      <c r="A1658" s="2" t="s">
        <v>1119</v>
      </c>
      <c r="B1658" s="2" t="s">
        <v>1129</v>
      </c>
      <c r="C1658" s="2" t="s">
        <v>848</v>
      </c>
      <c r="D1658" s="2" t="s">
        <v>1432</v>
      </c>
      <c r="E1658" s="2" t="s">
        <v>1433</v>
      </c>
      <c r="F1658" s="2">
        <v>3.02</v>
      </c>
      <c r="G1658" s="2" t="s">
        <v>1415</v>
      </c>
      <c r="H1658" s="2">
        <v>0</v>
      </c>
      <c r="I1658" s="2">
        <v>3</v>
      </c>
      <c r="J1658" s="5" t="s">
        <v>1426</v>
      </c>
      <c r="K1658" s="2" t="s">
        <v>1431</v>
      </c>
    </row>
    <row r="1659" spans="1:11" x14ac:dyDescent="0.2">
      <c r="A1659" s="3" t="s">
        <v>1119</v>
      </c>
      <c r="B1659" s="3" t="s">
        <v>1129</v>
      </c>
      <c r="C1659" s="3" t="s">
        <v>848</v>
      </c>
      <c r="D1659" s="3" t="s">
        <v>1437</v>
      </c>
      <c r="E1659" s="3" t="s">
        <v>1438</v>
      </c>
      <c r="F1659" s="3">
        <v>7.64</v>
      </c>
      <c r="G1659" s="3" t="s">
        <v>1439</v>
      </c>
      <c r="H1659" s="3">
        <v>12</v>
      </c>
      <c r="I1659" s="3">
        <v>17.5</v>
      </c>
      <c r="J1659" s="5" t="s">
        <v>1430</v>
      </c>
      <c r="K1659" s="3" t="s">
        <v>1431</v>
      </c>
    </row>
    <row r="1660" spans="1:11" x14ac:dyDescent="0.2">
      <c r="A1660" s="2" t="s">
        <v>1119</v>
      </c>
      <c r="B1660" s="2" t="s">
        <v>1129</v>
      </c>
      <c r="C1660" s="2" t="s">
        <v>848</v>
      </c>
      <c r="D1660" s="2" t="s">
        <v>1427</v>
      </c>
      <c r="E1660" s="2" t="s">
        <v>1428</v>
      </c>
      <c r="F1660" s="2">
        <v>14.98</v>
      </c>
      <c r="G1660" s="2" t="s">
        <v>1429</v>
      </c>
      <c r="H1660" s="2">
        <v>4</v>
      </c>
      <c r="I1660" s="2">
        <v>11</v>
      </c>
      <c r="J1660" s="5" t="s">
        <v>1426</v>
      </c>
      <c r="K1660" s="2" t="s">
        <v>1431</v>
      </c>
    </row>
    <row r="1661" spans="1:11" x14ac:dyDescent="0.2">
      <c r="A1661" s="3" t="s">
        <v>1119</v>
      </c>
      <c r="B1661" s="3" t="s">
        <v>1129</v>
      </c>
      <c r="C1661" s="3" t="s">
        <v>848</v>
      </c>
      <c r="D1661" s="3" t="s">
        <v>1446</v>
      </c>
      <c r="E1661" s="3" t="s">
        <v>1447</v>
      </c>
      <c r="F1661" s="3">
        <v>2.0699999999999998</v>
      </c>
      <c r="G1661" s="3" t="s">
        <v>1415</v>
      </c>
      <c r="H1661" s="3">
        <v>2.1</v>
      </c>
      <c r="I1661" s="3">
        <v>2.6</v>
      </c>
      <c r="J1661" s="5" t="s">
        <v>1430</v>
      </c>
      <c r="K1661" s="3" t="s">
        <v>1434</v>
      </c>
    </row>
    <row r="1662" spans="1:11" x14ac:dyDescent="0.2">
      <c r="A1662" s="2" t="s">
        <v>1131</v>
      </c>
      <c r="B1662" s="2" t="s">
        <v>1132</v>
      </c>
      <c r="C1662" s="2" t="s">
        <v>1133</v>
      </c>
      <c r="D1662" s="2" t="s">
        <v>1453</v>
      </c>
      <c r="E1662" s="2" t="s">
        <v>1454</v>
      </c>
      <c r="F1662" s="2">
        <v>5.25</v>
      </c>
      <c r="G1662" s="2" t="s">
        <v>1415</v>
      </c>
      <c r="H1662" s="2">
        <v>3.9</v>
      </c>
      <c r="I1662" s="2">
        <v>5.5</v>
      </c>
      <c r="J1662" s="2" t="s">
        <v>1416</v>
      </c>
      <c r="K1662" s="2" t="s">
        <v>1420</v>
      </c>
    </row>
    <row r="1663" spans="1:11" x14ac:dyDescent="0.2">
      <c r="A1663" s="3" t="s">
        <v>1131</v>
      </c>
      <c r="B1663" s="3" t="s">
        <v>1132</v>
      </c>
      <c r="C1663" s="3" t="s">
        <v>1133</v>
      </c>
      <c r="D1663" s="3" t="s">
        <v>1435</v>
      </c>
      <c r="E1663" s="3" t="s">
        <v>1436</v>
      </c>
      <c r="F1663" s="3">
        <v>0.93</v>
      </c>
      <c r="G1663" s="3" t="s">
        <v>1415</v>
      </c>
      <c r="H1663" s="3">
        <v>0.8</v>
      </c>
      <c r="I1663" s="3">
        <v>1.5</v>
      </c>
      <c r="J1663" s="3" t="s">
        <v>1416</v>
      </c>
      <c r="K1663" s="3" t="s">
        <v>1417</v>
      </c>
    </row>
    <row r="1664" spans="1:11" x14ac:dyDescent="0.2">
      <c r="A1664" s="2" t="s">
        <v>1131</v>
      </c>
      <c r="B1664" s="2" t="s">
        <v>1132</v>
      </c>
      <c r="C1664" s="2" t="s">
        <v>1133</v>
      </c>
      <c r="D1664" s="2" t="s">
        <v>1418</v>
      </c>
      <c r="E1664" s="2" t="s">
        <v>1419</v>
      </c>
      <c r="F1664" s="2">
        <v>4.74</v>
      </c>
      <c r="G1664" s="2" t="s">
        <v>1415</v>
      </c>
      <c r="H1664" s="2">
        <v>3.5</v>
      </c>
      <c r="I1664" s="2">
        <v>5</v>
      </c>
      <c r="J1664" s="2" t="s">
        <v>1416</v>
      </c>
      <c r="K1664" s="2" t="s">
        <v>1420</v>
      </c>
    </row>
    <row r="1665" spans="1:11" x14ac:dyDescent="0.2">
      <c r="A1665" s="3" t="s">
        <v>1131</v>
      </c>
      <c r="B1665" s="3" t="s">
        <v>1132</v>
      </c>
      <c r="C1665" s="3" t="s">
        <v>1133</v>
      </c>
      <c r="D1665" s="3" t="s">
        <v>1413</v>
      </c>
      <c r="E1665" s="3" t="s">
        <v>1414</v>
      </c>
      <c r="F1665" s="3">
        <v>1.84</v>
      </c>
      <c r="G1665" s="3" t="s">
        <v>1415</v>
      </c>
      <c r="H1665" s="3">
        <v>1</v>
      </c>
      <c r="I1665" s="3">
        <v>5</v>
      </c>
      <c r="J1665" s="3" t="s">
        <v>1416</v>
      </c>
      <c r="K1665" s="3" t="s">
        <v>1431</v>
      </c>
    </row>
    <row r="1666" spans="1:11" x14ac:dyDescent="0.2">
      <c r="A1666" s="2" t="s">
        <v>1131</v>
      </c>
      <c r="B1666" s="2" t="s">
        <v>1132</v>
      </c>
      <c r="C1666" s="2" t="s">
        <v>1133</v>
      </c>
      <c r="D1666" s="2" t="s">
        <v>1423</v>
      </c>
      <c r="E1666" s="2" t="s">
        <v>1424</v>
      </c>
      <c r="F1666" s="2">
        <v>3.98</v>
      </c>
      <c r="G1666" s="2" t="s">
        <v>1425</v>
      </c>
      <c r="H1666" s="2">
        <v>4.5</v>
      </c>
      <c r="I1666" s="2">
        <v>5.5</v>
      </c>
      <c r="J1666" s="5" t="s">
        <v>1430</v>
      </c>
      <c r="K1666" s="2" t="s">
        <v>1420</v>
      </c>
    </row>
    <row r="1667" spans="1:11" x14ac:dyDescent="0.2">
      <c r="A1667" s="3" t="s">
        <v>1131</v>
      </c>
      <c r="B1667" s="3" t="s">
        <v>1132</v>
      </c>
      <c r="C1667" s="3" t="s">
        <v>1133</v>
      </c>
      <c r="D1667" s="3" t="s">
        <v>1455</v>
      </c>
      <c r="E1667" s="3" t="s">
        <v>1456</v>
      </c>
      <c r="F1667" s="3">
        <v>241.58</v>
      </c>
      <c r="G1667" s="3" t="s">
        <v>1457</v>
      </c>
      <c r="H1667" s="3">
        <v>40</v>
      </c>
      <c r="I1667" s="3">
        <v>130</v>
      </c>
      <c r="J1667" s="5" t="s">
        <v>1426</v>
      </c>
      <c r="K1667" s="3" t="s">
        <v>1434</v>
      </c>
    </row>
    <row r="1668" spans="1:11" x14ac:dyDescent="0.2">
      <c r="A1668" s="2" t="s">
        <v>1131</v>
      </c>
      <c r="B1668" s="2" t="s">
        <v>1132</v>
      </c>
      <c r="C1668" s="2" t="s">
        <v>1133</v>
      </c>
      <c r="D1668" s="2" t="s">
        <v>1421</v>
      </c>
      <c r="E1668" s="2" t="s">
        <v>1422</v>
      </c>
      <c r="F1668" s="2">
        <v>6.49</v>
      </c>
      <c r="G1668" s="2" t="s">
        <v>1415</v>
      </c>
      <c r="H1668" s="2">
        <v>0</v>
      </c>
      <c r="I1668" s="2">
        <v>5</v>
      </c>
      <c r="J1668" s="5" t="s">
        <v>1426</v>
      </c>
      <c r="K1668" s="2" t="s">
        <v>1417</v>
      </c>
    </row>
    <row r="1669" spans="1:11" x14ac:dyDescent="0.2">
      <c r="A1669" s="3" t="s">
        <v>1131</v>
      </c>
      <c r="B1669" s="3" t="s">
        <v>1132</v>
      </c>
      <c r="C1669" s="3" t="s">
        <v>1133</v>
      </c>
      <c r="D1669" s="3" t="s">
        <v>1427</v>
      </c>
      <c r="E1669" s="3" t="s">
        <v>1428</v>
      </c>
      <c r="F1669" s="3">
        <v>12.29</v>
      </c>
      <c r="G1669" s="3" t="s">
        <v>1429</v>
      </c>
      <c r="H1669" s="3">
        <v>4</v>
      </c>
      <c r="I1669" s="3">
        <v>11</v>
      </c>
      <c r="J1669" s="5" t="s">
        <v>1426</v>
      </c>
      <c r="K1669" s="3" t="s">
        <v>1431</v>
      </c>
    </row>
    <row r="1670" spans="1:11" x14ac:dyDescent="0.2">
      <c r="A1670" s="2" t="s">
        <v>1131</v>
      </c>
      <c r="B1670" s="2" t="s">
        <v>1136</v>
      </c>
      <c r="C1670" s="2" t="s">
        <v>275</v>
      </c>
      <c r="D1670" s="2" t="s">
        <v>1443</v>
      </c>
      <c r="E1670" s="2" t="s">
        <v>1444</v>
      </c>
      <c r="F1670" s="2">
        <v>88.42</v>
      </c>
      <c r="G1670" s="2" t="s">
        <v>1445</v>
      </c>
      <c r="H1670" s="2">
        <v>53</v>
      </c>
      <c r="I1670" s="2">
        <v>97</v>
      </c>
      <c r="J1670" s="2" t="s">
        <v>1416</v>
      </c>
      <c r="K1670" s="2" t="s">
        <v>1431</v>
      </c>
    </row>
    <row r="1671" spans="1:11" x14ac:dyDescent="0.2">
      <c r="A1671" s="3" t="s">
        <v>1131</v>
      </c>
      <c r="B1671" s="3" t="s">
        <v>1136</v>
      </c>
      <c r="C1671" s="3" t="s">
        <v>275</v>
      </c>
      <c r="D1671" s="3" t="s">
        <v>1440</v>
      </c>
      <c r="E1671" s="3" t="s">
        <v>1441</v>
      </c>
      <c r="F1671" s="3">
        <v>6.05</v>
      </c>
      <c r="G1671" s="3" t="s">
        <v>1442</v>
      </c>
      <c r="H1671" s="3">
        <v>4</v>
      </c>
      <c r="I1671" s="3">
        <v>5.6</v>
      </c>
      <c r="J1671" s="5" t="s">
        <v>1426</v>
      </c>
      <c r="K1671" s="3" t="s">
        <v>1420</v>
      </c>
    </row>
    <row r="1672" spans="1:11" x14ac:dyDescent="0.2">
      <c r="A1672" s="2" t="s">
        <v>1131</v>
      </c>
      <c r="B1672" s="2" t="s">
        <v>1136</v>
      </c>
      <c r="C1672" s="2" t="s">
        <v>275</v>
      </c>
      <c r="D1672" s="2" t="s">
        <v>1437</v>
      </c>
      <c r="E1672" s="2" t="s">
        <v>1438</v>
      </c>
      <c r="F1672" s="2">
        <v>6.15</v>
      </c>
      <c r="G1672" s="2" t="s">
        <v>1439</v>
      </c>
      <c r="H1672" s="2">
        <v>12</v>
      </c>
      <c r="I1672" s="2">
        <v>17.5</v>
      </c>
      <c r="J1672" s="5" t="s">
        <v>1430</v>
      </c>
      <c r="K1672" s="2" t="s">
        <v>1417</v>
      </c>
    </row>
    <row r="1673" spans="1:11" x14ac:dyDescent="0.2">
      <c r="A1673" s="3" t="s">
        <v>1131</v>
      </c>
      <c r="B1673" s="3" t="s">
        <v>1136</v>
      </c>
      <c r="C1673" s="3" t="s">
        <v>275</v>
      </c>
      <c r="D1673" s="3" t="s">
        <v>1455</v>
      </c>
      <c r="E1673" s="3" t="s">
        <v>1456</v>
      </c>
      <c r="F1673" s="3">
        <v>184.83</v>
      </c>
      <c r="G1673" s="3" t="s">
        <v>1457</v>
      </c>
      <c r="H1673" s="3">
        <v>40</v>
      </c>
      <c r="I1673" s="3">
        <v>130</v>
      </c>
      <c r="J1673" s="5" t="s">
        <v>1426</v>
      </c>
      <c r="K1673" s="3" t="s">
        <v>1420</v>
      </c>
    </row>
    <row r="1674" spans="1:11" x14ac:dyDescent="0.2">
      <c r="A1674" s="2" t="s">
        <v>1131</v>
      </c>
      <c r="B1674" s="2" t="s">
        <v>1138</v>
      </c>
      <c r="C1674" s="2" t="s">
        <v>1139</v>
      </c>
      <c r="D1674" s="2" t="s">
        <v>1437</v>
      </c>
      <c r="E1674" s="2" t="s">
        <v>1438</v>
      </c>
      <c r="F1674" s="2">
        <v>11.88</v>
      </c>
      <c r="G1674" s="2" t="s">
        <v>1439</v>
      </c>
      <c r="H1674" s="2">
        <v>12</v>
      </c>
      <c r="I1674" s="2">
        <v>17.5</v>
      </c>
      <c r="J1674" s="5" t="s">
        <v>1430</v>
      </c>
      <c r="K1674" s="2" t="s">
        <v>1431</v>
      </c>
    </row>
    <row r="1675" spans="1:11" x14ac:dyDescent="0.2">
      <c r="A1675" s="3" t="s">
        <v>1131</v>
      </c>
      <c r="B1675" s="3" t="s">
        <v>1138</v>
      </c>
      <c r="C1675" s="3" t="s">
        <v>1139</v>
      </c>
      <c r="D1675" s="3" t="s">
        <v>1446</v>
      </c>
      <c r="E1675" s="3" t="s">
        <v>1447</v>
      </c>
      <c r="F1675" s="3">
        <v>2.34</v>
      </c>
      <c r="G1675" s="3" t="s">
        <v>1415</v>
      </c>
      <c r="H1675" s="3">
        <v>2.1</v>
      </c>
      <c r="I1675" s="3">
        <v>2.6</v>
      </c>
      <c r="J1675" s="3" t="s">
        <v>1416</v>
      </c>
      <c r="K1675" s="3" t="s">
        <v>1420</v>
      </c>
    </row>
    <row r="1676" spans="1:11" x14ac:dyDescent="0.2">
      <c r="A1676" s="2" t="s">
        <v>1131</v>
      </c>
      <c r="B1676" s="2" t="s">
        <v>1138</v>
      </c>
      <c r="C1676" s="2" t="s">
        <v>1139</v>
      </c>
      <c r="D1676" s="2" t="s">
        <v>1423</v>
      </c>
      <c r="E1676" s="2" t="s">
        <v>1424</v>
      </c>
      <c r="F1676" s="2">
        <v>4.6399999999999997</v>
      </c>
      <c r="G1676" s="2" t="s">
        <v>1425</v>
      </c>
      <c r="H1676" s="2">
        <v>4.5</v>
      </c>
      <c r="I1676" s="2">
        <v>5.5</v>
      </c>
      <c r="J1676" s="2" t="s">
        <v>1416</v>
      </c>
      <c r="K1676" s="2" t="s">
        <v>1434</v>
      </c>
    </row>
    <row r="1677" spans="1:11" x14ac:dyDescent="0.2">
      <c r="A1677" s="3" t="s">
        <v>1131</v>
      </c>
      <c r="B1677" s="3" t="s">
        <v>1138</v>
      </c>
      <c r="C1677" s="3" t="s">
        <v>1139</v>
      </c>
      <c r="D1677" s="3" t="s">
        <v>1418</v>
      </c>
      <c r="E1677" s="3" t="s">
        <v>1419</v>
      </c>
      <c r="F1677" s="3">
        <v>4.91</v>
      </c>
      <c r="G1677" s="3" t="s">
        <v>1415</v>
      </c>
      <c r="H1677" s="3">
        <v>3.5</v>
      </c>
      <c r="I1677" s="3">
        <v>5</v>
      </c>
      <c r="J1677" s="3" t="s">
        <v>1416</v>
      </c>
      <c r="K1677" s="3" t="s">
        <v>1420</v>
      </c>
    </row>
    <row r="1678" spans="1:11" x14ac:dyDescent="0.2">
      <c r="A1678" s="2" t="s">
        <v>1141</v>
      </c>
      <c r="B1678" s="2" t="s">
        <v>1142</v>
      </c>
      <c r="C1678" s="2" t="s">
        <v>242</v>
      </c>
      <c r="D1678" s="2" t="s">
        <v>1455</v>
      </c>
      <c r="E1678" s="2" t="s">
        <v>1456</v>
      </c>
      <c r="F1678" s="2">
        <v>277.04000000000002</v>
      </c>
      <c r="G1678" s="2" t="s">
        <v>1457</v>
      </c>
      <c r="H1678" s="2">
        <v>40</v>
      </c>
      <c r="I1678" s="2">
        <v>130</v>
      </c>
      <c r="J1678" s="5" t="s">
        <v>1426</v>
      </c>
      <c r="K1678" s="2" t="s">
        <v>1417</v>
      </c>
    </row>
    <row r="1679" spans="1:11" x14ac:dyDescent="0.2">
      <c r="A1679" s="3" t="s">
        <v>1141</v>
      </c>
      <c r="B1679" s="3" t="s">
        <v>1142</v>
      </c>
      <c r="C1679" s="3" t="s">
        <v>242</v>
      </c>
      <c r="D1679" s="3" t="s">
        <v>1440</v>
      </c>
      <c r="E1679" s="3" t="s">
        <v>1441</v>
      </c>
      <c r="F1679" s="3">
        <v>9.31</v>
      </c>
      <c r="G1679" s="3" t="s">
        <v>1442</v>
      </c>
      <c r="H1679" s="3">
        <v>4</v>
      </c>
      <c r="I1679" s="3">
        <v>5.6</v>
      </c>
      <c r="J1679" s="5" t="s">
        <v>1426</v>
      </c>
      <c r="K1679" s="3" t="s">
        <v>1420</v>
      </c>
    </row>
    <row r="1680" spans="1:11" x14ac:dyDescent="0.2">
      <c r="A1680" s="2" t="s">
        <v>1141</v>
      </c>
      <c r="B1680" s="2" t="s">
        <v>1142</v>
      </c>
      <c r="C1680" s="2" t="s">
        <v>242</v>
      </c>
      <c r="D1680" s="2" t="s">
        <v>1413</v>
      </c>
      <c r="E1680" s="2" t="s">
        <v>1414</v>
      </c>
      <c r="F1680" s="2">
        <v>1.84</v>
      </c>
      <c r="G1680" s="2" t="s">
        <v>1415</v>
      </c>
      <c r="H1680" s="2">
        <v>1</v>
      </c>
      <c r="I1680" s="2">
        <v>5</v>
      </c>
      <c r="J1680" s="2" t="s">
        <v>1416</v>
      </c>
      <c r="K1680" s="2" t="s">
        <v>1420</v>
      </c>
    </row>
    <row r="1681" spans="1:11" x14ac:dyDescent="0.2">
      <c r="A1681" s="3" t="s">
        <v>1141</v>
      </c>
      <c r="B1681" s="3" t="s">
        <v>1142</v>
      </c>
      <c r="C1681" s="3" t="s">
        <v>242</v>
      </c>
      <c r="D1681" s="3" t="s">
        <v>1432</v>
      </c>
      <c r="E1681" s="3" t="s">
        <v>1433</v>
      </c>
      <c r="F1681" s="3">
        <v>1.44</v>
      </c>
      <c r="G1681" s="3" t="s">
        <v>1415</v>
      </c>
      <c r="H1681" s="3">
        <v>0</v>
      </c>
      <c r="I1681" s="3">
        <v>3</v>
      </c>
      <c r="J1681" s="3" t="s">
        <v>1416</v>
      </c>
      <c r="K1681" s="3" t="s">
        <v>1420</v>
      </c>
    </row>
    <row r="1682" spans="1:11" x14ac:dyDescent="0.2">
      <c r="A1682" s="2" t="s">
        <v>1141</v>
      </c>
      <c r="B1682" s="2" t="s">
        <v>1142</v>
      </c>
      <c r="C1682" s="2" t="s">
        <v>242</v>
      </c>
      <c r="D1682" s="2" t="s">
        <v>1448</v>
      </c>
      <c r="E1682" s="2" t="s">
        <v>1449</v>
      </c>
      <c r="F1682" s="2">
        <v>139.4</v>
      </c>
      <c r="G1682" s="2" t="s">
        <v>1415</v>
      </c>
      <c r="H1682" s="2">
        <v>136</v>
      </c>
      <c r="I1682" s="2">
        <v>145</v>
      </c>
      <c r="J1682" s="2" t="s">
        <v>1416</v>
      </c>
      <c r="K1682" s="2" t="s">
        <v>1434</v>
      </c>
    </row>
    <row r="1683" spans="1:11" x14ac:dyDescent="0.2">
      <c r="A1683" s="3" t="s">
        <v>1141</v>
      </c>
      <c r="B1683" s="3" t="s">
        <v>1145</v>
      </c>
      <c r="C1683" s="3" t="s">
        <v>1146</v>
      </c>
      <c r="D1683" s="3" t="s">
        <v>1440</v>
      </c>
      <c r="E1683" s="3" t="s">
        <v>1441</v>
      </c>
      <c r="F1683" s="3">
        <v>9.6300000000000008</v>
      </c>
      <c r="G1683" s="3" t="s">
        <v>1442</v>
      </c>
      <c r="H1683" s="3">
        <v>4</v>
      </c>
      <c r="I1683" s="3">
        <v>5.6</v>
      </c>
      <c r="J1683" s="5" t="s">
        <v>1426</v>
      </c>
      <c r="K1683" s="3" t="s">
        <v>1431</v>
      </c>
    </row>
    <row r="1684" spans="1:11" x14ac:dyDescent="0.2">
      <c r="A1684" s="2" t="s">
        <v>1141</v>
      </c>
      <c r="B1684" s="2" t="s">
        <v>1145</v>
      </c>
      <c r="C1684" s="2" t="s">
        <v>1146</v>
      </c>
      <c r="D1684" s="2" t="s">
        <v>1453</v>
      </c>
      <c r="E1684" s="2" t="s">
        <v>1454</v>
      </c>
      <c r="F1684" s="2">
        <v>8.3699999999999992</v>
      </c>
      <c r="G1684" s="2" t="s">
        <v>1415</v>
      </c>
      <c r="H1684" s="2">
        <v>3.9</v>
      </c>
      <c r="I1684" s="2">
        <v>5.5</v>
      </c>
      <c r="J1684" s="5" t="s">
        <v>1426</v>
      </c>
      <c r="K1684" s="2" t="s">
        <v>1420</v>
      </c>
    </row>
    <row r="1685" spans="1:11" x14ac:dyDescent="0.2">
      <c r="A1685" s="3" t="s">
        <v>1141</v>
      </c>
      <c r="B1685" s="3" t="s">
        <v>1145</v>
      </c>
      <c r="C1685" s="3" t="s">
        <v>1146</v>
      </c>
      <c r="D1685" s="3" t="s">
        <v>1421</v>
      </c>
      <c r="E1685" s="3" t="s">
        <v>1422</v>
      </c>
      <c r="F1685" s="3">
        <v>5.31</v>
      </c>
      <c r="G1685" s="3" t="s">
        <v>1415</v>
      </c>
      <c r="H1685" s="3">
        <v>0</v>
      </c>
      <c r="I1685" s="3">
        <v>5</v>
      </c>
      <c r="J1685" s="5" t="s">
        <v>1426</v>
      </c>
      <c r="K1685" s="3" t="s">
        <v>1434</v>
      </c>
    </row>
    <row r="1686" spans="1:11" x14ac:dyDescent="0.2">
      <c r="A1686" s="2" t="s">
        <v>1141</v>
      </c>
      <c r="B1686" s="2" t="s">
        <v>1145</v>
      </c>
      <c r="C1686" s="2" t="s">
        <v>1146</v>
      </c>
      <c r="D1686" s="2" t="s">
        <v>1448</v>
      </c>
      <c r="E1686" s="2" t="s">
        <v>1449</v>
      </c>
      <c r="F1686" s="2">
        <v>147.49</v>
      </c>
      <c r="G1686" s="2" t="s">
        <v>1415</v>
      </c>
      <c r="H1686" s="2">
        <v>136</v>
      </c>
      <c r="I1686" s="2">
        <v>145</v>
      </c>
      <c r="J1686" s="5" t="s">
        <v>1426</v>
      </c>
      <c r="K1686" s="2" t="s">
        <v>1431</v>
      </c>
    </row>
    <row r="1687" spans="1:11" x14ac:dyDescent="0.2">
      <c r="A1687" s="3" t="s">
        <v>1141</v>
      </c>
      <c r="B1687" s="3" t="s">
        <v>1145</v>
      </c>
      <c r="C1687" s="3" t="s">
        <v>1146</v>
      </c>
      <c r="D1687" s="3" t="s">
        <v>1446</v>
      </c>
      <c r="E1687" s="3" t="s">
        <v>1447</v>
      </c>
      <c r="F1687" s="3">
        <v>2.2799999999999998</v>
      </c>
      <c r="G1687" s="3" t="s">
        <v>1415</v>
      </c>
      <c r="H1687" s="3">
        <v>2.1</v>
      </c>
      <c r="I1687" s="3">
        <v>2.6</v>
      </c>
      <c r="J1687" s="3" t="s">
        <v>1416</v>
      </c>
      <c r="K1687" s="3" t="s">
        <v>1431</v>
      </c>
    </row>
    <row r="1688" spans="1:11" x14ac:dyDescent="0.2">
      <c r="A1688" s="2" t="s">
        <v>1141</v>
      </c>
      <c r="B1688" s="2" t="s">
        <v>1145</v>
      </c>
      <c r="C1688" s="2" t="s">
        <v>1146</v>
      </c>
      <c r="D1688" s="2" t="s">
        <v>1437</v>
      </c>
      <c r="E1688" s="2" t="s">
        <v>1438</v>
      </c>
      <c r="F1688" s="2">
        <v>7.84</v>
      </c>
      <c r="G1688" s="2" t="s">
        <v>1439</v>
      </c>
      <c r="H1688" s="2">
        <v>12</v>
      </c>
      <c r="I1688" s="2">
        <v>17.5</v>
      </c>
      <c r="J1688" s="5" t="s">
        <v>1430</v>
      </c>
      <c r="K1688" s="2" t="s">
        <v>1431</v>
      </c>
    </row>
    <row r="1689" spans="1:11" x14ac:dyDescent="0.2">
      <c r="A1689" s="3" t="s">
        <v>1141</v>
      </c>
      <c r="B1689" s="3" t="s">
        <v>1145</v>
      </c>
      <c r="C1689" s="3" t="s">
        <v>1146</v>
      </c>
      <c r="D1689" s="3" t="s">
        <v>1427</v>
      </c>
      <c r="E1689" s="3" t="s">
        <v>1428</v>
      </c>
      <c r="F1689" s="3">
        <v>14.53</v>
      </c>
      <c r="G1689" s="3" t="s">
        <v>1429</v>
      </c>
      <c r="H1689" s="3">
        <v>4</v>
      </c>
      <c r="I1689" s="3">
        <v>11</v>
      </c>
      <c r="J1689" s="5" t="s">
        <v>1426</v>
      </c>
      <c r="K1689" s="3" t="s">
        <v>1431</v>
      </c>
    </row>
    <row r="1690" spans="1:11" x14ac:dyDescent="0.2">
      <c r="A1690" s="2" t="s">
        <v>1141</v>
      </c>
      <c r="B1690" s="2" t="s">
        <v>1147</v>
      </c>
      <c r="C1690" s="2" t="s">
        <v>1148</v>
      </c>
      <c r="D1690" s="2" t="s">
        <v>1435</v>
      </c>
      <c r="E1690" s="2" t="s">
        <v>1436</v>
      </c>
      <c r="F1690" s="2">
        <v>1.54</v>
      </c>
      <c r="G1690" s="2" t="s">
        <v>1415</v>
      </c>
      <c r="H1690" s="2">
        <v>0.8</v>
      </c>
      <c r="I1690" s="2">
        <v>1.5</v>
      </c>
      <c r="J1690" s="5" t="s">
        <v>1426</v>
      </c>
      <c r="K1690" s="2" t="s">
        <v>1420</v>
      </c>
    </row>
    <row r="1691" spans="1:11" x14ac:dyDescent="0.2">
      <c r="A1691" s="3" t="s">
        <v>1141</v>
      </c>
      <c r="B1691" s="3" t="s">
        <v>1147</v>
      </c>
      <c r="C1691" s="3" t="s">
        <v>1148</v>
      </c>
      <c r="D1691" s="3" t="s">
        <v>1432</v>
      </c>
      <c r="E1691" s="3" t="s">
        <v>1433</v>
      </c>
      <c r="F1691" s="3">
        <v>3.25</v>
      </c>
      <c r="G1691" s="3" t="s">
        <v>1415</v>
      </c>
      <c r="H1691" s="3">
        <v>0</v>
      </c>
      <c r="I1691" s="3">
        <v>3</v>
      </c>
      <c r="J1691" s="5" t="s">
        <v>1426</v>
      </c>
      <c r="K1691" s="3" t="s">
        <v>1431</v>
      </c>
    </row>
    <row r="1692" spans="1:11" x14ac:dyDescent="0.2">
      <c r="A1692" s="2" t="s">
        <v>1141</v>
      </c>
      <c r="B1692" s="2" t="s">
        <v>1147</v>
      </c>
      <c r="C1692" s="2" t="s">
        <v>1148</v>
      </c>
      <c r="D1692" s="2" t="s">
        <v>1427</v>
      </c>
      <c r="E1692" s="2" t="s">
        <v>1428</v>
      </c>
      <c r="F1692" s="2">
        <v>8.3000000000000007</v>
      </c>
      <c r="G1692" s="2" t="s">
        <v>1429</v>
      </c>
      <c r="H1692" s="2">
        <v>4</v>
      </c>
      <c r="I1692" s="2">
        <v>11</v>
      </c>
      <c r="J1692" s="2" t="s">
        <v>1416</v>
      </c>
      <c r="K1692" s="2" t="s">
        <v>1434</v>
      </c>
    </row>
    <row r="1693" spans="1:11" x14ac:dyDescent="0.2">
      <c r="A1693" s="3" t="s">
        <v>1141</v>
      </c>
      <c r="B1693" s="3" t="s">
        <v>1147</v>
      </c>
      <c r="C1693" s="3" t="s">
        <v>1148</v>
      </c>
      <c r="D1693" s="3" t="s">
        <v>1423</v>
      </c>
      <c r="E1693" s="3" t="s">
        <v>1424</v>
      </c>
      <c r="F1693" s="3">
        <v>5.04</v>
      </c>
      <c r="G1693" s="3" t="s">
        <v>1425</v>
      </c>
      <c r="H1693" s="3">
        <v>4.5</v>
      </c>
      <c r="I1693" s="3">
        <v>5.5</v>
      </c>
      <c r="J1693" s="3" t="s">
        <v>1416</v>
      </c>
      <c r="K1693" s="3" t="s">
        <v>1431</v>
      </c>
    </row>
    <row r="1694" spans="1:11" x14ac:dyDescent="0.2">
      <c r="A1694" s="2" t="s">
        <v>1141</v>
      </c>
      <c r="B1694" s="2" t="s">
        <v>1147</v>
      </c>
      <c r="C1694" s="2" t="s">
        <v>1148</v>
      </c>
      <c r="D1694" s="2" t="s">
        <v>1440</v>
      </c>
      <c r="E1694" s="2" t="s">
        <v>1441</v>
      </c>
      <c r="F1694" s="2">
        <v>10.48</v>
      </c>
      <c r="G1694" s="2" t="s">
        <v>1442</v>
      </c>
      <c r="H1694" s="2">
        <v>4</v>
      </c>
      <c r="I1694" s="2">
        <v>5.6</v>
      </c>
      <c r="J1694" s="5" t="s">
        <v>1426</v>
      </c>
      <c r="K1694" s="2" t="s">
        <v>1431</v>
      </c>
    </row>
    <row r="1695" spans="1:11" x14ac:dyDescent="0.2">
      <c r="A1695" s="3" t="s">
        <v>1141</v>
      </c>
      <c r="B1695" s="3" t="s">
        <v>1147</v>
      </c>
      <c r="C1695" s="3" t="s">
        <v>1148</v>
      </c>
      <c r="D1695" s="3" t="s">
        <v>1455</v>
      </c>
      <c r="E1695" s="3" t="s">
        <v>1456</v>
      </c>
      <c r="F1695" s="3">
        <v>203.06</v>
      </c>
      <c r="G1695" s="3" t="s">
        <v>1457</v>
      </c>
      <c r="H1695" s="3">
        <v>40</v>
      </c>
      <c r="I1695" s="3">
        <v>130</v>
      </c>
      <c r="J1695" s="5" t="s">
        <v>1426</v>
      </c>
      <c r="K1695" s="3" t="s">
        <v>1417</v>
      </c>
    </row>
    <row r="1696" spans="1:11" x14ac:dyDescent="0.2">
      <c r="A1696" s="2" t="s">
        <v>1141</v>
      </c>
      <c r="B1696" s="2" t="s">
        <v>1147</v>
      </c>
      <c r="C1696" s="2" t="s">
        <v>1148</v>
      </c>
      <c r="D1696" s="2" t="s">
        <v>1450</v>
      </c>
      <c r="E1696" s="2" t="s">
        <v>1451</v>
      </c>
      <c r="F1696" s="2">
        <v>113.7</v>
      </c>
      <c r="G1696" s="2" t="s">
        <v>1452</v>
      </c>
      <c r="H1696" s="2">
        <v>60</v>
      </c>
      <c r="I1696" s="2">
        <v>120</v>
      </c>
      <c r="J1696" s="2" t="s">
        <v>1416</v>
      </c>
      <c r="K1696" s="2" t="s">
        <v>1420</v>
      </c>
    </row>
    <row r="1697" spans="1:11" x14ac:dyDescent="0.2">
      <c r="A1697" s="3" t="s">
        <v>1141</v>
      </c>
      <c r="B1697" s="3" t="s">
        <v>1147</v>
      </c>
      <c r="C1697" s="3" t="s">
        <v>1148</v>
      </c>
      <c r="D1697" s="3" t="s">
        <v>1443</v>
      </c>
      <c r="E1697" s="3" t="s">
        <v>1444</v>
      </c>
      <c r="F1697" s="3">
        <v>56.96</v>
      </c>
      <c r="G1697" s="3" t="s">
        <v>1445</v>
      </c>
      <c r="H1697" s="3">
        <v>53</v>
      </c>
      <c r="I1697" s="3">
        <v>97</v>
      </c>
      <c r="J1697" s="3" t="s">
        <v>1416</v>
      </c>
      <c r="K1697" s="3" t="s">
        <v>1417</v>
      </c>
    </row>
    <row r="1698" spans="1:11" x14ac:dyDescent="0.2">
      <c r="A1698" s="2" t="s">
        <v>1141</v>
      </c>
      <c r="B1698" s="2" t="s">
        <v>1150</v>
      </c>
      <c r="C1698" s="2" t="s">
        <v>1151</v>
      </c>
      <c r="D1698" s="2" t="s">
        <v>1418</v>
      </c>
      <c r="E1698" s="2" t="s">
        <v>1419</v>
      </c>
      <c r="F1698" s="2">
        <v>3.94</v>
      </c>
      <c r="G1698" s="2" t="s">
        <v>1415</v>
      </c>
      <c r="H1698" s="2">
        <v>3.5</v>
      </c>
      <c r="I1698" s="2">
        <v>5</v>
      </c>
      <c r="J1698" s="2" t="s">
        <v>1416</v>
      </c>
      <c r="K1698" s="2" t="s">
        <v>1420</v>
      </c>
    </row>
    <row r="1699" spans="1:11" x14ac:dyDescent="0.2">
      <c r="A1699" s="3" t="s">
        <v>1141</v>
      </c>
      <c r="B1699" s="3" t="s">
        <v>1150</v>
      </c>
      <c r="C1699" s="3" t="s">
        <v>1151</v>
      </c>
      <c r="D1699" s="3" t="s">
        <v>1427</v>
      </c>
      <c r="E1699" s="3" t="s">
        <v>1428</v>
      </c>
      <c r="F1699" s="3">
        <v>2.5099999999999998</v>
      </c>
      <c r="G1699" s="3" t="s">
        <v>1429</v>
      </c>
      <c r="H1699" s="3">
        <v>4</v>
      </c>
      <c r="I1699" s="3">
        <v>11</v>
      </c>
      <c r="J1699" s="5" t="s">
        <v>1430</v>
      </c>
      <c r="K1699" s="3" t="s">
        <v>1420</v>
      </c>
    </row>
    <row r="1700" spans="1:11" x14ac:dyDescent="0.2">
      <c r="A1700" s="2" t="s">
        <v>1141</v>
      </c>
      <c r="B1700" s="2" t="s">
        <v>1150</v>
      </c>
      <c r="C1700" s="2" t="s">
        <v>1151</v>
      </c>
      <c r="D1700" s="2" t="s">
        <v>1455</v>
      </c>
      <c r="E1700" s="2" t="s">
        <v>1456</v>
      </c>
      <c r="F1700" s="2">
        <v>256.67</v>
      </c>
      <c r="G1700" s="2" t="s">
        <v>1457</v>
      </c>
      <c r="H1700" s="2">
        <v>40</v>
      </c>
      <c r="I1700" s="2">
        <v>130</v>
      </c>
      <c r="J1700" s="5" t="s">
        <v>1426</v>
      </c>
      <c r="K1700" s="2" t="s">
        <v>1420</v>
      </c>
    </row>
    <row r="1701" spans="1:11" x14ac:dyDescent="0.2">
      <c r="A1701" s="3" t="s">
        <v>1141</v>
      </c>
      <c r="B1701" s="3" t="s">
        <v>1150</v>
      </c>
      <c r="C1701" s="3" t="s">
        <v>1151</v>
      </c>
      <c r="D1701" s="3" t="s">
        <v>1448</v>
      </c>
      <c r="E1701" s="3" t="s">
        <v>1449</v>
      </c>
      <c r="F1701" s="3">
        <v>136.13</v>
      </c>
      <c r="G1701" s="3" t="s">
        <v>1415</v>
      </c>
      <c r="H1701" s="3">
        <v>136</v>
      </c>
      <c r="I1701" s="3">
        <v>145</v>
      </c>
      <c r="J1701" s="3" t="s">
        <v>1416</v>
      </c>
      <c r="K1701" s="3" t="s">
        <v>1434</v>
      </c>
    </row>
    <row r="1702" spans="1:11" x14ac:dyDescent="0.2">
      <c r="A1702" s="2" t="s">
        <v>1141</v>
      </c>
      <c r="B1702" s="2" t="s">
        <v>1150</v>
      </c>
      <c r="C1702" s="2" t="s">
        <v>1151</v>
      </c>
      <c r="D1702" s="2" t="s">
        <v>1435</v>
      </c>
      <c r="E1702" s="2" t="s">
        <v>1436</v>
      </c>
      <c r="F1702" s="2">
        <v>0.57999999999999996</v>
      </c>
      <c r="G1702" s="2" t="s">
        <v>1415</v>
      </c>
      <c r="H1702" s="2">
        <v>0.8</v>
      </c>
      <c r="I1702" s="2">
        <v>1.5</v>
      </c>
      <c r="J1702" s="5" t="s">
        <v>1430</v>
      </c>
      <c r="K1702" s="2" t="s">
        <v>1417</v>
      </c>
    </row>
    <row r="1703" spans="1:11" x14ac:dyDescent="0.2">
      <c r="A1703" s="3" t="s">
        <v>1141</v>
      </c>
      <c r="B1703" s="3" t="s">
        <v>1152</v>
      </c>
      <c r="C1703" s="3" t="s">
        <v>1153</v>
      </c>
      <c r="D1703" s="3" t="s">
        <v>1440</v>
      </c>
      <c r="E1703" s="3" t="s">
        <v>1441</v>
      </c>
      <c r="F1703" s="3">
        <v>7.54</v>
      </c>
      <c r="G1703" s="3" t="s">
        <v>1442</v>
      </c>
      <c r="H1703" s="3">
        <v>4</v>
      </c>
      <c r="I1703" s="3">
        <v>5.6</v>
      </c>
      <c r="J1703" s="5" t="s">
        <v>1426</v>
      </c>
      <c r="K1703" s="3" t="s">
        <v>1431</v>
      </c>
    </row>
    <row r="1704" spans="1:11" x14ac:dyDescent="0.2">
      <c r="A1704" s="2" t="s">
        <v>1141</v>
      </c>
      <c r="B1704" s="2" t="s">
        <v>1152</v>
      </c>
      <c r="C1704" s="2" t="s">
        <v>1153</v>
      </c>
      <c r="D1704" s="2" t="s">
        <v>1448</v>
      </c>
      <c r="E1704" s="2" t="s">
        <v>1449</v>
      </c>
      <c r="F1704" s="2">
        <v>142.69</v>
      </c>
      <c r="G1704" s="2" t="s">
        <v>1415</v>
      </c>
      <c r="H1704" s="2">
        <v>136</v>
      </c>
      <c r="I1704" s="2">
        <v>145</v>
      </c>
      <c r="J1704" s="2" t="s">
        <v>1416</v>
      </c>
      <c r="K1704" s="2" t="s">
        <v>1417</v>
      </c>
    </row>
    <row r="1705" spans="1:11" x14ac:dyDescent="0.2">
      <c r="A1705" s="3" t="s">
        <v>1141</v>
      </c>
      <c r="B1705" s="3" t="s">
        <v>1152</v>
      </c>
      <c r="C1705" s="3" t="s">
        <v>1153</v>
      </c>
      <c r="D1705" s="3" t="s">
        <v>1455</v>
      </c>
      <c r="E1705" s="3" t="s">
        <v>1456</v>
      </c>
      <c r="F1705" s="3">
        <v>219.25</v>
      </c>
      <c r="G1705" s="3" t="s">
        <v>1457</v>
      </c>
      <c r="H1705" s="3">
        <v>40</v>
      </c>
      <c r="I1705" s="3">
        <v>130</v>
      </c>
      <c r="J1705" s="5" t="s">
        <v>1426</v>
      </c>
      <c r="K1705" s="3" t="s">
        <v>1431</v>
      </c>
    </row>
    <row r="1706" spans="1:11" x14ac:dyDescent="0.2">
      <c r="A1706" s="2" t="s">
        <v>1141</v>
      </c>
      <c r="B1706" s="2" t="s">
        <v>1152</v>
      </c>
      <c r="C1706" s="2" t="s">
        <v>1153</v>
      </c>
      <c r="D1706" s="2" t="s">
        <v>1421</v>
      </c>
      <c r="E1706" s="2" t="s">
        <v>1422</v>
      </c>
      <c r="F1706" s="2">
        <v>6.84</v>
      </c>
      <c r="G1706" s="2" t="s">
        <v>1415</v>
      </c>
      <c r="H1706" s="2">
        <v>0</v>
      </c>
      <c r="I1706" s="2">
        <v>5</v>
      </c>
      <c r="J1706" s="5" t="s">
        <v>1426</v>
      </c>
      <c r="K1706" s="2" t="s">
        <v>1434</v>
      </c>
    </row>
    <row r="1707" spans="1:11" x14ac:dyDescent="0.2">
      <c r="A1707" s="3" t="s">
        <v>1141</v>
      </c>
      <c r="B1707" s="3" t="s">
        <v>1155</v>
      </c>
      <c r="C1707" s="3" t="s">
        <v>1156</v>
      </c>
      <c r="D1707" s="3" t="s">
        <v>1413</v>
      </c>
      <c r="E1707" s="3" t="s">
        <v>1414</v>
      </c>
      <c r="F1707" s="3">
        <v>1.79</v>
      </c>
      <c r="G1707" s="3" t="s">
        <v>1415</v>
      </c>
      <c r="H1707" s="3">
        <v>1</v>
      </c>
      <c r="I1707" s="3">
        <v>5</v>
      </c>
      <c r="J1707" s="3" t="s">
        <v>1416</v>
      </c>
      <c r="K1707" s="3" t="s">
        <v>1431</v>
      </c>
    </row>
    <row r="1708" spans="1:11" x14ac:dyDescent="0.2">
      <c r="A1708" s="2" t="s">
        <v>1141</v>
      </c>
      <c r="B1708" s="2" t="s">
        <v>1155</v>
      </c>
      <c r="C1708" s="2" t="s">
        <v>1156</v>
      </c>
      <c r="D1708" s="2" t="s">
        <v>1440</v>
      </c>
      <c r="E1708" s="2" t="s">
        <v>1441</v>
      </c>
      <c r="F1708" s="2">
        <v>6.34</v>
      </c>
      <c r="G1708" s="2" t="s">
        <v>1442</v>
      </c>
      <c r="H1708" s="2">
        <v>4</v>
      </c>
      <c r="I1708" s="2">
        <v>5.6</v>
      </c>
      <c r="J1708" s="5" t="s">
        <v>1426</v>
      </c>
      <c r="K1708" s="2" t="s">
        <v>1431</v>
      </c>
    </row>
    <row r="1709" spans="1:11" x14ac:dyDescent="0.2">
      <c r="A1709" s="3" t="s">
        <v>1141</v>
      </c>
      <c r="B1709" s="3" t="s">
        <v>1155</v>
      </c>
      <c r="C1709" s="3" t="s">
        <v>1156</v>
      </c>
      <c r="D1709" s="3" t="s">
        <v>1418</v>
      </c>
      <c r="E1709" s="3" t="s">
        <v>1419</v>
      </c>
      <c r="F1709" s="3">
        <v>4.75</v>
      </c>
      <c r="G1709" s="3" t="s">
        <v>1415</v>
      </c>
      <c r="H1709" s="3">
        <v>3.5</v>
      </c>
      <c r="I1709" s="3">
        <v>5</v>
      </c>
      <c r="J1709" s="3" t="s">
        <v>1416</v>
      </c>
      <c r="K1709" s="3" t="s">
        <v>1420</v>
      </c>
    </row>
    <row r="1710" spans="1:11" x14ac:dyDescent="0.2">
      <c r="A1710" s="2" t="s">
        <v>1141</v>
      </c>
      <c r="B1710" s="2" t="s">
        <v>1155</v>
      </c>
      <c r="C1710" s="2" t="s">
        <v>1156</v>
      </c>
      <c r="D1710" s="2" t="s">
        <v>1453</v>
      </c>
      <c r="E1710" s="2" t="s">
        <v>1454</v>
      </c>
      <c r="F1710" s="2">
        <v>4.05</v>
      </c>
      <c r="G1710" s="2" t="s">
        <v>1415</v>
      </c>
      <c r="H1710" s="2">
        <v>3.9</v>
      </c>
      <c r="I1710" s="2">
        <v>5.5</v>
      </c>
      <c r="J1710" s="2" t="s">
        <v>1416</v>
      </c>
      <c r="K1710" s="2" t="s">
        <v>1434</v>
      </c>
    </row>
    <row r="1711" spans="1:11" x14ac:dyDescent="0.2">
      <c r="A1711" s="3" t="s">
        <v>1158</v>
      </c>
      <c r="B1711" s="3" t="s">
        <v>1159</v>
      </c>
      <c r="C1711" s="3" t="s">
        <v>1160</v>
      </c>
      <c r="D1711" s="3" t="s">
        <v>1413</v>
      </c>
      <c r="E1711" s="3" t="s">
        <v>1414</v>
      </c>
      <c r="F1711" s="3">
        <v>1.69</v>
      </c>
      <c r="G1711" s="3" t="s">
        <v>1415</v>
      </c>
      <c r="H1711" s="3">
        <v>1</v>
      </c>
      <c r="I1711" s="3">
        <v>5</v>
      </c>
      <c r="J1711" s="3" t="s">
        <v>1416</v>
      </c>
      <c r="K1711" s="3" t="s">
        <v>1420</v>
      </c>
    </row>
    <row r="1712" spans="1:11" x14ac:dyDescent="0.2">
      <c r="A1712" s="2" t="s">
        <v>1158</v>
      </c>
      <c r="B1712" s="2" t="s">
        <v>1159</v>
      </c>
      <c r="C1712" s="2" t="s">
        <v>1160</v>
      </c>
      <c r="D1712" s="2" t="s">
        <v>1427</v>
      </c>
      <c r="E1712" s="2" t="s">
        <v>1428</v>
      </c>
      <c r="F1712" s="2">
        <v>15.24</v>
      </c>
      <c r="G1712" s="2" t="s">
        <v>1429</v>
      </c>
      <c r="H1712" s="2">
        <v>4</v>
      </c>
      <c r="I1712" s="2">
        <v>11</v>
      </c>
      <c r="J1712" s="5" t="s">
        <v>1426</v>
      </c>
      <c r="K1712" s="2" t="s">
        <v>1417</v>
      </c>
    </row>
    <row r="1713" spans="1:11" x14ac:dyDescent="0.2">
      <c r="A1713" s="3" t="s">
        <v>1158</v>
      </c>
      <c r="B1713" s="3" t="s">
        <v>1159</v>
      </c>
      <c r="C1713" s="3" t="s">
        <v>1160</v>
      </c>
      <c r="D1713" s="3" t="s">
        <v>1453</v>
      </c>
      <c r="E1713" s="3" t="s">
        <v>1454</v>
      </c>
      <c r="F1713" s="3">
        <v>4.7699999999999996</v>
      </c>
      <c r="G1713" s="3" t="s">
        <v>1415</v>
      </c>
      <c r="H1713" s="3">
        <v>3.9</v>
      </c>
      <c r="I1713" s="3">
        <v>5.5</v>
      </c>
      <c r="J1713" s="3" t="s">
        <v>1416</v>
      </c>
      <c r="K1713" s="3" t="s">
        <v>1420</v>
      </c>
    </row>
    <row r="1714" spans="1:11" x14ac:dyDescent="0.2">
      <c r="A1714" s="2" t="s">
        <v>1158</v>
      </c>
      <c r="B1714" s="2" t="s">
        <v>1159</v>
      </c>
      <c r="C1714" s="2" t="s">
        <v>1160</v>
      </c>
      <c r="D1714" s="2" t="s">
        <v>1437</v>
      </c>
      <c r="E1714" s="2" t="s">
        <v>1438</v>
      </c>
      <c r="F1714" s="2">
        <v>17.38</v>
      </c>
      <c r="G1714" s="2" t="s">
        <v>1439</v>
      </c>
      <c r="H1714" s="2">
        <v>12</v>
      </c>
      <c r="I1714" s="2">
        <v>17.5</v>
      </c>
      <c r="J1714" s="2" t="s">
        <v>1416</v>
      </c>
      <c r="K1714" s="2" t="s">
        <v>1434</v>
      </c>
    </row>
    <row r="1715" spans="1:11" x14ac:dyDescent="0.2">
      <c r="A1715" s="3" t="s">
        <v>1158</v>
      </c>
      <c r="B1715" s="3" t="s">
        <v>1159</v>
      </c>
      <c r="C1715" s="3" t="s">
        <v>1160</v>
      </c>
      <c r="D1715" s="3" t="s">
        <v>1423</v>
      </c>
      <c r="E1715" s="3" t="s">
        <v>1424</v>
      </c>
      <c r="F1715" s="3">
        <v>4.1399999999999997</v>
      </c>
      <c r="G1715" s="3" t="s">
        <v>1425</v>
      </c>
      <c r="H1715" s="3">
        <v>4.5</v>
      </c>
      <c r="I1715" s="3">
        <v>5.5</v>
      </c>
      <c r="J1715" s="5" t="s">
        <v>1430</v>
      </c>
      <c r="K1715" s="3" t="s">
        <v>1420</v>
      </c>
    </row>
    <row r="1716" spans="1:11" x14ac:dyDescent="0.2">
      <c r="A1716" s="2" t="s">
        <v>1158</v>
      </c>
      <c r="B1716" s="2" t="s">
        <v>1159</v>
      </c>
      <c r="C1716" s="2" t="s">
        <v>1160</v>
      </c>
      <c r="D1716" s="2" t="s">
        <v>1448</v>
      </c>
      <c r="E1716" s="2" t="s">
        <v>1449</v>
      </c>
      <c r="F1716" s="2">
        <v>134.69</v>
      </c>
      <c r="G1716" s="2" t="s">
        <v>1415</v>
      </c>
      <c r="H1716" s="2">
        <v>136</v>
      </c>
      <c r="I1716" s="2">
        <v>145</v>
      </c>
      <c r="J1716" s="5" t="s">
        <v>1430</v>
      </c>
      <c r="K1716" s="2" t="s">
        <v>1417</v>
      </c>
    </row>
    <row r="1717" spans="1:11" x14ac:dyDescent="0.2">
      <c r="A1717" s="3" t="s">
        <v>1158</v>
      </c>
      <c r="B1717" s="3" t="s">
        <v>1159</v>
      </c>
      <c r="C1717" s="3" t="s">
        <v>1160</v>
      </c>
      <c r="D1717" s="3" t="s">
        <v>1421</v>
      </c>
      <c r="E1717" s="3" t="s">
        <v>1422</v>
      </c>
      <c r="F1717" s="3">
        <v>5.2</v>
      </c>
      <c r="G1717" s="3" t="s">
        <v>1415</v>
      </c>
      <c r="H1717" s="3">
        <v>0</v>
      </c>
      <c r="I1717" s="3">
        <v>5</v>
      </c>
      <c r="J1717" s="5" t="s">
        <v>1426</v>
      </c>
      <c r="K1717" s="3" t="s">
        <v>1431</v>
      </c>
    </row>
    <row r="1718" spans="1:11" x14ac:dyDescent="0.2">
      <c r="A1718" s="2" t="s">
        <v>1158</v>
      </c>
      <c r="B1718" s="2" t="s">
        <v>1163</v>
      </c>
      <c r="C1718" s="2" t="s">
        <v>781</v>
      </c>
      <c r="D1718" s="2" t="s">
        <v>1435</v>
      </c>
      <c r="E1718" s="2" t="s">
        <v>1436</v>
      </c>
      <c r="F1718" s="2">
        <v>0.62</v>
      </c>
      <c r="G1718" s="2" t="s">
        <v>1415</v>
      </c>
      <c r="H1718" s="2">
        <v>0.8</v>
      </c>
      <c r="I1718" s="2">
        <v>1.5</v>
      </c>
      <c r="J1718" s="5" t="s">
        <v>1430</v>
      </c>
      <c r="K1718" s="2" t="s">
        <v>1420</v>
      </c>
    </row>
    <row r="1719" spans="1:11" x14ac:dyDescent="0.2">
      <c r="A1719" s="3" t="s">
        <v>1158</v>
      </c>
      <c r="B1719" s="3" t="s">
        <v>1163</v>
      </c>
      <c r="C1719" s="3" t="s">
        <v>781</v>
      </c>
      <c r="D1719" s="3" t="s">
        <v>1446</v>
      </c>
      <c r="E1719" s="3" t="s">
        <v>1447</v>
      </c>
      <c r="F1719" s="3">
        <v>2.09</v>
      </c>
      <c r="G1719" s="3" t="s">
        <v>1415</v>
      </c>
      <c r="H1719" s="3">
        <v>2.1</v>
      </c>
      <c r="I1719" s="3">
        <v>2.6</v>
      </c>
      <c r="J1719" s="5" t="s">
        <v>1430</v>
      </c>
      <c r="K1719" s="3" t="s">
        <v>1417</v>
      </c>
    </row>
    <row r="1720" spans="1:11" x14ac:dyDescent="0.2">
      <c r="A1720" s="2" t="s">
        <v>1158</v>
      </c>
      <c r="B1720" s="2" t="s">
        <v>1163</v>
      </c>
      <c r="C1720" s="2" t="s">
        <v>781</v>
      </c>
      <c r="D1720" s="2" t="s">
        <v>1450</v>
      </c>
      <c r="E1720" s="2" t="s">
        <v>1451</v>
      </c>
      <c r="F1720" s="2">
        <v>111.22</v>
      </c>
      <c r="G1720" s="2" t="s">
        <v>1452</v>
      </c>
      <c r="H1720" s="2">
        <v>60</v>
      </c>
      <c r="I1720" s="2">
        <v>120</v>
      </c>
      <c r="J1720" s="2" t="s">
        <v>1416</v>
      </c>
      <c r="K1720" s="2" t="s">
        <v>1417</v>
      </c>
    </row>
    <row r="1721" spans="1:11" x14ac:dyDescent="0.2">
      <c r="A1721" s="3" t="s">
        <v>1158</v>
      </c>
      <c r="B1721" s="3" t="s">
        <v>1163</v>
      </c>
      <c r="C1721" s="3" t="s">
        <v>781</v>
      </c>
      <c r="D1721" s="3" t="s">
        <v>1448</v>
      </c>
      <c r="E1721" s="3" t="s">
        <v>1449</v>
      </c>
      <c r="F1721" s="3">
        <v>139.33000000000001</v>
      </c>
      <c r="G1721" s="3" t="s">
        <v>1415</v>
      </c>
      <c r="H1721" s="3">
        <v>136</v>
      </c>
      <c r="I1721" s="3">
        <v>145</v>
      </c>
      <c r="J1721" s="3" t="s">
        <v>1416</v>
      </c>
      <c r="K1721" s="3" t="s">
        <v>1434</v>
      </c>
    </row>
    <row r="1722" spans="1:11" x14ac:dyDescent="0.2">
      <c r="A1722" s="2" t="s">
        <v>1158</v>
      </c>
      <c r="B1722" s="2" t="s">
        <v>1163</v>
      </c>
      <c r="C1722" s="2" t="s">
        <v>781</v>
      </c>
      <c r="D1722" s="2" t="s">
        <v>1413</v>
      </c>
      <c r="E1722" s="2" t="s">
        <v>1414</v>
      </c>
      <c r="F1722" s="2">
        <v>2</v>
      </c>
      <c r="G1722" s="2" t="s">
        <v>1415</v>
      </c>
      <c r="H1722" s="2">
        <v>1</v>
      </c>
      <c r="I1722" s="2">
        <v>5</v>
      </c>
      <c r="J1722" s="2" t="s">
        <v>1416</v>
      </c>
      <c r="K1722" s="2" t="s">
        <v>1420</v>
      </c>
    </row>
    <row r="1723" spans="1:11" x14ac:dyDescent="0.2">
      <c r="A1723" s="3" t="s">
        <v>1158</v>
      </c>
      <c r="B1723" s="3" t="s">
        <v>1163</v>
      </c>
      <c r="C1723" s="3" t="s">
        <v>781</v>
      </c>
      <c r="D1723" s="3" t="s">
        <v>1421</v>
      </c>
      <c r="E1723" s="3" t="s">
        <v>1422</v>
      </c>
      <c r="F1723" s="3">
        <v>6.87</v>
      </c>
      <c r="G1723" s="3" t="s">
        <v>1415</v>
      </c>
      <c r="H1723" s="3">
        <v>0</v>
      </c>
      <c r="I1723" s="3">
        <v>5</v>
      </c>
      <c r="J1723" s="5" t="s">
        <v>1426</v>
      </c>
      <c r="K1723" s="3" t="s">
        <v>1420</v>
      </c>
    </row>
    <row r="1724" spans="1:11" x14ac:dyDescent="0.2">
      <c r="A1724" s="2" t="s">
        <v>1158</v>
      </c>
      <c r="B1724" s="2" t="s">
        <v>1163</v>
      </c>
      <c r="C1724" s="2" t="s">
        <v>781</v>
      </c>
      <c r="D1724" s="2" t="s">
        <v>1427</v>
      </c>
      <c r="E1724" s="2" t="s">
        <v>1428</v>
      </c>
      <c r="F1724" s="2">
        <v>16.52</v>
      </c>
      <c r="G1724" s="2" t="s">
        <v>1429</v>
      </c>
      <c r="H1724" s="2">
        <v>4</v>
      </c>
      <c r="I1724" s="2">
        <v>11</v>
      </c>
      <c r="J1724" s="5" t="s">
        <v>1426</v>
      </c>
      <c r="K1724" s="2" t="s">
        <v>1420</v>
      </c>
    </row>
    <row r="1725" spans="1:11" x14ac:dyDescent="0.2">
      <c r="A1725" s="3" t="s">
        <v>1158</v>
      </c>
      <c r="B1725" s="3" t="s">
        <v>1163</v>
      </c>
      <c r="C1725" s="3" t="s">
        <v>781</v>
      </c>
      <c r="D1725" s="3" t="s">
        <v>1453</v>
      </c>
      <c r="E1725" s="3" t="s">
        <v>1454</v>
      </c>
      <c r="F1725" s="3">
        <v>6.1</v>
      </c>
      <c r="G1725" s="3" t="s">
        <v>1415</v>
      </c>
      <c r="H1725" s="3">
        <v>3.9</v>
      </c>
      <c r="I1725" s="3">
        <v>5.5</v>
      </c>
      <c r="J1725" s="5" t="s">
        <v>1426</v>
      </c>
      <c r="K1725" s="3" t="s">
        <v>1420</v>
      </c>
    </row>
    <row r="1726" spans="1:11" x14ac:dyDescent="0.2">
      <c r="A1726" s="2" t="s">
        <v>1164</v>
      </c>
      <c r="B1726" s="2" t="s">
        <v>1165</v>
      </c>
      <c r="C1726" s="2" t="s">
        <v>997</v>
      </c>
      <c r="D1726" s="2" t="s">
        <v>1453</v>
      </c>
      <c r="E1726" s="2" t="s">
        <v>1454</v>
      </c>
      <c r="F1726" s="2">
        <v>5.21</v>
      </c>
      <c r="G1726" s="2" t="s">
        <v>1415</v>
      </c>
      <c r="H1726" s="2">
        <v>3.9</v>
      </c>
      <c r="I1726" s="2">
        <v>5.5</v>
      </c>
      <c r="J1726" s="2" t="s">
        <v>1416</v>
      </c>
      <c r="K1726" s="2" t="s">
        <v>1417</v>
      </c>
    </row>
    <row r="1727" spans="1:11" x14ac:dyDescent="0.2">
      <c r="A1727" s="3" t="s">
        <v>1164</v>
      </c>
      <c r="B1727" s="3" t="s">
        <v>1165</v>
      </c>
      <c r="C1727" s="3" t="s">
        <v>997</v>
      </c>
      <c r="D1727" s="3" t="s">
        <v>1443</v>
      </c>
      <c r="E1727" s="3" t="s">
        <v>1444</v>
      </c>
      <c r="F1727" s="3">
        <v>63.86</v>
      </c>
      <c r="G1727" s="3" t="s">
        <v>1445</v>
      </c>
      <c r="H1727" s="3">
        <v>53</v>
      </c>
      <c r="I1727" s="3">
        <v>97</v>
      </c>
      <c r="J1727" s="3" t="s">
        <v>1416</v>
      </c>
      <c r="K1727" s="3" t="s">
        <v>1417</v>
      </c>
    </row>
    <row r="1728" spans="1:11" x14ac:dyDescent="0.2">
      <c r="A1728" s="2" t="s">
        <v>1164</v>
      </c>
      <c r="B1728" s="2" t="s">
        <v>1165</v>
      </c>
      <c r="C1728" s="2" t="s">
        <v>997</v>
      </c>
      <c r="D1728" s="2" t="s">
        <v>1455</v>
      </c>
      <c r="E1728" s="2" t="s">
        <v>1456</v>
      </c>
      <c r="F1728" s="2">
        <v>243</v>
      </c>
      <c r="G1728" s="2" t="s">
        <v>1457</v>
      </c>
      <c r="H1728" s="2">
        <v>40</v>
      </c>
      <c r="I1728" s="2">
        <v>130</v>
      </c>
      <c r="J1728" s="5" t="s">
        <v>1426</v>
      </c>
      <c r="K1728" s="2" t="s">
        <v>1434</v>
      </c>
    </row>
    <row r="1729" spans="1:11" x14ac:dyDescent="0.2">
      <c r="A1729" s="3" t="s">
        <v>1164</v>
      </c>
      <c r="B1729" s="3" t="s">
        <v>1165</v>
      </c>
      <c r="C1729" s="3" t="s">
        <v>997</v>
      </c>
      <c r="D1729" s="3" t="s">
        <v>1435</v>
      </c>
      <c r="E1729" s="3" t="s">
        <v>1436</v>
      </c>
      <c r="F1729" s="3">
        <v>1.8</v>
      </c>
      <c r="G1729" s="3" t="s">
        <v>1415</v>
      </c>
      <c r="H1729" s="3">
        <v>0.8</v>
      </c>
      <c r="I1729" s="3">
        <v>1.5</v>
      </c>
      <c r="J1729" s="5" t="s">
        <v>1426</v>
      </c>
      <c r="K1729" s="3" t="s">
        <v>1417</v>
      </c>
    </row>
    <row r="1730" spans="1:11" x14ac:dyDescent="0.2">
      <c r="A1730" s="2" t="s">
        <v>1164</v>
      </c>
      <c r="B1730" s="2" t="s">
        <v>1165</v>
      </c>
      <c r="C1730" s="2" t="s">
        <v>997</v>
      </c>
      <c r="D1730" s="2" t="s">
        <v>1448</v>
      </c>
      <c r="E1730" s="2" t="s">
        <v>1449</v>
      </c>
      <c r="F1730" s="2">
        <v>141.41</v>
      </c>
      <c r="G1730" s="2" t="s">
        <v>1415</v>
      </c>
      <c r="H1730" s="2">
        <v>136</v>
      </c>
      <c r="I1730" s="2">
        <v>145</v>
      </c>
      <c r="J1730" s="2" t="s">
        <v>1416</v>
      </c>
      <c r="K1730" s="2" t="s">
        <v>1417</v>
      </c>
    </row>
    <row r="1731" spans="1:11" x14ac:dyDescent="0.2">
      <c r="A1731" s="3" t="s">
        <v>1164</v>
      </c>
      <c r="B1731" s="3" t="s">
        <v>1167</v>
      </c>
      <c r="C1731" s="3" t="s">
        <v>1168</v>
      </c>
      <c r="D1731" s="3" t="s">
        <v>1427</v>
      </c>
      <c r="E1731" s="3" t="s">
        <v>1428</v>
      </c>
      <c r="F1731" s="3">
        <v>11.65</v>
      </c>
      <c r="G1731" s="3" t="s">
        <v>1429</v>
      </c>
      <c r="H1731" s="3">
        <v>4</v>
      </c>
      <c r="I1731" s="3">
        <v>11</v>
      </c>
      <c r="J1731" s="5" t="s">
        <v>1426</v>
      </c>
      <c r="K1731" s="3" t="s">
        <v>1434</v>
      </c>
    </row>
    <row r="1732" spans="1:11" x14ac:dyDescent="0.2">
      <c r="A1732" s="2" t="s">
        <v>1164</v>
      </c>
      <c r="B1732" s="2" t="s">
        <v>1167</v>
      </c>
      <c r="C1732" s="2" t="s">
        <v>1168</v>
      </c>
      <c r="D1732" s="2" t="s">
        <v>1446</v>
      </c>
      <c r="E1732" s="2" t="s">
        <v>1447</v>
      </c>
      <c r="F1732" s="2">
        <v>2.4900000000000002</v>
      </c>
      <c r="G1732" s="2" t="s">
        <v>1415</v>
      </c>
      <c r="H1732" s="2">
        <v>2.1</v>
      </c>
      <c r="I1732" s="2">
        <v>2.6</v>
      </c>
      <c r="J1732" s="2" t="s">
        <v>1416</v>
      </c>
      <c r="K1732" s="2" t="s">
        <v>1434</v>
      </c>
    </row>
    <row r="1733" spans="1:11" x14ac:dyDescent="0.2">
      <c r="A1733" s="3" t="s">
        <v>1164</v>
      </c>
      <c r="B1733" s="3" t="s">
        <v>1167</v>
      </c>
      <c r="C1733" s="3" t="s">
        <v>1168</v>
      </c>
      <c r="D1733" s="3" t="s">
        <v>1437</v>
      </c>
      <c r="E1733" s="3" t="s">
        <v>1438</v>
      </c>
      <c r="F1733" s="3">
        <v>18.57</v>
      </c>
      <c r="G1733" s="3" t="s">
        <v>1439</v>
      </c>
      <c r="H1733" s="3">
        <v>12</v>
      </c>
      <c r="I1733" s="3">
        <v>17.5</v>
      </c>
      <c r="J1733" s="5" t="s">
        <v>1426</v>
      </c>
      <c r="K1733" s="3" t="s">
        <v>1431</v>
      </c>
    </row>
    <row r="1734" spans="1:11" x14ac:dyDescent="0.2">
      <c r="A1734" s="2" t="s">
        <v>1164</v>
      </c>
      <c r="B1734" s="2" t="s">
        <v>1167</v>
      </c>
      <c r="C1734" s="2" t="s">
        <v>1168</v>
      </c>
      <c r="D1734" s="2" t="s">
        <v>1418</v>
      </c>
      <c r="E1734" s="2" t="s">
        <v>1419</v>
      </c>
      <c r="F1734" s="2">
        <v>4.03</v>
      </c>
      <c r="G1734" s="2" t="s">
        <v>1415</v>
      </c>
      <c r="H1734" s="2">
        <v>3.5</v>
      </c>
      <c r="I1734" s="2">
        <v>5</v>
      </c>
      <c r="J1734" s="2" t="s">
        <v>1416</v>
      </c>
      <c r="K1734" s="2" t="s">
        <v>1417</v>
      </c>
    </row>
    <row r="1735" spans="1:11" x14ac:dyDescent="0.2">
      <c r="A1735" s="3" t="s">
        <v>1164</v>
      </c>
      <c r="B1735" s="3" t="s">
        <v>1167</v>
      </c>
      <c r="C1735" s="3" t="s">
        <v>1168</v>
      </c>
      <c r="D1735" s="3" t="s">
        <v>1443</v>
      </c>
      <c r="E1735" s="3" t="s">
        <v>1444</v>
      </c>
      <c r="F1735" s="3">
        <v>87.61</v>
      </c>
      <c r="G1735" s="3" t="s">
        <v>1445</v>
      </c>
      <c r="H1735" s="3">
        <v>53</v>
      </c>
      <c r="I1735" s="3">
        <v>97</v>
      </c>
      <c r="J1735" s="3" t="s">
        <v>1416</v>
      </c>
      <c r="K1735" s="3" t="s">
        <v>1434</v>
      </c>
    </row>
    <row r="1736" spans="1:11" x14ac:dyDescent="0.2">
      <c r="A1736" s="2" t="s">
        <v>1164</v>
      </c>
      <c r="B1736" s="2" t="s">
        <v>1167</v>
      </c>
      <c r="C1736" s="2" t="s">
        <v>1168</v>
      </c>
      <c r="D1736" s="2" t="s">
        <v>1423</v>
      </c>
      <c r="E1736" s="2" t="s">
        <v>1424</v>
      </c>
      <c r="F1736" s="2">
        <v>4.04</v>
      </c>
      <c r="G1736" s="2" t="s">
        <v>1425</v>
      </c>
      <c r="H1736" s="2">
        <v>4.5</v>
      </c>
      <c r="I1736" s="2">
        <v>5.5</v>
      </c>
      <c r="J1736" s="5" t="s">
        <v>1430</v>
      </c>
      <c r="K1736" s="2" t="s">
        <v>1417</v>
      </c>
    </row>
    <row r="1737" spans="1:11" x14ac:dyDescent="0.2">
      <c r="A1737" s="3" t="s">
        <v>1164</v>
      </c>
      <c r="B1737" s="3" t="s">
        <v>1167</v>
      </c>
      <c r="C1737" s="3" t="s">
        <v>1168</v>
      </c>
      <c r="D1737" s="3" t="s">
        <v>1453</v>
      </c>
      <c r="E1737" s="3" t="s">
        <v>1454</v>
      </c>
      <c r="F1737" s="3">
        <v>8.26</v>
      </c>
      <c r="G1737" s="3" t="s">
        <v>1415</v>
      </c>
      <c r="H1737" s="3">
        <v>3.9</v>
      </c>
      <c r="I1737" s="3">
        <v>5.5</v>
      </c>
      <c r="J1737" s="5" t="s">
        <v>1426</v>
      </c>
      <c r="K1737" s="3" t="s">
        <v>1434</v>
      </c>
    </row>
    <row r="1738" spans="1:11" x14ac:dyDescent="0.2">
      <c r="A1738" s="2" t="s">
        <v>1164</v>
      </c>
      <c r="B1738" s="2" t="s">
        <v>1170</v>
      </c>
      <c r="C1738" s="2" t="s">
        <v>188</v>
      </c>
      <c r="D1738" s="2" t="s">
        <v>1446</v>
      </c>
      <c r="E1738" s="2" t="s">
        <v>1447</v>
      </c>
      <c r="F1738" s="2">
        <v>2.06</v>
      </c>
      <c r="G1738" s="2" t="s">
        <v>1415</v>
      </c>
      <c r="H1738" s="2">
        <v>2.1</v>
      </c>
      <c r="I1738" s="2">
        <v>2.6</v>
      </c>
      <c r="J1738" s="5" t="s">
        <v>1430</v>
      </c>
      <c r="K1738" s="2" t="s">
        <v>1431</v>
      </c>
    </row>
    <row r="1739" spans="1:11" x14ac:dyDescent="0.2">
      <c r="A1739" s="3" t="s">
        <v>1164</v>
      </c>
      <c r="B1739" s="3" t="s">
        <v>1170</v>
      </c>
      <c r="C1739" s="3" t="s">
        <v>188</v>
      </c>
      <c r="D1739" s="3" t="s">
        <v>1450</v>
      </c>
      <c r="E1739" s="3" t="s">
        <v>1451</v>
      </c>
      <c r="F1739" s="3">
        <v>17.78</v>
      </c>
      <c r="G1739" s="3" t="s">
        <v>1452</v>
      </c>
      <c r="H1739" s="3">
        <v>60</v>
      </c>
      <c r="I1739" s="3">
        <v>120</v>
      </c>
      <c r="J1739" s="5" t="s">
        <v>1430</v>
      </c>
      <c r="K1739" s="3" t="s">
        <v>1420</v>
      </c>
    </row>
    <row r="1740" spans="1:11" x14ac:dyDescent="0.2">
      <c r="A1740" s="2" t="s">
        <v>1164</v>
      </c>
      <c r="B1740" s="2" t="s">
        <v>1170</v>
      </c>
      <c r="C1740" s="2" t="s">
        <v>188</v>
      </c>
      <c r="D1740" s="2" t="s">
        <v>1437</v>
      </c>
      <c r="E1740" s="2" t="s">
        <v>1438</v>
      </c>
      <c r="F1740" s="2">
        <v>7.28</v>
      </c>
      <c r="G1740" s="2" t="s">
        <v>1439</v>
      </c>
      <c r="H1740" s="2">
        <v>12</v>
      </c>
      <c r="I1740" s="2">
        <v>17.5</v>
      </c>
      <c r="J1740" s="5" t="s">
        <v>1430</v>
      </c>
      <c r="K1740" s="2" t="s">
        <v>1417</v>
      </c>
    </row>
    <row r="1741" spans="1:11" x14ac:dyDescent="0.2">
      <c r="A1741" s="3" t="s">
        <v>1164</v>
      </c>
      <c r="B1741" s="3" t="s">
        <v>1170</v>
      </c>
      <c r="C1741" s="3" t="s">
        <v>188</v>
      </c>
      <c r="D1741" s="3" t="s">
        <v>1435</v>
      </c>
      <c r="E1741" s="3" t="s">
        <v>1436</v>
      </c>
      <c r="F1741" s="3">
        <v>1.54</v>
      </c>
      <c r="G1741" s="3" t="s">
        <v>1415</v>
      </c>
      <c r="H1741" s="3">
        <v>0.8</v>
      </c>
      <c r="I1741" s="3">
        <v>1.5</v>
      </c>
      <c r="J1741" s="5" t="s">
        <v>1426</v>
      </c>
      <c r="K1741" s="3" t="s">
        <v>1417</v>
      </c>
    </row>
    <row r="1742" spans="1:11" x14ac:dyDescent="0.2">
      <c r="A1742" s="2" t="s">
        <v>1164</v>
      </c>
      <c r="B1742" s="2" t="s">
        <v>1170</v>
      </c>
      <c r="C1742" s="2" t="s">
        <v>188</v>
      </c>
      <c r="D1742" s="2" t="s">
        <v>1418</v>
      </c>
      <c r="E1742" s="2" t="s">
        <v>1419</v>
      </c>
      <c r="F1742" s="2">
        <v>5.15</v>
      </c>
      <c r="G1742" s="2" t="s">
        <v>1415</v>
      </c>
      <c r="H1742" s="2">
        <v>3.5</v>
      </c>
      <c r="I1742" s="2">
        <v>5</v>
      </c>
      <c r="J1742" s="5" t="s">
        <v>1426</v>
      </c>
      <c r="K1742" s="2" t="s">
        <v>1420</v>
      </c>
    </row>
    <row r="1743" spans="1:11" x14ac:dyDescent="0.2">
      <c r="A1743" s="3" t="s">
        <v>1164</v>
      </c>
      <c r="B1743" s="3" t="s">
        <v>1170</v>
      </c>
      <c r="C1743" s="3" t="s">
        <v>188</v>
      </c>
      <c r="D1743" s="3" t="s">
        <v>1443</v>
      </c>
      <c r="E1743" s="3" t="s">
        <v>1444</v>
      </c>
      <c r="F1743" s="3">
        <v>69.34</v>
      </c>
      <c r="G1743" s="3" t="s">
        <v>1445</v>
      </c>
      <c r="H1743" s="3">
        <v>53</v>
      </c>
      <c r="I1743" s="3">
        <v>97</v>
      </c>
      <c r="J1743" s="3" t="s">
        <v>1416</v>
      </c>
      <c r="K1743" s="3" t="s">
        <v>1420</v>
      </c>
    </row>
    <row r="1744" spans="1:11" x14ac:dyDescent="0.2">
      <c r="A1744" s="2" t="s">
        <v>1172</v>
      </c>
      <c r="B1744" s="2" t="s">
        <v>1173</v>
      </c>
      <c r="C1744" s="2" t="s">
        <v>1174</v>
      </c>
      <c r="D1744" s="2" t="s">
        <v>1421</v>
      </c>
      <c r="E1744" s="2" t="s">
        <v>1422</v>
      </c>
      <c r="F1744" s="2">
        <v>5.33</v>
      </c>
      <c r="G1744" s="2" t="s">
        <v>1415</v>
      </c>
      <c r="H1744" s="2">
        <v>0</v>
      </c>
      <c r="I1744" s="2">
        <v>5</v>
      </c>
      <c r="J1744" s="5" t="s">
        <v>1426</v>
      </c>
      <c r="K1744" s="2" t="s">
        <v>1420</v>
      </c>
    </row>
    <row r="1745" spans="1:11" x14ac:dyDescent="0.2">
      <c r="A1745" s="3" t="s">
        <v>1172</v>
      </c>
      <c r="B1745" s="3" t="s">
        <v>1173</v>
      </c>
      <c r="C1745" s="3" t="s">
        <v>1174</v>
      </c>
      <c r="D1745" s="3" t="s">
        <v>1413</v>
      </c>
      <c r="E1745" s="3" t="s">
        <v>1414</v>
      </c>
      <c r="F1745" s="3">
        <v>1.85</v>
      </c>
      <c r="G1745" s="3" t="s">
        <v>1415</v>
      </c>
      <c r="H1745" s="3">
        <v>1</v>
      </c>
      <c r="I1745" s="3">
        <v>5</v>
      </c>
      <c r="J1745" s="3" t="s">
        <v>1416</v>
      </c>
      <c r="K1745" s="3" t="s">
        <v>1431</v>
      </c>
    </row>
    <row r="1746" spans="1:11" x14ac:dyDescent="0.2">
      <c r="A1746" s="2" t="s">
        <v>1172</v>
      </c>
      <c r="B1746" s="2" t="s">
        <v>1173</v>
      </c>
      <c r="C1746" s="2" t="s">
        <v>1174</v>
      </c>
      <c r="D1746" s="2" t="s">
        <v>1448</v>
      </c>
      <c r="E1746" s="2" t="s">
        <v>1449</v>
      </c>
      <c r="F1746" s="2">
        <v>136.13999999999999</v>
      </c>
      <c r="G1746" s="2" t="s">
        <v>1415</v>
      </c>
      <c r="H1746" s="2">
        <v>136</v>
      </c>
      <c r="I1746" s="2">
        <v>145</v>
      </c>
      <c r="J1746" s="2" t="s">
        <v>1416</v>
      </c>
      <c r="K1746" s="2" t="s">
        <v>1420</v>
      </c>
    </row>
    <row r="1747" spans="1:11" x14ac:dyDescent="0.2">
      <c r="A1747" s="3" t="s">
        <v>1172</v>
      </c>
      <c r="B1747" s="3" t="s">
        <v>1173</v>
      </c>
      <c r="C1747" s="3" t="s">
        <v>1174</v>
      </c>
      <c r="D1747" s="3" t="s">
        <v>1443</v>
      </c>
      <c r="E1747" s="3" t="s">
        <v>1444</v>
      </c>
      <c r="F1747" s="3">
        <v>84.63</v>
      </c>
      <c r="G1747" s="3" t="s">
        <v>1445</v>
      </c>
      <c r="H1747" s="3">
        <v>53</v>
      </c>
      <c r="I1747" s="3">
        <v>97</v>
      </c>
      <c r="J1747" s="3" t="s">
        <v>1416</v>
      </c>
      <c r="K1747" s="3" t="s">
        <v>1420</v>
      </c>
    </row>
    <row r="1748" spans="1:11" x14ac:dyDescent="0.2">
      <c r="A1748" s="2" t="s">
        <v>1172</v>
      </c>
      <c r="B1748" s="2" t="s">
        <v>1173</v>
      </c>
      <c r="C1748" s="2" t="s">
        <v>1174</v>
      </c>
      <c r="D1748" s="2" t="s">
        <v>1432</v>
      </c>
      <c r="E1748" s="2" t="s">
        <v>1433</v>
      </c>
      <c r="F1748" s="2">
        <v>4.17</v>
      </c>
      <c r="G1748" s="2" t="s">
        <v>1415</v>
      </c>
      <c r="H1748" s="2">
        <v>0</v>
      </c>
      <c r="I1748" s="2">
        <v>3</v>
      </c>
      <c r="J1748" s="5" t="s">
        <v>1426</v>
      </c>
      <c r="K1748" s="2" t="s">
        <v>1431</v>
      </c>
    </row>
    <row r="1749" spans="1:11" x14ac:dyDescent="0.2">
      <c r="A1749" s="3" t="s">
        <v>1172</v>
      </c>
      <c r="B1749" s="3" t="s">
        <v>1176</v>
      </c>
      <c r="C1749" s="3" t="s">
        <v>769</v>
      </c>
      <c r="D1749" s="3" t="s">
        <v>1446</v>
      </c>
      <c r="E1749" s="3" t="s">
        <v>1447</v>
      </c>
      <c r="F1749" s="3">
        <v>2.69</v>
      </c>
      <c r="G1749" s="3" t="s">
        <v>1415</v>
      </c>
      <c r="H1749" s="3">
        <v>2.1</v>
      </c>
      <c r="I1749" s="3">
        <v>2.6</v>
      </c>
      <c r="J1749" s="5" t="s">
        <v>1426</v>
      </c>
      <c r="K1749" s="3" t="s">
        <v>1431</v>
      </c>
    </row>
    <row r="1750" spans="1:11" x14ac:dyDescent="0.2">
      <c r="A1750" s="2" t="s">
        <v>1172</v>
      </c>
      <c r="B1750" s="2" t="s">
        <v>1176</v>
      </c>
      <c r="C1750" s="2" t="s">
        <v>769</v>
      </c>
      <c r="D1750" s="2" t="s">
        <v>1453</v>
      </c>
      <c r="E1750" s="2" t="s">
        <v>1454</v>
      </c>
      <c r="F1750" s="2">
        <v>5.58</v>
      </c>
      <c r="G1750" s="2" t="s">
        <v>1415</v>
      </c>
      <c r="H1750" s="2">
        <v>3.9</v>
      </c>
      <c r="I1750" s="2">
        <v>5.5</v>
      </c>
      <c r="J1750" s="5" t="s">
        <v>1426</v>
      </c>
      <c r="K1750" s="2" t="s">
        <v>1420</v>
      </c>
    </row>
    <row r="1751" spans="1:11" x14ac:dyDescent="0.2">
      <c r="A1751" s="3" t="s">
        <v>1172</v>
      </c>
      <c r="B1751" s="3" t="s">
        <v>1176</v>
      </c>
      <c r="C1751" s="3" t="s">
        <v>769</v>
      </c>
      <c r="D1751" s="3" t="s">
        <v>1432</v>
      </c>
      <c r="E1751" s="3" t="s">
        <v>1433</v>
      </c>
      <c r="F1751" s="3">
        <v>1.58</v>
      </c>
      <c r="G1751" s="3" t="s">
        <v>1415</v>
      </c>
      <c r="H1751" s="3">
        <v>0</v>
      </c>
      <c r="I1751" s="3">
        <v>3</v>
      </c>
      <c r="J1751" s="3" t="s">
        <v>1416</v>
      </c>
      <c r="K1751" s="3" t="s">
        <v>1434</v>
      </c>
    </row>
    <row r="1752" spans="1:11" x14ac:dyDescent="0.2">
      <c r="A1752" s="2" t="s">
        <v>1172</v>
      </c>
      <c r="B1752" s="2" t="s">
        <v>1176</v>
      </c>
      <c r="C1752" s="2" t="s">
        <v>769</v>
      </c>
      <c r="D1752" s="2" t="s">
        <v>1450</v>
      </c>
      <c r="E1752" s="2" t="s">
        <v>1451</v>
      </c>
      <c r="F1752" s="2">
        <v>88.54</v>
      </c>
      <c r="G1752" s="2" t="s">
        <v>1452</v>
      </c>
      <c r="H1752" s="2">
        <v>60</v>
      </c>
      <c r="I1752" s="2">
        <v>120</v>
      </c>
      <c r="J1752" s="2" t="s">
        <v>1416</v>
      </c>
      <c r="K1752" s="2" t="s">
        <v>1420</v>
      </c>
    </row>
    <row r="1753" spans="1:11" x14ac:dyDescent="0.2">
      <c r="A1753" s="3" t="s">
        <v>1172</v>
      </c>
      <c r="B1753" s="3" t="s">
        <v>1176</v>
      </c>
      <c r="C1753" s="3" t="s">
        <v>769</v>
      </c>
      <c r="D1753" s="3" t="s">
        <v>1423</v>
      </c>
      <c r="E1753" s="3" t="s">
        <v>1424</v>
      </c>
      <c r="F1753" s="3">
        <v>4.87</v>
      </c>
      <c r="G1753" s="3" t="s">
        <v>1425</v>
      </c>
      <c r="H1753" s="3">
        <v>4.5</v>
      </c>
      <c r="I1753" s="3">
        <v>5.5</v>
      </c>
      <c r="J1753" s="3" t="s">
        <v>1416</v>
      </c>
      <c r="K1753" s="3" t="s">
        <v>1431</v>
      </c>
    </row>
    <row r="1754" spans="1:11" x14ac:dyDescent="0.2">
      <c r="A1754" s="2" t="s">
        <v>1172</v>
      </c>
      <c r="B1754" s="2" t="s">
        <v>1176</v>
      </c>
      <c r="C1754" s="2" t="s">
        <v>769</v>
      </c>
      <c r="D1754" s="2" t="s">
        <v>1427</v>
      </c>
      <c r="E1754" s="2" t="s">
        <v>1428</v>
      </c>
      <c r="F1754" s="2">
        <v>14.23</v>
      </c>
      <c r="G1754" s="2" t="s">
        <v>1429</v>
      </c>
      <c r="H1754" s="2">
        <v>4</v>
      </c>
      <c r="I1754" s="2">
        <v>11</v>
      </c>
      <c r="J1754" s="5" t="s">
        <v>1426</v>
      </c>
      <c r="K1754" s="2" t="s">
        <v>1431</v>
      </c>
    </row>
    <row r="1755" spans="1:11" x14ac:dyDescent="0.2">
      <c r="A1755" s="3" t="s">
        <v>1172</v>
      </c>
      <c r="B1755" s="3" t="s">
        <v>1178</v>
      </c>
      <c r="C1755" s="3" t="s">
        <v>1179</v>
      </c>
      <c r="D1755" s="3" t="s">
        <v>1446</v>
      </c>
      <c r="E1755" s="3" t="s">
        <v>1447</v>
      </c>
      <c r="F1755" s="3">
        <v>2.77</v>
      </c>
      <c r="G1755" s="3" t="s">
        <v>1415</v>
      </c>
      <c r="H1755" s="3">
        <v>2.1</v>
      </c>
      <c r="I1755" s="3">
        <v>2.6</v>
      </c>
      <c r="J1755" s="5" t="s">
        <v>1426</v>
      </c>
      <c r="K1755" s="3" t="s">
        <v>1420</v>
      </c>
    </row>
    <row r="1756" spans="1:11" x14ac:dyDescent="0.2">
      <c r="A1756" s="2" t="s">
        <v>1172</v>
      </c>
      <c r="B1756" s="2" t="s">
        <v>1178</v>
      </c>
      <c r="C1756" s="2" t="s">
        <v>1179</v>
      </c>
      <c r="D1756" s="2" t="s">
        <v>1435</v>
      </c>
      <c r="E1756" s="2" t="s">
        <v>1436</v>
      </c>
      <c r="F1756" s="2">
        <v>1.48</v>
      </c>
      <c r="G1756" s="2" t="s">
        <v>1415</v>
      </c>
      <c r="H1756" s="2">
        <v>0.8</v>
      </c>
      <c r="I1756" s="2">
        <v>1.5</v>
      </c>
      <c r="J1756" s="2" t="s">
        <v>1416</v>
      </c>
      <c r="K1756" s="2" t="s">
        <v>1431</v>
      </c>
    </row>
    <row r="1757" spans="1:11" x14ac:dyDescent="0.2">
      <c r="A1757" s="3" t="s">
        <v>1172</v>
      </c>
      <c r="B1757" s="3" t="s">
        <v>1178</v>
      </c>
      <c r="C1757" s="3" t="s">
        <v>1179</v>
      </c>
      <c r="D1757" s="3" t="s">
        <v>1448</v>
      </c>
      <c r="E1757" s="3" t="s">
        <v>1449</v>
      </c>
      <c r="F1757" s="3">
        <v>137.84</v>
      </c>
      <c r="G1757" s="3" t="s">
        <v>1415</v>
      </c>
      <c r="H1757" s="3">
        <v>136</v>
      </c>
      <c r="I1757" s="3">
        <v>145</v>
      </c>
      <c r="J1757" s="3" t="s">
        <v>1416</v>
      </c>
      <c r="K1757" s="3" t="s">
        <v>1434</v>
      </c>
    </row>
    <row r="1758" spans="1:11" x14ac:dyDescent="0.2">
      <c r="A1758" s="2" t="s">
        <v>1172</v>
      </c>
      <c r="B1758" s="2" t="s">
        <v>1178</v>
      </c>
      <c r="C1758" s="2" t="s">
        <v>1179</v>
      </c>
      <c r="D1758" s="2" t="s">
        <v>1432</v>
      </c>
      <c r="E1758" s="2" t="s">
        <v>1433</v>
      </c>
      <c r="F1758" s="2">
        <v>1.92</v>
      </c>
      <c r="G1758" s="2" t="s">
        <v>1415</v>
      </c>
      <c r="H1758" s="2">
        <v>0</v>
      </c>
      <c r="I1758" s="2">
        <v>3</v>
      </c>
      <c r="J1758" s="2" t="s">
        <v>1416</v>
      </c>
      <c r="K1758" s="2" t="s">
        <v>1420</v>
      </c>
    </row>
    <row r="1759" spans="1:11" x14ac:dyDescent="0.2">
      <c r="A1759" s="3" t="s">
        <v>1172</v>
      </c>
      <c r="B1759" s="3" t="s">
        <v>1178</v>
      </c>
      <c r="C1759" s="3" t="s">
        <v>1179</v>
      </c>
      <c r="D1759" s="3" t="s">
        <v>1455</v>
      </c>
      <c r="E1759" s="3" t="s">
        <v>1456</v>
      </c>
      <c r="F1759" s="3">
        <v>320.83</v>
      </c>
      <c r="G1759" s="3" t="s">
        <v>1457</v>
      </c>
      <c r="H1759" s="3">
        <v>40</v>
      </c>
      <c r="I1759" s="3">
        <v>130</v>
      </c>
      <c r="J1759" s="5" t="s">
        <v>1426</v>
      </c>
      <c r="K1759" s="3" t="s">
        <v>1420</v>
      </c>
    </row>
    <row r="1760" spans="1:11" x14ac:dyDescent="0.2">
      <c r="A1760" s="2" t="s">
        <v>1181</v>
      </c>
      <c r="B1760" s="2" t="s">
        <v>1182</v>
      </c>
      <c r="C1760" s="2" t="s">
        <v>822</v>
      </c>
      <c r="D1760" s="2" t="s">
        <v>1427</v>
      </c>
      <c r="E1760" s="2" t="s">
        <v>1428</v>
      </c>
      <c r="F1760" s="2">
        <v>3.9</v>
      </c>
      <c r="G1760" s="2" t="s">
        <v>1429</v>
      </c>
      <c r="H1760" s="2">
        <v>4</v>
      </c>
      <c r="I1760" s="2">
        <v>11</v>
      </c>
      <c r="J1760" s="5" t="s">
        <v>1430</v>
      </c>
      <c r="K1760" s="2" t="s">
        <v>1417</v>
      </c>
    </row>
    <row r="1761" spans="1:11" x14ac:dyDescent="0.2">
      <c r="A1761" s="3" t="s">
        <v>1181</v>
      </c>
      <c r="B1761" s="3" t="s">
        <v>1182</v>
      </c>
      <c r="C1761" s="3" t="s">
        <v>822</v>
      </c>
      <c r="D1761" s="3" t="s">
        <v>1440</v>
      </c>
      <c r="E1761" s="3" t="s">
        <v>1441</v>
      </c>
      <c r="F1761" s="3">
        <v>10.54</v>
      </c>
      <c r="G1761" s="3" t="s">
        <v>1442</v>
      </c>
      <c r="H1761" s="3">
        <v>4</v>
      </c>
      <c r="I1761" s="3">
        <v>5.6</v>
      </c>
      <c r="J1761" s="5" t="s">
        <v>1426</v>
      </c>
      <c r="K1761" s="3" t="s">
        <v>1431</v>
      </c>
    </row>
    <row r="1762" spans="1:11" x14ac:dyDescent="0.2">
      <c r="A1762" s="2" t="s">
        <v>1181</v>
      </c>
      <c r="B1762" s="2" t="s">
        <v>1182</v>
      </c>
      <c r="C1762" s="2" t="s">
        <v>822</v>
      </c>
      <c r="D1762" s="2" t="s">
        <v>1418</v>
      </c>
      <c r="E1762" s="2" t="s">
        <v>1419</v>
      </c>
      <c r="F1762" s="2">
        <v>4.8499999999999996</v>
      </c>
      <c r="G1762" s="2" t="s">
        <v>1415</v>
      </c>
      <c r="H1762" s="2">
        <v>3.5</v>
      </c>
      <c r="I1762" s="2">
        <v>5</v>
      </c>
      <c r="J1762" s="2" t="s">
        <v>1416</v>
      </c>
      <c r="K1762" s="2" t="s">
        <v>1420</v>
      </c>
    </row>
    <row r="1763" spans="1:11" x14ac:dyDescent="0.2">
      <c r="A1763" s="3" t="s">
        <v>1181</v>
      </c>
      <c r="B1763" s="3" t="s">
        <v>1182</v>
      </c>
      <c r="C1763" s="3" t="s">
        <v>822</v>
      </c>
      <c r="D1763" s="3" t="s">
        <v>1423</v>
      </c>
      <c r="E1763" s="3" t="s">
        <v>1424</v>
      </c>
      <c r="F1763" s="3">
        <v>4.1900000000000004</v>
      </c>
      <c r="G1763" s="3" t="s">
        <v>1425</v>
      </c>
      <c r="H1763" s="3">
        <v>4.5</v>
      </c>
      <c r="I1763" s="3">
        <v>5.5</v>
      </c>
      <c r="J1763" s="5" t="s">
        <v>1430</v>
      </c>
      <c r="K1763" s="3" t="s">
        <v>1417</v>
      </c>
    </row>
    <row r="1764" spans="1:11" x14ac:dyDescent="0.2">
      <c r="A1764" s="2" t="s">
        <v>1181</v>
      </c>
      <c r="B1764" s="2" t="s">
        <v>1182</v>
      </c>
      <c r="C1764" s="2" t="s">
        <v>822</v>
      </c>
      <c r="D1764" s="2" t="s">
        <v>1453</v>
      </c>
      <c r="E1764" s="2" t="s">
        <v>1454</v>
      </c>
      <c r="F1764" s="2">
        <v>4.5199999999999996</v>
      </c>
      <c r="G1764" s="2" t="s">
        <v>1415</v>
      </c>
      <c r="H1764" s="2">
        <v>3.9</v>
      </c>
      <c r="I1764" s="2">
        <v>5.5</v>
      </c>
      <c r="J1764" s="2" t="s">
        <v>1416</v>
      </c>
      <c r="K1764" s="2" t="s">
        <v>1420</v>
      </c>
    </row>
    <row r="1765" spans="1:11" x14ac:dyDescent="0.2">
      <c r="A1765" s="3" t="s">
        <v>1181</v>
      </c>
      <c r="B1765" s="3" t="s">
        <v>1182</v>
      </c>
      <c r="C1765" s="3" t="s">
        <v>822</v>
      </c>
      <c r="D1765" s="3" t="s">
        <v>1421</v>
      </c>
      <c r="E1765" s="3" t="s">
        <v>1422</v>
      </c>
      <c r="F1765" s="3">
        <v>5.95</v>
      </c>
      <c r="G1765" s="3" t="s">
        <v>1415</v>
      </c>
      <c r="H1765" s="3">
        <v>0</v>
      </c>
      <c r="I1765" s="3">
        <v>5</v>
      </c>
      <c r="J1765" s="5" t="s">
        <v>1426</v>
      </c>
      <c r="K1765" s="3" t="s">
        <v>1434</v>
      </c>
    </row>
    <row r="1766" spans="1:11" x14ac:dyDescent="0.2">
      <c r="A1766" s="2" t="s">
        <v>1181</v>
      </c>
      <c r="B1766" s="2" t="s">
        <v>1182</v>
      </c>
      <c r="C1766" s="2" t="s">
        <v>822</v>
      </c>
      <c r="D1766" s="2" t="s">
        <v>1437</v>
      </c>
      <c r="E1766" s="2" t="s">
        <v>1438</v>
      </c>
      <c r="F1766" s="2">
        <v>10.210000000000001</v>
      </c>
      <c r="G1766" s="2" t="s">
        <v>1439</v>
      </c>
      <c r="H1766" s="2">
        <v>12</v>
      </c>
      <c r="I1766" s="2">
        <v>17.5</v>
      </c>
      <c r="J1766" s="5" t="s">
        <v>1430</v>
      </c>
      <c r="K1766" s="2" t="s">
        <v>1431</v>
      </c>
    </row>
    <row r="1767" spans="1:11" x14ac:dyDescent="0.2">
      <c r="A1767" s="3" t="s">
        <v>1184</v>
      </c>
      <c r="B1767" s="3" t="s">
        <v>1185</v>
      </c>
      <c r="C1767" s="3" t="s">
        <v>1186</v>
      </c>
      <c r="D1767" s="3" t="s">
        <v>1446</v>
      </c>
      <c r="E1767" s="3" t="s">
        <v>1447</v>
      </c>
      <c r="F1767" s="3">
        <v>1.83</v>
      </c>
      <c r="G1767" s="3" t="s">
        <v>1415</v>
      </c>
      <c r="H1767" s="3">
        <v>2.1</v>
      </c>
      <c r="I1767" s="3">
        <v>2.6</v>
      </c>
      <c r="J1767" s="5" t="s">
        <v>1430</v>
      </c>
      <c r="K1767" s="3" t="s">
        <v>1431</v>
      </c>
    </row>
    <row r="1768" spans="1:11" x14ac:dyDescent="0.2">
      <c r="A1768" s="2" t="s">
        <v>1184</v>
      </c>
      <c r="B1768" s="2" t="s">
        <v>1185</v>
      </c>
      <c r="C1768" s="2" t="s">
        <v>1186</v>
      </c>
      <c r="D1768" s="2" t="s">
        <v>1443</v>
      </c>
      <c r="E1768" s="2" t="s">
        <v>1444</v>
      </c>
      <c r="F1768" s="2">
        <v>88.33</v>
      </c>
      <c r="G1768" s="2" t="s">
        <v>1445</v>
      </c>
      <c r="H1768" s="2">
        <v>53</v>
      </c>
      <c r="I1768" s="2">
        <v>97</v>
      </c>
      <c r="J1768" s="2" t="s">
        <v>1416</v>
      </c>
      <c r="K1768" s="2" t="s">
        <v>1431</v>
      </c>
    </row>
    <row r="1769" spans="1:11" x14ac:dyDescent="0.2">
      <c r="A1769" s="3" t="s">
        <v>1184</v>
      </c>
      <c r="B1769" s="3" t="s">
        <v>1185</v>
      </c>
      <c r="C1769" s="3" t="s">
        <v>1186</v>
      </c>
      <c r="D1769" s="3" t="s">
        <v>1421</v>
      </c>
      <c r="E1769" s="3" t="s">
        <v>1422</v>
      </c>
      <c r="F1769" s="3">
        <v>4.4800000000000004</v>
      </c>
      <c r="G1769" s="3" t="s">
        <v>1415</v>
      </c>
      <c r="H1769" s="3">
        <v>0</v>
      </c>
      <c r="I1769" s="3">
        <v>5</v>
      </c>
      <c r="J1769" s="3" t="s">
        <v>1416</v>
      </c>
      <c r="K1769" s="3" t="s">
        <v>1431</v>
      </c>
    </row>
    <row r="1770" spans="1:11" x14ac:dyDescent="0.2">
      <c r="A1770" s="2" t="s">
        <v>1184</v>
      </c>
      <c r="B1770" s="2" t="s">
        <v>1185</v>
      </c>
      <c r="C1770" s="2" t="s">
        <v>1186</v>
      </c>
      <c r="D1770" s="2" t="s">
        <v>1427</v>
      </c>
      <c r="E1770" s="2" t="s">
        <v>1428</v>
      </c>
      <c r="F1770" s="2">
        <v>9.33</v>
      </c>
      <c r="G1770" s="2" t="s">
        <v>1429</v>
      </c>
      <c r="H1770" s="2">
        <v>4</v>
      </c>
      <c r="I1770" s="2">
        <v>11</v>
      </c>
      <c r="J1770" s="2" t="s">
        <v>1416</v>
      </c>
      <c r="K1770" s="2" t="s">
        <v>1431</v>
      </c>
    </row>
    <row r="1771" spans="1:11" x14ac:dyDescent="0.2">
      <c r="A1771" s="3" t="s">
        <v>1184</v>
      </c>
      <c r="B1771" s="3" t="s">
        <v>1185</v>
      </c>
      <c r="C1771" s="3" t="s">
        <v>1186</v>
      </c>
      <c r="D1771" s="3" t="s">
        <v>1440</v>
      </c>
      <c r="E1771" s="3" t="s">
        <v>1441</v>
      </c>
      <c r="F1771" s="3">
        <v>5.94</v>
      </c>
      <c r="G1771" s="3" t="s">
        <v>1442</v>
      </c>
      <c r="H1771" s="3">
        <v>4</v>
      </c>
      <c r="I1771" s="3">
        <v>5.6</v>
      </c>
      <c r="J1771" s="5" t="s">
        <v>1426</v>
      </c>
      <c r="K1771" s="3" t="s">
        <v>1420</v>
      </c>
    </row>
    <row r="1772" spans="1:11" x14ac:dyDescent="0.2">
      <c r="A1772" s="2" t="s">
        <v>1184</v>
      </c>
      <c r="B1772" s="2" t="s">
        <v>1185</v>
      </c>
      <c r="C1772" s="2" t="s">
        <v>1186</v>
      </c>
      <c r="D1772" s="2" t="s">
        <v>1413</v>
      </c>
      <c r="E1772" s="2" t="s">
        <v>1414</v>
      </c>
      <c r="F1772" s="2">
        <v>1.07</v>
      </c>
      <c r="G1772" s="2" t="s">
        <v>1415</v>
      </c>
      <c r="H1772" s="2">
        <v>1</v>
      </c>
      <c r="I1772" s="2">
        <v>5</v>
      </c>
      <c r="J1772" s="2" t="s">
        <v>1416</v>
      </c>
      <c r="K1772" s="2" t="s">
        <v>1434</v>
      </c>
    </row>
    <row r="1773" spans="1:11" x14ac:dyDescent="0.2">
      <c r="A1773" s="3" t="s">
        <v>1184</v>
      </c>
      <c r="B1773" s="3" t="s">
        <v>1189</v>
      </c>
      <c r="C1773" s="3" t="s">
        <v>200</v>
      </c>
      <c r="D1773" s="3" t="s">
        <v>1448</v>
      </c>
      <c r="E1773" s="3" t="s">
        <v>1449</v>
      </c>
      <c r="F1773" s="3">
        <v>139.18</v>
      </c>
      <c r="G1773" s="3" t="s">
        <v>1415</v>
      </c>
      <c r="H1773" s="3">
        <v>136</v>
      </c>
      <c r="I1773" s="3">
        <v>145</v>
      </c>
      <c r="J1773" s="3" t="s">
        <v>1416</v>
      </c>
      <c r="K1773" s="3" t="s">
        <v>1417</v>
      </c>
    </row>
    <row r="1774" spans="1:11" x14ac:dyDescent="0.2">
      <c r="A1774" s="2" t="s">
        <v>1184</v>
      </c>
      <c r="B1774" s="2" t="s">
        <v>1189</v>
      </c>
      <c r="C1774" s="2" t="s">
        <v>200</v>
      </c>
      <c r="D1774" s="2" t="s">
        <v>1446</v>
      </c>
      <c r="E1774" s="2" t="s">
        <v>1447</v>
      </c>
      <c r="F1774" s="2">
        <v>2.5499999999999998</v>
      </c>
      <c r="G1774" s="2" t="s">
        <v>1415</v>
      </c>
      <c r="H1774" s="2">
        <v>2.1</v>
      </c>
      <c r="I1774" s="2">
        <v>2.6</v>
      </c>
      <c r="J1774" s="2" t="s">
        <v>1416</v>
      </c>
      <c r="K1774" s="2" t="s">
        <v>1417</v>
      </c>
    </row>
    <row r="1775" spans="1:11" x14ac:dyDescent="0.2">
      <c r="A1775" s="3" t="s">
        <v>1184</v>
      </c>
      <c r="B1775" s="3" t="s">
        <v>1189</v>
      </c>
      <c r="C1775" s="3" t="s">
        <v>200</v>
      </c>
      <c r="D1775" s="3" t="s">
        <v>1455</v>
      </c>
      <c r="E1775" s="3" t="s">
        <v>1456</v>
      </c>
      <c r="F1775" s="3">
        <v>268.97000000000003</v>
      </c>
      <c r="G1775" s="3" t="s">
        <v>1457</v>
      </c>
      <c r="H1775" s="3">
        <v>40</v>
      </c>
      <c r="I1775" s="3">
        <v>130</v>
      </c>
      <c r="J1775" s="5" t="s">
        <v>1426</v>
      </c>
      <c r="K1775" s="3" t="s">
        <v>1420</v>
      </c>
    </row>
    <row r="1776" spans="1:11" x14ac:dyDescent="0.2">
      <c r="A1776" s="2" t="s">
        <v>1184</v>
      </c>
      <c r="B1776" s="2" t="s">
        <v>1189</v>
      </c>
      <c r="C1776" s="2" t="s">
        <v>200</v>
      </c>
      <c r="D1776" s="2" t="s">
        <v>1418</v>
      </c>
      <c r="E1776" s="2" t="s">
        <v>1419</v>
      </c>
      <c r="F1776" s="2">
        <v>5.05</v>
      </c>
      <c r="G1776" s="2" t="s">
        <v>1415</v>
      </c>
      <c r="H1776" s="2">
        <v>3.5</v>
      </c>
      <c r="I1776" s="2">
        <v>5</v>
      </c>
      <c r="J1776" s="5" t="s">
        <v>1426</v>
      </c>
      <c r="K1776" s="2" t="s">
        <v>1420</v>
      </c>
    </row>
    <row r="1777" spans="1:11" x14ac:dyDescent="0.2">
      <c r="A1777" s="3" t="s">
        <v>1184</v>
      </c>
      <c r="B1777" s="3" t="s">
        <v>1189</v>
      </c>
      <c r="C1777" s="3" t="s">
        <v>200</v>
      </c>
      <c r="D1777" s="3" t="s">
        <v>1427</v>
      </c>
      <c r="E1777" s="3" t="s">
        <v>1428</v>
      </c>
      <c r="F1777" s="3">
        <v>9.19</v>
      </c>
      <c r="G1777" s="3" t="s">
        <v>1429</v>
      </c>
      <c r="H1777" s="3">
        <v>4</v>
      </c>
      <c r="I1777" s="3">
        <v>11</v>
      </c>
      <c r="J1777" s="3" t="s">
        <v>1416</v>
      </c>
      <c r="K1777" s="3" t="s">
        <v>1420</v>
      </c>
    </row>
    <row r="1778" spans="1:11" x14ac:dyDescent="0.2">
      <c r="A1778" s="2" t="s">
        <v>1184</v>
      </c>
      <c r="B1778" s="2" t="s">
        <v>1189</v>
      </c>
      <c r="C1778" s="2" t="s">
        <v>200</v>
      </c>
      <c r="D1778" s="2" t="s">
        <v>1437</v>
      </c>
      <c r="E1778" s="2" t="s">
        <v>1438</v>
      </c>
      <c r="F1778" s="2">
        <v>17.7</v>
      </c>
      <c r="G1778" s="2" t="s">
        <v>1439</v>
      </c>
      <c r="H1778" s="2">
        <v>12</v>
      </c>
      <c r="I1778" s="2">
        <v>17.5</v>
      </c>
      <c r="J1778" s="5" t="s">
        <v>1426</v>
      </c>
      <c r="K1778" s="2" t="s">
        <v>1431</v>
      </c>
    </row>
    <row r="1779" spans="1:11" x14ac:dyDescent="0.2">
      <c r="A1779" s="3" t="s">
        <v>1184</v>
      </c>
      <c r="B1779" s="3" t="s">
        <v>1189</v>
      </c>
      <c r="C1779" s="3" t="s">
        <v>200</v>
      </c>
      <c r="D1779" s="3" t="s">
        <v>1421</v>
      </c>
      <c r="E1779" s="3" t="s">
        <v>1422</v>
      </c>
      <c r="F1779" s="3">
        <v>4.78</v>
      </c>
      <c r="G1779" s="3" t="s">
        <v>1415</v>
      </c>
      <c r="H1779" s="3">
        <v>0</v>
      </c>
      <c r="I1779" s="3">
        <v>5</v>
      </c>
      <c r="J1779" s="3" t="s">
        <v>1416</v>
      </c>
      <c r="K1779" s="3" t="s">
        <v>1420</v>
      </c>
    </row>
    <row r="1780" spans="1:11" x14ac:dyDescent="0.2">
      <c r="A1780" s="2" t="s">
        <v>1184</v>
      </c>
      <c r="B1780" s="2" t="s">
        <v>1191</v>
      </c>
      <c r="C1780" s="2" t="s">
        <v>1192</v>
      </c>
      <c r="D1780" s="2" t="s">
        <v>1435</v>
      </c>
      <c r="E1780" s="2" t="s">
        <v>1436</v>
      </c>
      <c r="F1780" s="2">
        <v>1.62</v>
      </c>
      <c r="G1780" s="2" t="s">
        <v>1415</v>
      </c>
      <c r="H1780" s="2">
        <v>0.8</v>
      </c>
      <c r="I1780" s="2">
        <v>1.5</v>
      </c>
      <c r="J1780" s="5" t="s">
        <v>1426</v>
      </c>
      <c r="K1780" s="2" t="s">
        <v>1431</v>
      </c>
    </row>
    <row r="1781" spans="1:11" x14ac:dyDescent="0.2">
      <c r="A1781" s="3" t="s">
        <v>1184</v>
      </c>
      <c r="B1781" s="3" t="s">
        <v>1191</v>
      </c>
      <c r="C1781" s="3" t="s">
        <v>1192</v>
      </c>
      <c r="D1781" s="3" t="s">
        <v>1440</v>
      </c>
      <c r="E1781" s="3" t="s">
        <v>1441</v>
      </c>
      <c r="F1781" s="3">
        <v>10.17</v>
      </c>
      <c r="G1781" s="3" t="s">
        <v>1442</v>
      </c>
      <c r="H1781" s="3">
        <v>4</v>
      </c>
      <c r="I1781" s="3">
        <v>5.6</v>
      </c>
      <c r="J1781" s="5" t="s">
        <v>1426</v>
      </c>
      <c r="K1781" s="3" t="s">
        <v>1431</v>
      </c>
    </row>
    <row r="1782" spans="1:11" x14ac:dyDescent="0.2">
      <c r="A1782" s="2" t="s">
        <v>1184</v>
      </c>
      <c r="B1782" s="2" t="s">
        <v>1191</v>
      </c>
      <c r="C1782" s="2" t="s">
        <v>1192</v>
      </c>
      <c r="D1782" s="2" t="s">
        <v>1432</v>
      </c>
      <c r="E1782" s="2" t="s">
        <v>1433</v>
      </c>
      <c r="F1782" s="2">
        <v>1.57</v>
      </c>
      <c r="G1782" s="2" t="s">
        <v>1415</v>
      </c>
      <c r="H1782" s="2">
        <v>0</v>
      </c>
      <c r="I1782" s="2">
        <v>3</v>
      </c>
      <c r="J1782" s="2" t="s">
        <v>1416</v>
      </c>
      <c r="K1782" s="2" t="s">
        <v>1417</v>
      </c>
    </row>
    <row r="1783" spans="1:11" x14ac:dyDescent="0.2">
      <c r="A1783" s="3" t="s">
        <v>1184</v>
      </c>
      <c r="B1783" s="3" t="s">
        <v>1194</v>
      </c>
      <c r="C1783" s="3" t="s">
        <v>1195</v>
      </c>
      <c r="D1783" s="3" t="s">
        <v>1432</v>
      </c>
      <c r="E1783" s="3" t="s">
        <v>1433</v>
      </c>
      <c r="F1783" s="3">
        <v>4.32</v>
      </c>
      <c r="G1783" s="3" t="s">
        <v>1415</v>
      </c>
      <c r="H1783" s="3">
        <v>0</v>
      </c>
      <c r="I1783" s="3">
        <v>3</v>
      </c>
      <c r="J1783" s="5" t="s">
        <v>1426</v>
      </c>
      <c r="K1783" s="3" t="s">
        <v>1431</v>
      </c>
    </row>
    <row r="1784" spans="1:11" x14ac:dyDescent="0.2">
      <c r="A1784" s="2" t="s">
        <v>1184</v>
      </c>
      <c r="B1784" s="2" t="s">
        <v>1194</v>
      </c>
      <c r="C1784" s="2" t="s">
        <v>1195</v>
      </c>
      <c r="D1784" s="2" t="s">
        <v>1453</v>
      </c>
      <c r="E1784" s="2" t="s">
        <v>1454</v>
      </c>
      <c r="F1784" s="2">
        <v>6.33</v>
      </c>
      <c r="G1784" s="2" t="s">
        <v>1415</v>
      </c>
      <c r="H1784" s="2">
        <v>3.9</v>
      </c>
      <c r="I1784" s="2">
        <v>5.5</v>
      </c>
      <c r="J1784" s="5" t="s">
        <v>1426</v>
      </c>
      <c r="K1784" s="2" t="s">
        <v>1434</v>
      </c>
    </row>
    <row r="1785" spans="1:11" x14ac:dyDescent="0.2">
      <c r="A1785" s="3" t="s">
        <v>1184</v>
      </c>
      <c r="B1785" s="3" t="s">
        <v>1194</v>
      </c>
      <c r="C1785" s="3" t="s">
        <v>1195</v>
      </c>
      <c r="D1785" s="3" t="s">
        <v>1450</v>
      </c>
      <c r="E1785" s="3" t="s">
        <v>1451</v>
      </c>
      <c r="F1785" s="3">
        <v>67.930000000000007</v>
      </c>
      <c r="G1785" s="3" t="s">
        <v>1452</v>
      </c>
      <c r="H1785" s="3">
        <v>60</v>
      </c>
      <c r="I1785" s="3">
        <v>120</v>
      </c>
      <c r="J1785" s="3" t="s">
        <v>1416</v>
      </c>
      <c r="K1785" s="3" t="s">
        <v>1417</v>
      </c>
    </row>
    <row r="1786" spans="1:11" x14ac:dyDescent="0.2">
      <c r="A1786" s="2" t="s">
        <v>1184</v>
      </c>
      <c r="B1786" s="2" t="s">
        <v>1194</v>
      </c>
      <c r="C1786" s="2" t="s">
        <v>1195</v>
      </c>
      <c r="D1786" s="2" t="s">
        <v>1423</v>
      </c>
      <c r="E1786" s="2" t="s">
        <v>1424</v>
      </c>
      <c r="F1786" s="2">
        <v>4.49</v>
      </c>
      <c r="G1786" s="2" t="s">
        <v>1425</v>
      </c>
      <c r="H1786" s="2">
        <v>4.5</v>
      </c>
      <c r="I1786" s="2">
        <v>5.5</v>
      </c>
      <c r="J1786" s="5" t="s">
        <v>1430</v>
      </c>
      <c r="K1786" s="2" t="s">
        <v>1417</v>
      </c>
    </row>
    <row r="1787" spans="1:11" x14ac:dyDescent="0.2">
      <c r="A1787" s="3" t="s">
        <v>1184</v>
      </c>
      <c r="B1787" s="3" t="s">
        <v>1194</v>
      </c>
      <c r="C1787" s="3" t="s">
        <v>1195</v>
      </c>
      <c r="D1787" s="3" t="s">
        <v>1421</v>
      </c>
      <c r="E1787" s="3" t="s">
        <v>1422</v>
      </c>
      <c r="F1787" s="3">
        <v>3.76</v>
      </c>
      <c r="G1787" s="3" t="s">
        <v>1415</v>
      </c>
      <c r="H1787" s="3">
        <v>0</v>
      </c>
      <c r="I1787" s="3">
        <v>5</v>
      </c>
      <c r="J1787" s="3" t="s">
        <v>1416</v>
      </c>
      <c r="K1787" s="3" t="s">
        <v>1431</v>
      </c>
    </row>
    <row r="1788" spans="1:11" x14ac:dyDescent="0.2">
      <c r="A1788" s="2" t="s">
        <v>1184</v>
      </c>
      <c r="B1788" s="2" t="s">
        <v>1194</v>
      </c>
      <c r="C1788" s="2" t="s">
        <v>1195</v>
      </c>
      <c r="D1788" s="2" t="s">
        <v>1455</v>
      </c>
      <c r="E1788" s="2" t="s">
        <v>1456</v>
      </c>
      <c r="F1788" s="2">
        <v>37.08</v>
      </c>
      <c r="G1788" s="2" t="s">
        <v>1457</v>
      </c>
      <c r="H1788" s="2">
        <v>40</v>
      </c>
      <c r="I1788" s="2">
        <v>130</v>
      </c>
      <c r="J1788" s="5" t="s">
        <v>1430</v>
      </c>
      <c r="K1788" s="2" t="s">
        <v>1417</v>
      </c>
    </row>
    <row r="1789" spans="1:11" x14ac:dyDescent="0.2">
      <c r="A1789" s="3" t="s">
        <v>1184</v>
      </c>
      <c r="B1789" s="3" t="s">
        <v>1194</v>
      </c>
      <c r="C1789" s="3" t="s">
        <v>1195</v>
      </c>
      <c r="D1789" s="3" t="s">
        <v>1427</v>
      </c>
      <c r="E1789" s="3" t="s">
        <v>1428</v>
      </c>
      <c r="F1789" s="3">
        <v>11.16</v>
      </c>
      <c r="G1789" s="3" t="s">
        <v>1429</v>
      </c>
      <c r="H1789" s="3">
        <v>4</v>
      </c>
      <c r="I1789" s="3">
        <v>11</v>
      </c>
      <c r="J1789" s="5" t="s">
        <v>1426</v>
      </c>
      <c r="K1789" s="3" t="s">
        <v>1434</v>
      </c>
    </row>
    <row r="1790" spans="1:11" x14ac:dyDescent="0.2">
      <c r="A1790" s="2" t="s">
        <v>1196</v>
      </c>
      <c r="B1790" s="2" t="s">
        <v>1197</v>
      </c>
      <c r="C1790" s="2" t="s">
        <v>884</v>
      </c>
      <c r="D1790" s="2" t="s">
        <v>1448</v>
      </c>
      <c r="E1790" s="2" t="s">
        <v>1449</v>
      </c>
      <c r="F1790" s="2">
        <v>143.22999999999999</v>
      </c>
      <c r="G1790" s="2" t="s">
        <v>1415</v>
      </c>
      <c r="H1790" s="2">
        <v>136</v>
      </c>
      <c r="I1790" s="2">
        <v>145</v>
      </c>
      <c r="J1790" s="2" t="s">
        <v>1416</v>
      </c>
      <c r="K1790" s="2" t="s">
        <v>1434</v>
      </c>
    </row>
    <row r="1791" spans="1:11" x14ac:dyDescent="0.2">
      <c r="A1791" s="3" t="s">
        <v>1196</v>
      </c>
      <c r="B1791" s="3" t="s">
        <v>1197</v>
      </c>
      <c r="C1791" s="3" t="s">
        <v>884</v>
      </c>
      <c r="D1791" s="3" t="s">
        <v>1446</v>
      </c>
      <c r="E1791" s="3" t="s">
        <v>1447</v>
      </c>
      <c r="F1791" s="3">
        <v>2.95</v>
      </c>
      <c r="G1791" s="3" t="s">
        <v>1415</v>
      </c>
      <c r="H1791" s="3">
        <v>2.1</v>
      </c>
      <c r="I1791" s="3">
        <v>2.6</v>
      </c>
      <c r="J1791" s="5" t="s">
        <v>1426</v>
      </c>
      <c r="K1791" s="3" t="s">
        <v>1420</v>
      </c>
    </row>
    <row r="1792" spans="1:11" x14ac:dyDescent="0.2">
      <c r="A1792" s="2" t="s">
        <v>1196</v>
      </c>
      <c r="B1792" s="2" t="s">
        <v>1197</v>
      </c>
      <c r="C1792" s="2" t="s">
        <v>884</v>
      </c>
      <c r="D1792" s="2" t="s">
        <v>1435</v>
      </c>
      <c r="E1792" s="2" t="s">
        <v>1436</v>
      </c>
      <c r="F1792" s="2">
        <v>1.24</v>
      </c>
      <c r="G1792" s="2" t="s">
        <v>1415</v>
      </c>
      <c r="H1792" s="2">
        <v>0.8</v>
      </c>
      <c r="I1792" s="2">
        <v>1.5</v>
      </c>
      <c r="J1792" s="2" t="s">
        <v>1416</v>
      </c>
      <c r="K1792" s="2" t="s">
        <v>1434</v>
      </c>
    </row>
    <row r="1793" spans="1:11" x14ac:dyDescent="0.2">
      <c r="A1793" s="3" t="s">
        <v>1196</v>
      </c>
      <c r="B1793" s="3" t="s">
        <v>1197</v>
      </c>
      <c r="C1793" s="3" t="s">
        <v>884</v>
      </c>
      <c r="D1793" s="3" t="s">
        <v>1440</v>
      </c>
      <c r="E1793" s="3" t="s">
        <v>1441</v>
      </c>
      <c r="F1793" s="3">
        <v>9.64</v>
      </c>
      <c r="G1793" s="3" t="s">
        <v>1442</v>
      </c>
      <c r="H1793" s="3">
        <v>4</v>
      </c>
      <c r="I1793" s="3">
        <v>5.6</v>
      </c>
      <c r="J1793" s="5" t="s">
        <v>1426</v>
      </c>
      <c r="K1793" s="3" t="s">
        <v>1417</v>
      </c>
    </row>
    <row r="1794" spans="1:11" x14ac:dyDescent="0.2">
      <c r="A1794" s="2" t="s">
        <v>1196</v>
      </c>
      <c r="B1794" s="2" t="s">
        <v>1197</v>
      </c>
      <c r="C1794" s="2" t="s">
        <v>884</v>
      </c>
      <c r="D1794" s="2" t="s">
        <v>1453</v>
      </c>
      <c r="E1794" s="2" t="s">
        <v>1454</v>
      </c>
      <c r="F1794" s="2">
        <v>6.15</v>
      </c>
      <c r="G1794" s="2" t="s">
        <v>1415</v>
      </c>
      <c r="H1794" s="2">
        <v>3.9</v>
      </c>
      <c r="I1794" s="2">
        <v>5.5</v>
      </c>
      <c r="J1794" s="5" t="s">
        <v>1426</v>
      </c>
      <c r="K1794" s="2" t="s">
        <v>1431</v>
      </c>
    </row>
    <row r="1795" spans="1:11" x14ac:dyDescent="0.2">
      <c r="A1795" s="3" t="s">
        <v>1199</v>
      </c>
      <c r="B1795" s="3" t="s">
        <v>1200</v>
      </c>
      <c r="C1795" s="3" t="s">
        <v>1201</v>
      </c>
      <c r="D1795" s="3" t="s">
        <v>1421</v>
      </c>
      <c r="E1795" s="3" t="s">
        <v>1422</v>
      </c>
      <c r="F1795" s="3">
        <v>4.82</v>
      </c>
      <c r="G1795" s="3" t="s">
        <v>1415</v>
      </c>
      <c r="H1795" s="3">
        <v>0</v>
      </c>
      <c r="I1795" s="3">
        <v>5</v>
      </c>
      <c r="J1795" s="3" t="s">
        <v>1416</v>
      </c>
      <c r="K1795" s="3" t="s">
        <v>1417</v>
      </c>
    </row>
    <row r="1796" spans="1:11" x14ac:dyDescent="0.2">
      <c r="A1796" s="2" t="s">
        <v>1199</v>
      </c>
      <c r="B1796" s="2" t="s">
        <v>1200</v>
      </c>
      <c r="C1796" s="2" t="s">
        <v>1201</v>
      </c>
      <c r="D1796" s="2" t="s">
        <v>1437</v>
      </c>
      <c r="E1796" s="2" t="s">
        <v>1438</v>
      </c>
      <c r="F1796" s="2">
        <v>7.88</v>
      </c>
      <c r="G1796" s="2" t="s">
        <v>1439</v>
      </c>
      <c r="H1796" s="2">
        <v>12</v>
      </c>
      <c r="I1796" s="2">
        <v>17.5</v>
      </c>
      <c r="J1796" s="5" t="s">
        <v>1430</v>
      </c>
      <c r="K1796" s="2" t="s">
        <v>1420</v>
      </c>
    </row>
    <row r="1797" spans="1:11" x14ac:dyDescent="0.2">
      <c r="A1797" s="3" t="s">
        <v>1199</v>
      </c>
      <c r="B1797" s="3" t="s">
        <v>1200</v>
      </c>
      <c r="C1797" s="3" t="s">
        <v>1201</v>
      </c>
      <c r="D1797" s="3" t="s">
        <v>1448</v>
      </c>
      <c r="E1797" s="3" t="s">
        <v>1449</v>
      </c>
      <c r="F1797" s="3">
        <v>145.94</v>
      </c>
      <c r="G1797" s="3" t="s">
        <v>1415</v>
      </c>
      <c r="H1797" s="3">
        <v>136</v>
      </c>
      <c r="I1797" s="3">
        <v>145</v>
      </c>
      <c r="J1797" s="5" t="s">
        <v>1426</v>
      </c>
      <c r="K1797" s="3" t="s">
        <v>1434</v>
      </c>
    </row>
    <row r="1798" spans="1:11" x14ac:dyDescent="0.2">
      <c r="A1798" s="2" t="s">
        <v>1199</v>
      </c>
      <c r="B1798" s="2" t="s">
        <v>1200</v>
      </c>
      <c r="C1798" s="2" t="s">
        <v>1201</v>
      </c>
      <c r="D1798" s="2" t="s">
        <v>1413</v>
      </c>
      <c r="E1798" s="2" t="s">
        <v>1414</v>
      </c>
      <c r="F1798" s="2">
        <v>1.77</v>
      </c>
      <c r="G1798" s="2" t="s">
        <v>1415</v>
      </c>
      <c r="H1798" s="2">
        <v>1</v>
      </c>
      <c r="I1798" s="2">
        <v>5</v>
      </c>
      <c r="J1798" s="2" t="s">
        <v>1416</v>
      </c>
      <c r="K1798" s="2" t="s">
        <v>1420</v>
      </c>
    </row>
    <row r="1799" spans="1:11" x14ac:dyDescent="0.2">
      <c r="A1799" s="3" t="s">
        <v>1199</v>
      </c>
      <c r="B1799" s="3" t="s">
        <v>1200</v>
      </c>
      <c r="C1799" s="3" t="s">
        <v>1201</v>
      </c>
      <c r="D1799" s="3" t="s">
        <v>1427</v>
      </c>
      <c r="E1799" s="3" t="s">
        <v>1428</v>
      </c>
      <c r="F1799" s="3">
        <v>11.61</v>
      </c>
      <c r="G1799" s="3" t="s">
        <v>1429</v>
      </c>
      <c r="H1799" s="3">
        <v>4</v>
      </c>
      <c r="I1799" s="3">
        <v>11</v>
      </c>
      <c r="J1799" s="5" t="s">
        <v>1426</v>
      </c>
      <c r="K1799" s="3" t="s">
        <v>1434</v>
      </c>
    </row>
    <row r="1800" spans="1:11" x14ac:dyDescent="0.2">
      <c r="A1800" s="2" t="s">
        <v>1199</v>
      </c>
      <c r="B1800" s="2" t="s">
        <v>1200</v>
      </c>
      <c r="C1800" s="2" t="s">
        <v>1201</v>
      </c>
      <c r="D1800" s="2" t="s">
        <v>1435</v>
      </c>
      <c r="E1800" s="2" t="s">
        <v>1436</v>
      </c>
      <c r="F1800" s="2">
        <v>1.3</v>
      </c>
      <c r="G1800" s="2" t="s">
        <v>1415</v>
      </c>
      <c r="H1800" s="2">
        <v>0.8</v>
      </c>
      <c r="I1800" s="2">
        <v>1.5</v>
      </c>
      <c r="J1800" s="2" t="s">
        <v>1416</v>
      </c>
      <c r="K1800" s="2" t="s">
        <v>1417</v>
      </c>
    </row>
    <row r="1801" spans="1:11" x14ac:dyDescent="0.2">
      <c r="A1801" s="3" t="s">
        <v>1199</v>
      </c>
      <c r="B1801" s="3" t="s">
        <v>1204</v>
      </c>
      <c r="C1801" s="3" t="s">
        <v>1205</v>
      </c>
      <c r="D1801" s="3" t="s">
        <v>1440</v>
      </c>
      <c r="E1801" s="3" t="s">
        <v>1441</v>
      </c>
      <c r="F1801" s="3">
        <v>9.2200000000000006</v>
      </c>
      <c r="G1801" s="3" t="s">
        <v>1442</v>
      </c>
      <c r="H1801" s="3">
        <v>4</v>
      </c>
      <c r="I1801" s="3">
        <v>5.6</v>
      </c>
      <c r="J1801" s="5" t="s">
        <v>1426</v>
      </c>
      <c r="K1801" s="3" t="s">
        <v>1417</v>
      </c>
    </row>
    <row r="1802" spans="1:11" x14ac:dyDescent="0.2">
      <c r="A1802" s="2" t="s">
        <v>1199</v>
      </c>
      <c r="B1802" s="2" t="s">
        <v>1204</v>
      </c>
      <c r="C1802" s="2" t="s">
        <v>1205</v>
      </c>
      <c r="D1802" s="2" t="s">
        <v>1435</v>
      </c>
      <c r="E1802" s="2" t="s">
        <v>1436</v>
      </c>
      <c r="F1802" s="2">
        <v>1.45</v>
      </c>
      <c r="G1802" s="2" t="s">
        <v>1415</v>
      </c>
      <c r="H1802" s="2">
        <v>0.8</v>
      </c>
      <c r="I1802" s="2">
        <v>1.5</v>
      </c>
      <c r="J1802" s="2" t="s">
        <v>1416</v>
      </c>
      <c r="K1802" s="2" t="s">
        <v>1420</v>
      </c>
    </row>
    <row r="1803" spans="1:11" x14ac:dyDescent="0.2">
      <c r="A1803" s="3" t="s">
        <v>1199</v>
      </c>
      <c r="B1803" s="3" t="s">
        <v>1204</v>
      </c>
      <c r="C1803" s="3" t="s">
        <v>1205</v>
      </c>
      <c r="D1803" s="3" t="s">
        <v>1421</v>
      </c>
      <c r="E1803" s="3" t="s">
        <v>1422</v>
      </c>
      <c r="F1803" s="3">
        <v>3.86</v>
      </c>
      <c r="G1803" s="3" t="s">
        <v>1415</v>
      </c>
      <c r="H1803" s="3">
        <v>0</v>
      </c>
      <c r="I1803" s="3">
        <v>5</v>
      </c>
      <c r="J1803" s="3" t="s">
        <v>1416</v>
      </c>
      <c r="K1803" s="3" t="s">
        <v>1417</v>
      </c>
    </row>
    <row r="1804" spans="1:11" x14ac:dyDescent="0.2">
      <c r="A1804" s="2" t="s">
        <v>1199</v>
      </c>
      <c r="B1804" s="2" t="s">
        <v>1204</v>
      </c>
      <c r="C1804" s="2" t="s">
        <v>1205</v>
      </c>
      <c r="D1804" s="2" t="s">
        <v>1450</v>
      </c>
      <c r="E1804" s="2" t="s">
        <v>1451</v>
      </c>
      <c r="F1804" s="2">
        <v>81.010000000000005</v>
      </c>
      <c r="G1804" s="2" t="s">
        <v>1452</v>
      </c>
      <c r="H1804" s="2">
        <v>60</v>
      </c>
      <c r="I1804" s="2">
        <v>120</v>
      </c>
      <c r="J1804" s="2" t="s">
        <v>1416</v>
      </c>
      <c r="K1804" s="2" t="s">
        <v>1417</v>
      </c>
    </row>
    <row r="1805" spans="1:11" x14ac:dyDescent="0.2">
      <c r="A1805" s="3" t="s">
        <v>1199</v>
      </c>
      <c r="B1805" s="3" t="s">
        <v>1204</v>
      </c>
      <c r="C1805" s="3" t="s">
        <v>1205</v>
      </c>
      <c r="D1805" s="3" t="s">
        <v>1423</v>
      </c>
      <c r="E1805" s="3" t="s">
        <v>1424</v>
      </c>
      <c r="F1805" s="3">
        <v>5.41</v>
      </c>
      <c r="G1805" s="3" t="s">
        <v>1425</v>
      </c>
      <c r="H1805" s="3">
        <v>4.5</v>
      </c>
      <c r="I1805" s="3">
        <v>5.5</v>
      </c>
      <c r="J1805" s="3" t="s">
        <v>1416</v>
      </c>
      <c r="K1805" s="3" t="s">
        <v>1417</v>
      </c>
    </row>
    <row r="1806" spans="1:11" x14ac:dyDescent="0.2">
      <c r="A1806" s="2" t="s">
        <v>1199</v>
      </c>
      <c r="B1806" s="2" t="s">
        <v>1204</v>
      </c>
      <c r="C1806" s="2" t="s">
        <v>1205</v>
      </c>
      <c r="D1806" s="2" t="s">
        <v>1455</v>
      </c>
      <c r="E1806" s="2" t="s">
        <v>1456</v>
      </c>
      <c r="F1806" s="2">
        <v>252.85</v>
      </c>
      <c r="G1806" s="2" t="s">
        <v>1457</v>
      </c>
      <c r="H1806" s="2">
        <v>40</v>
      </c>
      <c r="I1806" s="2">
        <v>130</v>
      </c>
      <c r="J1806" s="5" t="s">
        <v>1426</v>
      </c>
      <c r="K1806" s="2" t="s">
        <v>1431</v>
      </c>
    </row>
    <row r="1807" spans="1:11" x14ac:dyDescent="0.2">
      <c r="A1807" s="3" t="s">
        <v>1199</v>
      </c>
      <c r="B1807" s="3" t="s">
        <v>1204</v>
      </c>
      <c r="C1807" s="3" t="s">
        <v>1205</v>
      </c>
      <c r="D1807" s="3" t="s">
        <v>1437</v>
      </c>
      <c r="E1807" s="3" t="s">
        <v>1438</v>
      </c>
      <c r="F1807" s="3">
        <v>17.010000000000002</v>
      </c>
      <c r="G1807" s="3" t="s">
        <v>1439</v>
      </c>
      <c r="H1807" s="3">
        <v>12</v>
      </c>
      <c r="I1807" s="3">
        <v>17.5</v>
      </c>
      <c r="J1807" s="3" t="s">
        <v>1416</v>
      </c>
      <c r="K1807" s="3" t="s">
        <v>1431</v>
      </c>
    </row>
    <row r="1808" spans="1:11" x14ac:dyDescent="0.2">
      <c r="A1808" s="2" t="s">
        <v>1199</v>
      </c>
      <c r="B1808" s="2" t="s">
        <v>1204</v>
      </c>
      <c r="C1808" s="2" t="s">
        <v>1205</v>
      </c>
      <c r="D1808" s="2" t="s">
        <v>1443</v>
      </c>
      <c r="E1808" s="2" t="s">
        <v>1444</v>
      </c>
      <c r="F1808" s="2">
        <v>58.83</v>
      </c>
      <c r="G1808" s="2" t="s">
        <v>1445</v>
      </c>
      <c r="H1808" s="2">
        <v>53</v>
      </c>
      <c r="I1808" s="2">
        <v>97</v>
      </c>
      <c r="J1808" s="2" t="s">
        <v>1416</v>
      </c>
      <c r="K1808" s="2" t="s">
        <v>1420</v>
      </c>
    </row>
    <row r="1809" spans="1:11" x14ac:dyDescent="0.2">
      <c r="A1809" s="3" t="s">
        <v>1199</v>
      </c>
      <c r="B1809" s="3" t="s">
        <v>1207</v>
      </c>
      <c r="C1809" s="3" t="s">
        <v>508</v>
      </c>
      <c r="D1809" s="3" t="s">
        <v>1435</v>
      </c>
      <c r="E1809" s="3" t="s">
        <v>1436</v>
      </c>
      <c r="F1809" s="3">
        <v>0.62</v>
      </c>
      <c r="G1809" s="3" t="s">
        <v>1415</v>
      </c>
      <c r="H1809" s="3">
        <v>0.8</v>
      </c>
      <c r="I1809" s="3">
        <v>1.5</v>
      </c>
      <c r="J1809" s="5" t="s">
        <v>1430</v>
      </c>
      <c r="K1809" s="3" t="s">
        <v>1420</v>
      </c>
    </row>
    <row r="1810" spans="1:11" x14ac:dyDescent="0.2">
      <c r="A1810" s="2" t="s">
        <v>1199</v>
      </c>
      <c r="B1810" s="2" t="s">
        <v>1207</v>
      </c>
      <c r="C1810" s="2" t="s">
        <v>508</v>
      </c>
      <c r="D1810" s="2" t="s">
        <v>1418</v>
      </c>
      <c r="E1810" s="2" t="s">
        <v>1419</v>
      </c>
      <c r="F1810" s="2">
        <v>4.12</v>
      </c>
      <c r="G1810" s="2" t="s">
        <v>1415</v>
      </c>
      <c r="H1810" s="2">
        <v>3.5</v>
      </c>
      <c r="I1810" s="2">
        <v>5</v>
      </c>
      <c r="J1810" s="2" t="s">
        <v>1416</v>
      </c>
      <c r="K1810" s="2" t="s">
        <v>1431</v>
      </c>
    </row>
    <row r="1811" spans="1:11" x14ac:dyDescent="0.2">
      <c r="A1811" s="3" t="s">
        <v>1199</v>
      </c>
      <c r="B1811" s="3" t="s">
        <v>1207</v>
      </c>
      <c r="C1811" s="3" t="s">
        <v>508</v>
      </c>
      <c r="D1811" s="3" t="s">
        <v>1413</v>
      </c>
      <c r="E1811" s="3" t="s">
        <v>1414</v>
      </c>
      <c r="F1811" s="3">
        <v>1.23</v>
      </c>
      <c r="G1811" s="3" t="s">
        <v>1415</v>
      </c>
      <c r="H1811" s="3">
        <v>1</v>
      </c>
      <c r="I1811" s="3">
        <v>5</v>
      </c>
      <c r="J1811" s="3" t="s">
        <v>1416</v>
      </c>
      <c r="K1811" s="3" t="s">
        <v>1434</v>
      </c>
    </row>
    <row r="1812" spans="1:11" x14ac:dyDescent="0.2">
      <c r="A1812" s="2" t="s">
        <v>1199</v>
      </c>
      <c r="B1812" s="2" t="s">
        <v>1207</v>
      </c>
      <c r="C1812" s="2" t="s">
        <v>508</v>
      </c>
      <c r="D1812" s="2" t="s">
        <v>1448</v>
      </c>
      <c r="E1812" s="2" t="s">
        <v>1449</v>
      </c>
      <c r="F1812" s="2">
        <v>138.1</v>
      </c>
      <c r="G1812" s="2" t="s">
        <v>1415</v>
      </c>
      <c r="H1812" s="2">
        <v>136</v>
      </c>
      <c r="I1812" s="2">
        <v>145</v>
      </c>
      <c r="J1812" s="2" t="s">
        <v>1416</v>
      </c>
      <c r="K1812" s="2" t="s">
        <v>1434</v>
      </c>
    </row>
    <row r="1813" spans="1:11" x14ac:dyDescent="0.2">
      <c r="A1813" s="3" t="s">
        <v>1209</v>
      </c>
      <c r="B1813" s="3" t="s">
        <v>1210</v>
      </c>
      <c r="C1813" s="3" t="s">
        <v>1211</v>
      </c>
      <c r="D1813" s="3" t="s">
        <v>1413</v>
      </c>
      <c r="E1813" s="3" t="s">
        <v>1414</v>
      </c>
      <c r="F1813" s="3">
        <v>0.84</v>
      </c>
      <c r="G1813" s="3" t="s">
        <v>1415</v>
      </c>
      <c r="H1813" s="3">
        <v>1</v>
      </c>
      <c r="I1813" s="3">
        <v>5</v>
      </c>
      <c r="J1813" s="5" t="s">
        <v>1430</v>
      </c>
      <c r="K1813" s="3" t="s">
        <v>1434</v>
      </c>
    </row>
    <row r="1814" spans="1:11" x14ac:dyDescent="0.2">
      <c r="A1814" s="2" t="s">
        <v>1209</v>
      </c>
      <c r="B1814" s="2" t="s">
        <v>1210</v>
      </c>
      <c r="C1814" s="2" t="s">
        <v>1211</v>
      </c>
      <c r="D1814" s="2" t="s">
        <v>1443</v>
      </c>
      <c r="E1814" s="2" t="s">
        <v>1444</v>
      </c>
      <c r="F1814" s="2">
        <v>93.54</v>
      </c>
      <c r="G1814" s="2" t="s">
        <v>1445</v>
      </c>
      <c r="H1814" s="2">
        <v>53</v>
      </c>
      <c r="I1814" s="2">
        <v>97</v>
      </c>
      <c r="J1814" s="2" t="s">
        <v>1416</v>
      </c>
      <c r="K1814" s="2" t="s">
        <v>1434</v>
      </c>
    </row>
    <row r="1815" spans="1:11" x14ac:dyDescent="0.2">
      <c r="A1815" s="3" t="s">
        <v>1209</v>
      </c>
      <c r="B1815" s="3" t="s">
        <v>1210</v>
      </c>
      <c r="C1815" s="3" t="s">
        <v>1211</v>
      </c>
      <c r="D1815" s="3" t="s">
        <v>1423</v>
      </c>
      <c r="E1815" s="3" t="s">
        <v>1424</v>
      </c>
      <c r="F1815" s="3">
        <v>3.01</v>
      </c>
      <c r="G1815" s="3" t="s">
        <v>1425</v>
      </c>
      <c r="H1815" s="3">
        <v>4.5</v>
      </c>
      <c r="I1815" s="3">
        <v>5.5</v>
      </c>
      <c r="J1815" s="5" t="s">
        <v>1430</v>
      </c>
      <c r="K1815" s="3" t="s">
        <v>1417</v>
      </c>
    </row>
    <row r="1816" spans="1:11" x14ac:dyDescent="0.2">
      <c r="A1816" s="2" t="s">
        <v>1209</v>
      </c>
      <c r="B1816" s="2" t="s">
        <v>1210</v>
      </c>
      <c r="C1816" s="2" t="s">
        <v>1211</v>
      </c>
      <c r="D1816" s="2" t="s">
        <v>1446</v>
      </c>
      <c r="E1816" s="2" t="s">
        <v>1447</v>
      </c>
      <c r="F1816" s="2">
        <v>2.17</v>
      </c>
      <c r="G1816" s="2" t="s">
        <v>1415</v>
      </c>
      <c r="H1816" s="2">
        <v>2.1</v>
      </c>
      <c r="I1816" s="2">
        <v>2.6</v>
      </c>
      <c r="J1816" s="2" t="s">
        <v>1416</v>
      </c>
      <c r="K1816" s="2" t="s">
        <v>1420</v>
      </c>
    </row>
    <row r="1817" spans="1:11" x14ac:dyDescent="0.2">
      <c r="A1817" s="3" t="s">
        <v>1209</v>
      </c>
      <c r="B1817" s="3" t="s">
        <v>1210</v>
      </c>
      <c r="C1817" s="3" t="s">
        <v>1211</v>
      </c>
      <c r="D1817" s="3" t="s">
        <v>1427</v>
      </c>
      <c r="E1817" s="3" t="s">
        <v>1428</v>
      </c>
      <c r="F1817" s="3">
        <v>15.82</v>
      </c>
      <c r="G1817" s="3" t="s">
        <v>1429</v>
      </c>
      <c r="H1817" s="3">
        <v>4</v>
      </c>
      <c r="I1817" s="3">
        <v>11</v>
      </c>
      <c r="J1817" s="5" t="s">
        <v>1426</v>
      </c>
      <c r="K1817" s="3" t="s">
        <v>1431</v>
      </c>
    </row>
    <row r="1818" spans="1:11" x14ac:dyDescent="0.2">
      <c r="A1818" s="2" t="s">
        <v>1209</v>
      </c>
      <c r="B1818" s="2" t="s">
        <v>1210</v>
      </c>
      <c r="C1818" s="2" t="s">
        <v>1211</v>
      </c>
      <c r="D1818" s="2" t="s">
        <v>1435</v>
      </c>
      <c r="E1818" s="2" t="s">
        <v>1436</v>
      </c>
      <c r="F1818" s="2">
        <v>0.75</v>
      </c>
      <c r="G1818" s="2" t="s">
        <v>1415</v>
      </c>
      <c r="H1818" s="2">
        <v>0.8</v>
      </c>
      <c r="I1818" s="2">
        <v>1.5</v>
      </c>
      <c r="J1818" s="5" t="s">
        <v>1430</v>
      </c>
      <c r="K1818" s="2" t="s">
        <v>1417</v>
      </c>
    </row>
    <row r="1819" spans="1:11" x14ac:dyDescent="0.2">
      <c r="A1819" s="3" t="s">
        <v>1209</v>
      </c>
      <c r="B1819" s="3" t="s">
        <v>1210</v>
      </c>
      <c r="C1819" s="3" t="s">
        <v>1211</v>
      </c>
      <c r="D1819" s="3" t="s">
        <v>1432</v>
      </c>
      <c r="E1819" s="3" t="s">
        <v>1433</v>
      </c>
      <c r="F1819" s="3">
        <v>1.89</v>
      </c>
      <c r="G1819" s="3" t="s">
        <v>1415</v>
      </c>
      <c r="H1819" s="3">
        <v>0</v>
      </c>
      <c r="I1819" s="3">
        <v>3</v>
      </c>
      <c r="J1819" s="3" t="s">
        <v>1416</v>
      </c>
      <c r="K1819" s="3" t="s">
        <v>1431</v>
      </c>
    </row>
    <row r="1820" spans="1:11" x14ac:dyDescent="0.2">
      <c r="A1820" s="2" t="s">
        <v>1209</v>
      </c>
      <c r="B1820" s="2" t="s">
        <v>1214</v>
      </c>
      <c r="C1820" s="2" t="s">
        <v>1215</v>
      </c>
      <c r="D1820" s="2" t="s">
        <v>1453</v>
      </c>
      <c r="E1820" s="2" t="s">
        <v>1454</v>
      </c>
      <c r="F1820" s="2">
        <v>5.87</v>
      </c>
      <c r="G1820" s="2" t="s">
        <v>1415</v>
      </c>
      <c r="H1820" s="2">
        <v>3.9</v>
      </c>
      <c r="I1820" s="2">
        <v>5.5</v>
      </c>
      <c r="J1820" s="5" t="s">
        <v>1426</v>
      </c>
      <c r="K1820" s="2" t="s">
        <v>1431</v>
      </c>
    </row>
    <row r="1821" spans="1:11" x14ac:dyDescent="0.2">
      <c r="A1821" s="3" t="s">
        <v>1209</v>
      </c>
      <c r="B1821" s="3" t="s">
        <v>1214</v>
      </c>
      <c r="C1821" s="3" t="s">
        <v>1215</v>
      </c>
      <c r="D1821" s="3" t="s">
        <v>1446</v>
      </c>
      <c r="E1821" s="3" t="s">
        <v>1447</v>
      </c>
      <c r="F1821" s="3">
        <v>2.87</v>
      </c>
      <c r="G1821" s="3" t="s">
        <v>1415</v>
      </c>
      <c r="H1821" s="3">
        <v>2.1</v>
      </c>
      <c r="I1821" s="3">
        <v>2.6</v>
      </c>
      <c r="J1821" s="5" t="s">
        <v>1426</v>
      </c>
      <c r="K1821" s="3" t="s">
        <v>1431</v>
      </c>
    </row>
    <row r="1822" spans="1:11" x14ac:dyDescent="0.2">
      <c r="A1822" s="2" t="s">
        <v>1209</v>
      </c>
      <c r="B1822" s="2" t="s">
        <v>1214</v>
      </c>
      <c r="C1822" s="2" t="s">
        <v>1215</v>
      </c>
      <c r="D1822" s="2" t="s">
        <v>1437</v>
      </c>
      <c r="E1822" s="2" t="s">
        <v>1438</v>
      </c>
      <c r="F1822" s="2">
        <v>12.6</v>
      </c>
      <c r="G1822" s="2" t="s">
        <v>1439</v>
      </c>
      <c r="H1822" s="2">
        <v>12</v>
      </c>
      <c r="I1822" s="2">
        <v>17.5</v>
      </c>
      <c r="J1822" s="2" t="s">
        <v>1416</v>
      </c>
      <c r="K1822" s="2" t="s">
        <v>1417</v>
      </c>
    </row>
    <row r="1823" spans="1:11" x14ac:dyDescent="0.2">
      <c r="A1823" s="3" t="s">
        <v>1209</v>
      </c>
      <c r="B1823" s="3" t="s">
        <v>1214</v>
      </c>
      <c r="C1823" s="3" t="s">
        <v>1215</v>
      </c>
      <c r="D1823" s="3" t="s">
        <v>1440</v>
      </c>
      <c r="E1823" s="3" t="s">
        <v>1441</v>
      </c>
      <c r="F1823" s="3">
        <v>5.2</v>
      </c>
      <c r="G1823" s="3" t="s">
        <v>1442</v>
      </c>
      <c r="H1823" s="3">
        <v>4</v>
      </c>
      <c r="I1823" s="3">
        <v>5.6</v>
      </c>
      <c r="J1823" s="3" t="s">
        <v>1416</v>
      </c>
      <c r="K1823" s="3" t="s">
        <v>1434</v>
      </c>
    </row>
    <row r="1824" spans="1:11" x14ac:dyDescent="0.2">
      <c r="A1824" s="2" t="s">
        <v>1209</v>
      </c>
      <c r="B1824" s="2" t="s">
        <v>1214</v>
      </c>
      <c r="C1824" s="2" t="s">
        <v>1215</v>
      </c>
      <c r="D1824" s="2" t="s">
        <v>1423</v>
      </c>
      <c r="E1824" s="2" t="s">
        <v>1424</v>
      </c>
      <c r="F1824" s="2">
        <v>5.81</v>
      </c>
      <c r="G1824" s="2" t="s">
        <v>1425</v>
      </c>
      <c r="H1824" s="2">
        <v>4.5</v>
      </c>
      <c r="I1824" s="2">
        <v>5.5</v>
      </c>
      <c r="J1824" s="5" t="s">
        <v>1426</v>
      </c>
      <c r="K1824" s="2" t="s">
        <v>1434</v>
      </c>
    </row>
    <row r="1825" spans="1:11" x14ac:dyDescent="0.2">
      <c r="A1825" s="3" t="s">
        <v>1209</v>
      </c>
      <c r="B1825" s="3" t="s">
        <v>1217</v>
      </c>
      <c r="C1825" s="3" t="s">
        <v>1218</v>
      </c>
      <c r="D1825" s="3" t="s">
        <v>1455</v>
      </c>
      <c r="E1825" s="3" t="s">
        <v>1456</v>
      </c>
      <c r="F1825" s="3">
        <v>87.73</v>
      </c>
      <c r="G1825" s="3" t="s">
        <v>1457</v>
      </c>
      <c r="H1825" s="3">
        <v>40</v>
      </c>
      <c r="I1825" s="3">
        <v>130</v>
      </c>
      <c r="J1825" s="3" t="s">
        <v>1416</v>
      </c>
      <c r="K1825" s="3" t="s">
        <v>1431</v>
      </c>
    </row>
    <row r="1826" spans="1:11" x14ac:dyDescent="0.2">
      <c r="A1826" s="2" t="s">
        <v>1209</v>
      </c>
      <c r="B1826" s="2" t="s">
        <v>1217</v>
      </c>
      <c r="C1826" s="2" t="s">
        <v>1218</v>
      </c>
      <c r="D1826" s="2" t="s">
        <v>1413</v>
      </c>
      <c r="E1826" s="2" t="s">
        <v>1414</v>
      </c>
      <c r="F1826" s="2">
        <v>2.0499999999999998</v>
      </c>
      <c r="G1826" s="2" t="s">
        <v>1415</v>
      </c>
      <c r="H1826" s="2">
        <v>1</v>
      </c>
      <c r="I1826" s="2">
        <v>5</v>
      </c>
      <c r="J1826" s="2" t="s">
        <v>1416</v>
      </c>
      <c r="K1826" s="2" t="s">
        <v>1417</v>
      </c>
    </row>
    <row r="1827" spans="1:11" x14ac:dyDescent="0.2">
      <c r="A1827" s="3" t="s">
        <v>1209</v>
      </c>
      <c r="B1827" s="3" t="s">
        <v>1217</v>
      </c>
      <c r="C1827" s="3" t="s">
        <v>1218</v>
      </c>
      <c r="D1827" s="3" t="s">
        <v>1453</v>
      </c>
      <c r="E1827" s="3" t="s">
        <v>1454</v>
      </c>
      <c r="F1827" s="3">
        <v>4.97</v>
      </c>
      <c r="G1827" s="3" t="s">
        <v>1415</v>
      </c>
      <c r="H1827" s="3">
        <v>3.9</v>
      </c>
      <c r="I1827" s="3">
        <v>5.5</v>
      </c>
      <c r="J1827" s="3" t="s">
        <v>1416</v>
      </c>
      <c r="K1827" s="3" t="s">
        <v>1431</v>
      </c>
    </row>
    <row r="1828" spans="1:11" x14ac:dyDescent="0.2">
      <c r="A1828" s="2" t="s">
        <v>1209</v>
      </c>
      <c r="B1828" s="2" t="s">
        <v>1217</v>
      </c>
      <c r="C1828" s="2" t="s">
        <v>1218</v>
      </c>
      <c r="D1828" s="2" t="s">
        <v>1432</v>
      </c>
      <c r="E1828" s="2" t="s">
        <v>1433</v>
      </c>
      <c r="F1828" s="2">
        <v>4.99</v>
      </c>
      <c r="G1828" s="2" t="s">
        <v>1415</v>
      </c>
      <c r="H1828" s="2">
        <v>0</v>
      </c>
      <c r="I1828" s="2">
        <v>3</v>
      </c>
      <c r="J1828" s="5" t="s">
        <v>1426</v>
      </c>
      <c r="K1828" s="2" t="s">
        <v>1420</v>
      </c>
    </row>
    <row r="1829" spans="1:11" x14ac:dyDescent="0.2">
      <c r="A1829" s="3" t="s">
        <v>1209</v>
      </c>
      <c r="B1829" s="3" t="s">
        <v>1217</v>
      </c>
      <c r="C1829" s="3" t="s">
        <v>1218</v>
      </c>
      <c r="D1829" s="3" t="s">
        <v>1437</v>
      </c>
      <c r="E1829" s="3" t="s">
        <v>1438</v>
      </c>
      <c r="F1829" s="3">
        <v>18.190000000000001</v>
      </c>
      <c r="G1829" s="3" t="s">
        <v>1439</v>
      </c>
      <c r="H1829" s="3">
        <v>12</v>
      </c>
      <c r="I1829" s="3">
        <v>17.5</v>
      </c>
      <c r="J1829" s="5" t="s">
        <v>1426</v>
      </c>
      <c r="K1829" s="3" t="s">
        <v>1417</v>
      </c>
    </row>
    <row r="1830" spans="1:11" x14ac:dyDescent="0.2">
      <c r="A1830" s="2" t="s">
        <v>1209</v>
      </c>
      <c r="B1830" s="2" t="s">
        <v>1220</v>
      </c>
      <c r="C1830" s="2" t="s">
        <v>538</v>
      </c>
      <c r="D1830" s="2" t="s">
        <v>1453</v>
      </c>
      <c r="E1830" s="2" t="s">
        <v>1454</v>
      </c>
      <c r="F1830" s="2">
        <v>5.83</v>
      </c>
      <c r="G1830" s="2" t="s">
        <v>1415</v>
      </c>
      <c r="H1830" s="2">
        <v>3.9</v>
      </c>
      <c r="I1830" s="2">
        <v>5.5</v>
      </c>
      <c r="J1830" s="5" t="s">
        <v>1426</v>
      </c>
      <c r="K1830" s="2" t="s">
        <v>1431</v>
      </c>
    </row>
    <row r="1831" spans="1:11" x14ac:dyDescent="0.2">
      <c r="A1831" s="3" t="s">
        <v>1209</v>
      </c>
      <c r="B1831" s="3" t="s">
        <v>1220</v>
      </c>
      <c r="C1831" s="3" t="s">
        <v>538</v>
      </c>
      <c r="D1831" s="3" t="s">
        <v>1437</v>
      </c>
      <c r="E1831" s="3" t="s">
        <v>1438</v>
      </c>
      <c r="F1831" s="3">
        <v>18.489999999999998</v>
      </c>
      <c r="G1831" s="3" t="s">
        <v>1439</v>
      </c>
      <c r="H1831" s="3">
        <v>12</v>
      </c>
      <c r="I1831" s="3">
        <v>17.5</v>
      </c>
      <c r="J1831" s="5" t="s">
        <v>1426</v>
      </c>
      <c r="K1831" s="3" t="s">
        <v>1417</v>
      </c>
    </row>
    <row r="1832" spans="1:11" x14ac:dyDescent="0.2">
      <c r="A1832" s="2" t="s">
        <v>1209</v>
      </c>
      <c r="B1832" s="2" t="s">
        <v>1220</v>
      </c>
      <c r="C1832" s="2" t="s">
        <v>538</v>
      </c>
      <c r="D1832" s="2" t="s">
        <v>1427</v>
      </c>
      <c r="E1832" s="2" t="s">
        <v>1428</v>
      </c>
      <c r="F1832" s="2">
        <v>5.42</v>
      </c>
      <c r="G1832" s="2" t="s">
        <v>1429</v>
      </c>
      <c r="H1832" s="2">
        <v>4</v>
      </c>
      <c r="I1832" s="2">
        <v>11</v>
      </c>
      <c r="J1832" s="2" t="s">
        <v>1416</v>
      </c>
      <c r="K1832" s="2" t="s">
        <v>1417</v>
      </c>
    </row>
    <row r="1833" spans="1:11" x14ac:dyDescent="0.2">
      <c r="A1833" s="3" t="s">
        <v>1209</v>
      </c>
      <c r="B1833" s="3" t="s">
        <v>1220</v>
      </c>
      <c r="C1833" s="3" t="s">
        <v>538</v>
      </c>
      <c r="D1833" s="3" t="s">
        <v>1455</v>
      </c>
      <c r="E1833" s="3" t="s">
        <v>1456</v>
      </c>
      <c r="F1833" s="3">
        <v>43.31</v>
      </c>
      <c r="G1833" s="3" t="s">
        <v>1457</v>
      </c>
      <c r="H1833" s="3">
        <v>40</v>
      </c>
      <c r="I1833" s="3">
        <v>130</v>
      </c>
      <c r="J1833" s="3" t="s">
        <v>1416</v>
      </c>
      <c r="K1833" s="3" t="s">
        <v>1434</v>
      </c>
    </row>
    <row r="1834" spans="1:11" x14ac:dyDescent="0.2">
      <c r="A1834" s="2" t="s">
        <v>1209</v>
      </c>
      <c r="B1834" s="2" t="s">
        <v>1220</v>
      </c>
      <c r="C1834" s="2" t="s">
        <v>538</v>
      </c>
      <c r="D1834" s="2" t="s">
        <v>1432</v>
      </c>
      <c r="E1834" s="2" t="s">
        <v>1433</v>
      </c>
      <c r="F1834" s="2">
        <v>4.68</v>
      </c>
      <c r="G1834" s="2" t="s">
        <v>1415</v>
      </c>
      <c r="H1834" s="2">
        <v>0</v>
      </c>
      <c r="I1834" s="2">
        <v>3</v>
      </c>
      <c r="J1834" s="5" t="s">
        <v>1426</v>
      </c>
      <c r="K1834" s="2" t="s">
        <v>1417</v>
      </c>
    </row>
    <row r="1835" spans="1:11" x14ac:dyDescent="0.2">
      <c r="A1835" s="3" t="s">
        <v>1209</v>
      </c>
      <c r="B1835" s="3" t="s">
        <v>1220</v>
      </c>
      <c r="C1835" s="3" t="s">
        <v>538</v>
      </c>
      <c r="D1835" s="3" t="s">
        <v>1421</v>
      </c>
      <c r="E1835" s="3" t="s">
        <v>1422</v>
      </c>
      <c r="F1835" s="3">
        <v>6.74</v>
      </c>
      <c r="G1835" s="3" t="s">
        <v>1415</v>
      </c>
      <c r="H1835" s="3">
        <v>0</v>
      </c>
      <c r="I1835" s="3">
        <v>5</v>
      </c>
      <c r="J1835" s="5" t="s">
        <v>1426</v>
      </c>
      <c r="K1835" s="3" t="s">
        <v>1434</v>
      </c>
    </row>
    <row r="1836" spans="1:11" x14ac:dyDescent="0.2">
      <c r="A1836" s="2" t="s">
        <v>1209</v>
      </c>
      <c r="B1836" s="2" t="s">
        <v>1221</v>
      </c>
      <c r="C1836" s="2" t="s">
        <v>708</v>
      </c>
      <c r="D1836" s="2" t="s">
        <v>1453</v>
      </c>
      <c r="E1836" s="2" t="s">
        <v>1454</v>
      </c>
      <c r="F1836" s="2">
        <v>6.61</v>
      </c>
      <c r="G1836" s="2" t="s">
        <v>1415</v>
      </c>
      <c r="H1836" s="2">
        <v>3.9</v>
      </c>
      <c r="I1836" s="2">
        <v>5.5</v>
      </c>
      <c r="J1836" s="5" t="s">
        <v>1426</v>
      </c>
      <c r="K1836" s="2" t="s">
        <v>1431</v>
      </c>
    </row>
    <row r="1837" spans="1:11" x14ac:dyDescent="0.2">
      <c r="A1837" s="3" t="s">
        <v>1209</v>
      </c>
      <c r="B1837" s="3" t="s">
        <v>1221</v>
      </c>
      <c r="C1837" s="3" t="s">
        <v>708</v>
      </c>
      <c r="D1837" s="3" t="s">
        <v>1437</v>
      </c>
      <c r="E1837" s="3" t="s">
        <v>1438</v>
      </c>
      <c r="F1837" s="3">
        <v>9.67</v>
      </c>
      <c r="G1837" s="3" t="s">
        <v>1439</v>
      </c>
      <c r="H1837" s="3">
        <v>12</v>
      </c>
      <c r="I1837" s="3">
        <v>17.5</v>
      </c>
      <c r="J1837" s="5" t="s">
        <v>1430</v>
      </c>
      <c r="K1837" s="3" t="s">
        <v>1431</v>
      </c>
    </row>
    <row r="1838" spans="1:11" x14ac:dyDescent="0.2">
      <c r="A1838" s="2" t="s">
        <v>1209</v>
      </c>
      <c r="B1838" s="2" t="s">
        <v>1221</v>
      </c>
      <c r="C1838" s="2" t="s">
        <v>708</v>
      </c>
      <c r="D1838" s="2" t="s">
        <v>1446</v>
      </c>
      <c r="E1838" s="2" t="s">
        <v>1447</v>
      </c>
      <c r="F1838" s="2">
        <v>2.34</v>
      </c>
      <c r="G1838" s="2" t="s">
        <v>1415</v>
      </c>
      <c r="H1838" s="2">
        <v>2.1</v>
      </c>
      <c r="I1838" s="2">
        <v>2.6</v>
      </c>
      <c r="J1838" s="2" t="s">
        <v>1416</v>
      </c>
      <c r="K1838" s="2" t="s">
        <v>1431</v>
      </c>
    </row>
    <row r="1839" spans="1:11" x14ac:dyDescent="0.2">
      <c r="A1839" s="3" t="s">
        <v>1209</v>
      </c>
      <c r="B1839" s="3" t="s">
        <v>1221</v>
      </c>
      <c r="C1839" s="3" t="s">
        <v>708</v>
      </c>
      <c r="D1839" s="3" t="s">
        <v>1432</v>
      </c>
      <c r="E1839" s="3" t="s">
        <v>1433</v>
      </c>
      <c r="F1839" s="3">
        <v>2.31</v>
      </c>
      <c r="G1839" s="3" t="s">
        <v>1415</v>
      </c>
      <c r="H1839" s="3">
        <v>0</v>
      </c>
      <c r="I1839" s="3">
        <v>3</v>
      </c>
      <c r="J1839" s="3" t="s">
        <v>1416</v>
      </c>
      <c r="K1839" s="3" t="s">
        <v>1417</v>
      </c>
    </row>
    <row r="1840" spans="1:11" x14ac:dyDescent="0.2">
      <c r="A1840" s="2" t="s">
        <v>1209</v>
      </c>
      <c r="B1840" s="2" t="s">
        <v>1221</v>
      </c>
      <c r="C1840" s="2" t="s">
        <v>708</v>
      </c>
      <c r="D1840" s="2" t="s">
        <v>1427</v>
      </c>
      <c r="E1840" s="2" t="s">
        <v>1428</v>
      </c>
      <c r="F1840" s="2">
        <v>8.77</v>
      </c>
      <c r="G1840" s="2" t="s">
        <v>1429</v>
      </c>
      <c r="H1840" s="2">
        <v>4</v>
      </c>
      <c r="I1840" s="2">
        <v>11</v>
      </c>
      <c r="J1840" s="2" t="s">
        <v>1416</v>
      </c>
      <c r="K1840" s="2" t="s">
        <v>1417</v>
      </c>
    </row>
    <row r="1841" spans="1:11" x14ac:dyDescent="0.2">
      <c r="A1841" s="3" t="s">
        <v>1209</v>
      </c>
      <c r="B1841" s="3" t="s">
        <v>1221</v>
      </c>
      <c r="C1841" s="3" t="s">
        <v>708</v>
      </c>
      <c r="D1841" s="3" t="s">
        <v>1423</v>
      </c>
      <c r="E1841" s="3" t="s">
        <v>1424</v>
      </c>
      <c r="F1841" s="3">
        <v>3.25</v>
      </c>
      <c r="G1841" s="3" t="s">
        <v>1425</v>
      </c>
      <c r="H1841" s="3">
        <v>4.5</v>
      </c>
      <c r="I1841" s="3">
        <v>5.5</v>
      </c>
      <c r="J1841" s="5" t="s">
        <v>1430</v>
      </c>
      <c r="K1841" s="3" t="s">
        <v>1434</v>
      </c>
    </row>
    <row r="1842" spans="1:11" x14ac:dyDescent="0.2">
      <c r="A1842" s="2" t="s">
        <v>1209</v>
      </c>
      <c r="B1842" s="2" t="s">
        <v>1221</v>
      </c>
      <c r="C1842" s="2" t="s">
        <v>708</v>
      </c>
      <c r="D1842" s="2" t="s">
        <v>1450</v>
      </c>
      <c r="E1842" s="2" t="s">
        <v>1451</v>
      </c>
      <c r="F1842" s="2">
        <v>71.489999999999995</v>
      </c>
      <c r="G1842" s="2" t="s">
        <v>1452</v>
      </c>
      <c r="H1842" s="2">
        <v>60</v>
      </c>
      <c r="I1842" s="2">
        <v>120</v>
      </c>
      <c r="J1842" s="2" t="s">
        <v>1416</v>
      </c>
      <c r="K1842" s="2" t="s">
        <v>1420</v>
      </c>
    </row>
    <row r="1843" spans="1:11" x14ac:dyDescent="0.2">
      <c r="A1843" s="3" t="s">
        <v>1223</v>
      </c>
      <c r="B1843" s="3" t="s">
        <v>1224</v>
      </c>
      <c r="C1843" s="3" t="s">
        <v>313</v>
      </c>
      <c r="D1843" s="3" t="s">
        <v>1448</v>
      </c>
      <c r="E1843" s="3" t="s">
        <v>1449</v>
      </c>
      <c r="F1843" s="3">
        <v>140.91</v>
      </c>
      <c r="G1843" s="3" t="s">
        <v>1415</v>
      </c>
      <c r="H1843" s="3">
        <v>136</v>
      </c>
      <c r="I1843" s="3">
        <v>145</v>
      </c>
      <c r="J1843" s="3" t="s">
        <v>1416</v>
      </c>
      <c r="K1843" s="3" t="s">
        <v>1434</v>
      </c>
    </row>
    <row r="1844" spans="1:11" x14ac:dyDescent="0.2">
      <c r="A1844" s="2" t="s">
        <v>1223</v>
      </c>
      <c r="B1844" s="2" t="s">
        <v>1224</v>
      </c>
      <c r="C1844" s="2" t="s">
        <v>313</v>
      </c>
      <c r="D1844" s="2" t="s">
        <v>1423</v>
      </c>
      <c r="E1844" s="2" t="s">
        <v>1424</v>
      </c>
      <c r="F1844" s="2">
        <v>3.56</v>
      </c>
      <c r="G1844" s="2" t="s">
        <v>1425</v>
      </c>
      <c r="H1844" s="2">
        <v>4.5</v>
      </c>
      <c r="I1844" s="2">
        <v>5.5</v>
      </c>
      <c r="J1844" s="5" t="s">
        <v>1430</v>
      </c>
      <c r="K1844" s="2" t="s">
        <v>1434</v>
      </c>
    </row>
    <row r="1845" spans="1:11" x14ac:dyDescent="0.2">
      <c r="A1845" s="3" t="s">
        <v>1223</v>
      </c>
      <c r="B1845" s="3" t="s">
        <v>1224</v>
      </c>
      <c r="C1845" s="3" t="s">
        <v>313</v>
      </c>
      <c r="D1845" s="3" t="s">
        <v>1418</v>
      </c>
      <c r="E1845" s="3" t="s">
        <v>1419</v>
      </c>
      <c r="F1845" s="3">
        <v>3.91</v>
      </c>
      <c r="G1845" s="3" t="s">
        <v>1415</v>
      </c>
      <c r="H1845" s="3">
        <v>3.5</v>
      </c>
      <c r="I1845" s="3">
        <v>5</v>
      </c>
      <c r="J1845" s="3" t="s">
        <v>1416</v>
      </c>
      <c r="K1845" s="3" t="s">
        <v>1431</v>
      </c>
    </row>
    <row r="1846" spans="1:11" x14ac:dyDescent="0.2">
      <c r="A1846" s="2" t="s">
        <v>1223</v>
      </c>
      <c r="B1846" s="2" t="s">
        <v>1224</v>
      </c>
      <c r="C1846" s="2" t="s">
        <v>313</v>
      </c>
      <c r="D1846" s="2" t="s">
        <v>1413</v>
      </c>
      <c r="E1846" s="2" t="s">
        <v>1414</v>
      </c>
      <c r="F1846" s="2">
        <v>1.66</v>
      </c>
      <c r="G1846" s="2" t="s">
        <v>1415</v>
      </c>
      <c r="H1846" s="2">
        <v>1</v>
      </c>
      <c r="I1846" s="2">
        <v>5</v>
      </c>
      <c r="J1846" s="2" t="s">
        <v>1416</v>
      </c>
      <c r="K1846" s="2" t="s">
        <v>1434</v>
      </c>
    </row>
    <row r="1847" spans="1:11" x14ac:dyDescent="0.2">
      <c r="A1847" s="3" t="s">
        <v>1223</v>
      </c>
      <c r="B1847" s="3" t="s">
        <v>1224</v>
      </c>
      <c r="C1847" s="3" t="s">
        <v>313</v>
      </c>
      <c r="D1847" s="3" t="s">
        <v>1455</v>
      </c>
      <c r="E1847" s="3" t="s">
        <v>1456</v>
      </c>
      <c r="F1847" s="3">
        <v>200.97</v>
      </c>
      <c r="G1847" s="3" t="s">
        <v>1457</v>
      </c>
      <c r="H1847" s="3">
        <v>40</v>
      </c>
      <c r="I1847" s="3">
        <v>130</v>
      </c>
      <c r="J1847" s="5" t="s">
        <v>1426</v>
      </c>
      <c r="K1847" s="3" t="s">
        <v>1434</v>
      </c>
    </row>
    <row r="1848" spans="1:11" x14ac:dyDescent="0.2">
      <c r="A1848" s="2" t="s">
        <v>1223</v>
      </c>
      <c r="B1848" s="2" t="s">
        <v>1224</v>
      </c>
      <c r="C1848" s="2" t="s">
        <v>313</v>
      </c>
      <c r="D1848" s="2" t="s">
        <v>1435</v>
      </c>
      <c r="E1848" s="2" t="s">
        <v>1436</v>
      </c>
      <c r="F1848" s="2">
        <v>1.76</v>
      </c>
      <c r="G1848" s="2" t="s">
        <v>1415</v>
      </c>
      <c r="H1848" s="2">
        <v>0.8</v>
      </c>
      <c r="I1848" s="2">
        <v>1.5</v>
      </c>
      <c r="J1848" s="5" t="s">
        <v>1426</v>
      </c>
      <c r="K1848" s="2" t="s">
        <v>1417</v>
      </c>
    </row>
    <row r="1849" spans="1:11" x14ac:dyDescent="0.2">
      <c r="A1849" s="3" t="s">
        <v>1223</v>
      </c>
      <c r="B1849" s="3" t="s">
        <v>1224</v>
      </c>
      <c r="C1849" s="3" t="s">
        <v>313</v>
      </c>
      <c r="D1849" s="3" t="s">
        <v>1443</v>
      </c>
      <c r="E1849" s="3" t="s">
        <v>1444</v>
      </c>
      <c r="F1849" s="3">
        <v>62.53</v>
      </c>
      <c r="G1849" s="3" t="s">
        <v>1445</v>
      </c>
      <c r="H1849" s="3">
        <v>53</v>
      </c>
      <c r="I1849" s="3">
        <v>97</v>
      </c>
      <c r="J1849" s="3" t="s">
        <v>1416</v>
      </c>
      <c r="K1849" s="3" t="s">
        <v>1434</v>
      </c>
    </row>
    <row r="1850" spans="1:11" x14ac:dyDescent="0.2">
      <c r="A1850" s="2" t="s">
        <v>1227</v>
      </c>
      <c r="B1850" s="2" t="s">
        <v>1228</v>
      </c>
      <c r="C1850" s="2" t="s">
        <v>1229</v>
      </c>
      <c r="D1850" s="2" t="s">
        <v>1446</v>
      </c>
      <c r="E1850" s="2" t="s">
        <v>1447</v>
      </c>
      <c r="F1850" s="2">
        <v>2.62</v>
      </c>
      <c r="G1850" s="2" t="s">
        <v>1415</v>
      </c>
      <c r="H1850" s="2">
        <v>2.1</v>
      </c>
      <c r="I1850" s="2">
        <v>2.6</v>
      </c>
      <c r="J1850" s="5" t="s">
        <v>1426</v>
      </c>
      <c r="K1850" s="2" t="s">
        <v>1434</v>
      </c>
    </row>
    <row r="1851" spans="1:11" x14ac:dyDescent="0.2">
      <c r="A1851" s="3" t="s">
        <v>1227</v>
      </c>
      <c r="B1851" s="3" t="s">
        <v>1228</v>
      </c>
      <c r="C1851" s="3" t="s">
        <v>1229</v>
      </c>
      <c r="D1851" s="3" t="s">
        <v>1418</v>
      </c>
      <c r="E1851" s="3" t="s">
        <v>1419</v>
      </c>
      <c r="F1851" s="3">
        <v>5.29</v>
      </c>
      <c r="G1851" s="3" t="s">
        <v>1415</v>
      </c>
      <c r="H1851" s="3">
        <v>3.5</v>
      </c>
      <c r="I1851" s="3">
        <v>5</v>
      </c>
      <c r="J1851" s="5" t="s">
        <v>1426</v>
      </c>
      <c r="K1851" s="3" t="s">
        <v>1434</v>
      </c>
    </row>
    <row r="1852" spans="1:11" x14ac:dyDescent="0.2">
      <c r="A1852" s="2" t="s">
        <v>1227</v>
      </c>
      <c r="B1852" s="2" t="s">
        <v>1228</v>
      </c>
      <c r="C1852" s="2" t="s">
        <v>1229</v>
      </c>
      <c r="D1852" s="2" t="s">
        <v>1435</v>
      </c>
      <c r="E1852" s="2" t="s">
        <v>1436</v>
      </c>
      <c r="F1852" s="2">
        <v>1.0900000000000001</v>
      </c>
      <c r="G1852" s="2" t="s">
        <v>1415</v>
      </c>
      <c r="H1852" s="2">
        <v>0.8</v>
      </c>
      <c r="I1852" s="2">
        <v>1.5</v>
      </c>
      <c r="J1852" s="2" t="s">
        <v>1416</v>
      </c>
      <c r="K1852" s="2" t="s">
        <v>1431</v>
      </c>
    </row>
    <row r="1853" spans="1:11" x14ac:dyDescent="0.2">
      <c r="A1853" s="3" t="s">
        <v>1227</v>
      </c>
      <c r="B1853" s="3" t="s">
        <v>1228</v>
      </c>
      <c r="C1853" s="3" t="s">
        <v>1229</v>
      </c>
      <c r="D1853" s="3" t="s">
        <v>1427</v>
      </c>
      <c r="E1853" s="3" t="s">
        <v>1428</v>
      </c>
      <c r="F1853" s="3">
        <v>16.329999999999998</v>
      </c>
      <c r="G1853" s="3" t="s">
        <v>1429</v>
      </c>
      <c r="H1853" s="3">
        <v>4</v>
      </c>
      <c r="I1853" s="3">
        <v>11</v>
      </c>
      <c r="J1853" s="5" t="s">
        <v>1426</v>
      </c>
      <c r="K1853" s="3" t="s">
        <v>1420</v>
      </c>
    </row>
    <row r="1854" spans="1:11" x14ac:dyDescent="0.2">
      <c r="A1854" s="2" t="s">
        <v>1227</v>
      </c>
      <c r="B1854" s="2" t="s">
        <v>1228</v>
      </c>
      <c r="C1854" s="2" t="s">
        <v>1229</v>
      </c>
      <c r="D1854" s="2" t="s">
        <v>1450</v>
      </c>
      <c r="E1854" s="2" t="s">
        <v>1451</v>
      </c>
      <c r="F1854" s="2">
        <v>23.39</v>
      </c>
      <c r="G1854" s="2" t="s">
        <v>1452</v>
      </c>
      <c r="H1854" s="2">
        <v>60</v>
      </c>
      <c r="I1854" s="2">
        <v>120</v>
      </c>
      <c r="J1854" s="5" t="s">
        <v>1430</v>
      </c>
      <c r="K1854" s="2" t="s">
        <v>1431</v>
      </c>
    </row>
    <row r="1855" spans="1:11" x14ac:dyDescent="0.2">
      <c r="A1855" s="3" t="s">
        <v>1227</v>
      </c>
      <c r="B1855" s="3" t="s">
        <v>1228</v>
      </c>
      <c r="C1855" s="3" t="s">
        <v>1229</v>
      </c>
      <c r="D1855" s="3" t="s">
        <v>1440</v>
      </c>
      <c r="E1855" s="3" t="s">
        <v>1441</v>
      </c>
      <c r="F1855" s="3">
        <v>8.2200000000000006</v>
      </c>
      <c r="G1855" s="3" t="s">
        <v>1442</v>
      </c>
      <c r="H1855" s="3">
        <v>4</v>
      </c>
      <c r="I1855" s="3">
        <v>5.6</v>
      </c>
      <c r="J1855" s="5" t="s">
        <v>1426</v>
      </c>
      <c r="K1855" s="3" t="s">
        <v>1434</v>
      </c>
    </row>
    <row r="1856" spans="1:11" x14ac:dyDescent="0.2">
      <c r="A1856" s="2" t="s">
        <v>1227</v>
      </c>
      <c r="B1856" s="2" t="s">
        <v>1228</v>
      </c>
      <c r="C1856" s="2" t="s">
        <v>1229</v>
      </c>
      <c r="D1856" s="2" t="s">
        <v>1437</v>
      </c>
      <c r="E1856" s="2" t="s">
        <v>1438</v>
      </c>
      <c r="F1856" s="2">
        <v>6.59</v>
      </c>
      <c r="G1856" s="2" t="s">
        <v>1439</v>
      </c>
      <c r="H1856" s="2">
        <v>12</v>
      </c>
      <c r="I1856" s="2">
        <v>17.5</v>
      </c>
      <c r="J1856" s="5" t="s">
        <v>1430</v>
      </c>
      <c r="K1856" s="2" t="s">
        <v>1417</v>
      </c>
    </row>
    <row r="1857" spans="1:11" x14ac:dyDescent="0.2">
      <c r="A1857" s="3" t="s">
        <v>1227</v>
      </c>
      <c r="B1857" s="3" t="s">
        <v>1228</v>
      </c>
      <c r="C1857" s="3" t="s">
        <v>1229</v>
      </c>
      <c r="D1857" s="3" t="s">
        <v>1432</v>
      </c>
      <c r="E1857" s="3" t="s">
        <v>1433</v>
      </c>
      <c r="F1857" s="3">
        <v>1.98</v>
      </c>
      <c r="G1857" s="3" t="s">
        <v>1415</v>
      </c>
      <c r="H1857" s="3">
        <v>0</v>
      </c>
      <c r="I1857" s="3">
        <v>3</v>
      </c>
      <c r="J1857" s="3" t="s">
        <v>1416</v>
      </c>
      <c r="K1857" s="3" t="s">
        <v>1434</v>
      </c>
    </row>
    <row r="1858" spans="1:11" x14ac:dyDescent="0.2">
      <c r="A1858" s="2" t="s">
        <v>1227</v>
      </c>
      <c r="B1858" s="2" t="s">
        <v>1231</v>
      </c>
      <c r="C1858" s="2" t="s">
        <v>930</v>
      </c>
      <c r="D1858" s="2" t="s">
        <v>1443</v>
      </c>
      <c r="E1858" s="2" t="s">
        <v>1444</v>
      </c>
      <c r="F1858" s="2">
        <v>94.48</v>
      </c>
      <c r="G1858" s="2" t="s">
        <v>1445</v>
      </c>
      <c r="H1858" s="2">
        <v>53</v>
      </c>
      <c r="I1858" s="2">
        <v>97</v>
      </c>
      <c r="J1858" s="2" t="s">
        <v>1416</v>
      </c>
      <c r="K1858" s="2" t="s">
        <v>1431</v>
      </c>
    </row>
    <row r="1859" spans="1:11" x14ac:dyDescent="0.2">
      <c r="A1859" s="3" t="s">
        <v>1227</v>
      </c>
      <c r="B1859" s="3" t="s">
        <v>1231</v>
      </c>
      <c r="C1859" s="3" t="s">
        <v>930</v>
      </c>
      <c r="D1859" s="3" t="s">
        <v>1421</v>
      </c>
      <c r="E1859" s="3" t="s">
        <v>1422</v>
      </c>
      <c r="F1859" s="3">
        <v>4.99</v>
      </c>
      <c r="G1859" s="3" t="s">
        <v>1415</v>
      </c>
      <c r="H1859" s="3">
        <v>0</v>
      </c>
      <c r="I1859" s="3">
        <v>5</v>
      </c>
      <c r="J1859" s="3" t="s">
        <v>1416</v>
      </c>
      <c r="K1859" s="3" t="s">
        <v>1417</v>
      </c>
    </row>
    <row r="1860" spans="1:11" x14ac:dyDescent="0.2">
      <c r="A1860" s="2" t="s">
        <v>1227</v>
      </c>
      <c r="B1860" s="2" t="s">
        <v>1231</v>
      </c>
      <c r="C1860" s="2" t="s">
        <v>930</v>
      </c>
      <c r="D1860" s="2" t="s">
        <v>1437</v>
      </c>
      <c r="E1860" s="2" t="s">
        <v>1438</v>
      </c>
      <c r="F1860" s="2">
        <v>6.58</v>
      </c>
      <c r="G1860" s="2" t="s">
        <v>1439</v>
      </c>
      <c r="H1860" s="2">
        <v>12</v>
      </c>
      <c r="I1860" s="2">
        <v>17.5</v>
      </c>
      <c r="J1860" s="5" t="s">
        <v>1430</v>
      </c>
      <c r="K1860" s="2" t="s">
        <v>1431</v>
      </c>
    </row>
    <row r="1861" spans="1:11" x14ac:dyDescent="0.2">
      <c r="A1861" s="3" t="s">
        <v>1227</v>
      </c>
      <c r="B1861" s="3" t="s">
        <v>1231</v>
      </c>
      <c r="C1861" s="3" t="s">
        <v>930</v>
      </c>
      <c r="D1861" s="3" t="s">
        <v>1432</v>
      </c>
      <c r="E1861" s="3" t="s">
        <v>1433</v>
      </c>
      <c r="F1861" s="3">
        <v>3.48</v>
      </c>
      <c r="G1861" s="3" t="s">
        <v>1415</v>
      </c>
      <c r="H1861" s="3">
        <v>0</v>
      </c>
      <c r="I1861" s="3">
        <v>3</v>
      </c>
      <c r="J1861" s="5" t="s">
        <v>1426</v>
      </c>
      <c r="K1861" s="3" t="s">
        <v>1420</v>
      </c>
    </row>
    <row r="1862" spans="1:11" x14ac:dyDescent="0.2">
      <c r="A1862" s="2" t="s">
        <v>1227</v>
      </c>
      <c r="B1862" s="2" t="s">
        <v>1231</v>
      </c>
      <c r="C1862" s="2" t="s">
        <v>930</v>
      </c>
      <c r="D1862" s="2" t="s">
        <v>1440</v>
      </c>
      <c r="E1862" s="2" t="s">
        <v>1441</v>
      </c>
      <c r="F1862" s="2">
        <v>10.73</v>
      </c>
      <c r="G1862" s="2" t="s">
        <v>1442</v>
      </c>
      <c r="H1862" s="2">
        <v>4</v>
      </c>
      <c r="I1862" s="2">
        <v>5.6</v>
      </c>
      <c r="J1862" s="5" t="s">
        <v>1426</v>
      </c>
      <c r="K1862" s="2" t="s">
        <v>1417</v>
      </c>
    </row>
    <row r="1863" spans="1:11" x14ac:dyDescent="0.2">
      <c r="A1863" s="3" t="s">
        <v>1227</v>
      </c>
      <c r="B1863" s="3" t="s">
        <v>1233</v>
      </c>
      <c r="C1863" s="3" t="s">
        <v>1234</v>
      </c>
      <c r="D1863" s="3" t="s">
        <v>1423</v>
      </c>
      <c r="E1863" s="3" t="s">
        <v>1424</v>
      </c>
      <c r="F1863" s="3">
        <v>4.25</v>
      </c>
      <c r="G1863" s="3" t="s">
        <v>1425</v>
      </c>
      <c r="H1863" s="3">
        <v>4.5</v>
      </c>
      <c r="I1863" s="3">
        <v>5.5</v>
      </c>
      <c r="J1863" s="5" t="s">
        <v>1430</v>
      </c>
      <c r="K1863" s="3" t="s">
        <v>1417</v>
      </c>
    </row>
    <row r="1864" spans="1:11" x14ac:dyDescent="0.2">
      <c r="A1864" s="2" t="s">
        <v>1227</v>
      </c>
      <c r="B1864" s="2" t="s">
        <v>1233</v>
      </c>
      <c r="C1864" s="2" t="s">
        <v>1234</v>
      </c>
      <c r="D1864" s="2" t="s">
        <v>1435</v>
      </c>
      <c r="E1864" s="2" t="s">
        <v>1436</v>
      </c>
      <c r="F1864" s="2">
        <v>0.99</v>
      </c>
      <c r="G1864" s="2" t="s">
        <v>1415</v>
      </c>
      <c r="H1864" s="2">
        <v>0.8</v>
      </c>
      <c r="I1864" s="2">
        <v>1.5</v>
      </c>
      <c r="J1864" s="2" t="s">
        <v>1416</v>
      </c>
      <c r="K1864" s="2" t="s">
        <v>1431</v>
      </c>
    </row>
    <row r="1865" spans="1:11" x14ac:dyDescent="0.2">
      <c r="A1865" s="3" t="s">
        <v>1227</v>
      </c>
      <c r="B1865" s="3" t="s">
        <v>1233</v>
      </c>
      <c r="C1865" s="3" t="s">
        <v>1234</v>
      </c>
      <c r="D1865" s="3" t="s">
        <v>1437</v>
      </c>
      <c r="E1865" s="3" t="s">
        <v>1438</v>
      </c>
      <c r="F1865" s="3">
        <v>16.62</v>
      </c>
      <c r="G1865" s="3" t="s">
        <v>1439</v>
      </c>
      <c r="H1865" s="3">
        <v>12</v>
      </c>
      <c r="I1865" s="3">
        <v>17.5</v>
      </c>
      <c r="J1865" s="3" t="s">
        <v>1416</v>
      </c>
      <c r="K1865" s="3" t="s">
        <v>1417</v>
      </c>
    </row>
    <row r="1866" spans="1:11" x14ac:dyDescent="0.2">
      <c r="A1866" s="2" t="s">
        <v>1227</v>
      </c>
      <c r="B1866" s="2" t="s">
        <v>1233</v>
      </c>
      <c r="C1866" s="2" t="s">
        <v>1234</v>
      </c>
      <c r="D1866" s="2" t="s">
        <v>1413</v>
      </c>
      <c r="E1866" s="2" t="s">
        <v>1414</v>
      </c>
      <c r="F1866" s="2">
        <v>1.08</v>
      </c>
      <c r="G1866" s="2" t="s">
        <v>1415</v>
      </c>
      <c r="H1866" s="2">
        <v>1</v>
      </c>
      <c r="I1866" s="2">
        <v>5</v>
      </c>
      <c r="J1866" s="2" t="s">
        <v>1416</v>
      </c>
      <c r="K1866" s="2" t="s">
        <v>1434</v>
      </c>
    </row>
    <row r="1867" spans="1:11" x14ac:dyDescent="0.2">
      <c r="A1867" s="3" t="s">
        <v>1227</v>
      </c>
      <c r="B1867" s="3" t="s">
        <v>1233</v>
      </c>
      <c r="C1867" s="3" t="s">
        <v>1234</v>
      </c>
      <c r="D1867" s="3" t="s">
        <v>1421</v>
      </c>
      <c r="E1867" s="3" t="s">
        <v>1422</v>
      </c>
      <c r="F1867" s="3">
        <v>6.01</v>
      </c>
      <c r="G1867" s="3" t="s">
        <v>1415</v>
      </c>
      <c r="H1867" s="3">
        <v>0</v>
      </c>
      <c r="I1867" s="3">
        <v>5</v>
      </c>
      <c r="J1867" s="5" t="s">
        <v>1426</v>
      </c>
      <c r="K1867" s="3" t="s">
        <v>1417</v>
      </c>
    </row>
    <row r="1868" spans="1:11" x14ac:dyDescent="0.2">
      <c r="A1868" s="2" t="s">
        <v>1227</v>
      </c>
      <c r="B1868" s="2" t="s">
        <v>1233</v>
      </c>
      <c r="C1868" s="2" t="s">
        <v>1234</v>
      </c>
      <c r="D1868" s="2" t="s">
        <v>1446</v>
      </c>
      <c r="E1868" s="2" t="s">
        <v>1447</v>
      </c>
      <c r="F1868" s="2">
        <v>1.85</v>
      </c>
      <c r="G1868" s="2" t="s">
        <v>1415</v>
      </c>
      <c r="H1868" s="2">
        <v>2.1</v>
      </c>
      <c r="I1868" s="2">
        <v>2.6</v>
      </c>
      <c r="J1868" s="5" t="s">
        <v>1430</v>
      </c>
      <c r="K1868" s="2" t="s">
        <v>1417</v>
      </c>
    </row>
    <row r="1869" spans="1:11" x14ac:dyDescent="0.2">
      <c r="A1869" s="3" t="s">
        <v>1227</v>
      </c>
      <c r="B1869" s="3" t="s">
        <v>1233</v>
      </c>
      <c r="C1869" s="3" t="s">
        <v>1234</v>
      </c>
      <c r="D1869" s="3" t="s">
        <v>1418</v>
      </c>
      <c r="E1869" s="3" t="s">
        <v>1419</v>
      </c>
      <c r="F1869" s="3">
        <v>3.5</v>
      </c>
      <c r="G1869" s="3" t="s">
        <v>1415</v>
      </c>
      <c r="H1869" s="3">
        <v>3.5</v>
      </c>
      <c r="I1869" s="3">
        <v>5</v>
      </c>
      <c r="J1869" s="3" t="s">
        <v>1416</v>
      </c>
      <c r="K1869" s="3" t="s">
        <v>1431</v>
      </c>
    </row>
    <row r="1870" spans="1:11" x14ac:dyDescent="0.2">
      <c r="A1870" s="2" t="s">
        <v>1227</v>
      </c>
      <c r="B1870" s="2" t="s">
        <v>1233</v>
      </c>
      <c r="C1870" s="2" t="s">
        <v>1234</v>
      </c>
      <c r="D1870" s="2" t="s">
        <v>1443</v>
      </c>
      <c r="E1870" s="2" t="s">
        <v>1444</v>
      </c>
      <c r="F1870" s="2">
        <v>57.82</v>
      </c>
      <c r="G1870" s="2" t="s">
        <v>1445</v>
      </c>
      <c r="H1870" s="2">
        <v>53</v>
      </c>
      <c r="I1870" s="2">
        <v>97</v>
      </c>
      <c r="J1870" s="2" t="s">
        <v>1416</v>
      </c>
      <c r="K1870" s="2" t="s">
        <v>1434</v>
      </c>
    </row>
    <row r="1871" spans="1:11" x14ac:dyDescent="0.2">
      <c r="A1871" s="3" t="s">
        <v>1227</v>
      </c>
      <c r="B1871" s="3" t="s">
        <v>1236</v>
      </c>
      <c r="C1871" s="3" t="s">
        <v>1237</v>
      </c>
      <c r="D1871" s="3" t="s">
        <v>1440</v>
      </c>
      <c r="E1871" s="3" t="s">
        <v>1441</v>
      </c>
      <c r="F1871" s="3">
        <v>5.43</v>
      </c>
      <c r="G1871" s="3" t="s">
        <v>1442</v>
      </c>
      <c r="H1871" s="3">
        <v>4</v>
      </c>
      <c r="I1871" s="3">
        <v>5.6</v>
      </c>
      <c r="J1871" s="3" t="s">
        <v>1416</v>
      </c>
      <c r="K1871" s="3" t="s">
        <v>1420</v>
      </c>
    </row>
    <row r="1872" spans="1:11" x14ac:dyDescent="0.2">
      <c r="A1872" s="2" t="s">
        <v>1227</v>
      </c>
      <c r="B1872" s="2" t="s">
        <v>1236</v>
      </c>
      <c r="C1872" s="2" t="s">
        <v>1237</v>
      </c>
      <c r="D1872" s="2" t="s">
        <v>1450</v>
      </c>
      <c r="E1872" s="2" t="s">
        <v>1451</v>
      </c>
      <c r="F1872" s="2">
        <v>34.25</v>
      </c>
      <c r="G1872" s="2" t="s">
        <v>1452</v>
      </c>
      <c r="H1872" s="2">
        <v>60</v>
      </c>
      <c r="I1872" s="2">
        <v>120</v>
      </c>
      <c r="J1872" s="5" t="s">
        <v>1430</v>
      </c>
      <c r="K1872" s="2" t="s">
        <v>1420</v>
      </c>
    </row>
    <row r="1873" spans="1:11" x14ac:dyDescent="0.2">
      <c r="A1873" s="3" t="s">
        <v>1227</v>
      </c>
      <c r="B1873" s="3" t="s">
        <v>1236</v>
      </c>
      <c r="C1873" s="3" t="s">
        <v>1237</v>
      </c>
      <c r="D1873" s="3" t="s">
        <v>1448</v>
      </c>
      <c r="E1873" s="3" t="s">
        <v>1449</v>
      </c>
      <c r="F1873" s="3">
        <v>147.33000000000001</v>
      </c>
      <c r="G1873" s="3" t="s">
        <v>1415</v>
      </c>
      <c r="H1873" s="3">
        <v>136</v>
      </c>
      <c r="I1873" s="3">
        <v>145</v>
      </c>
      <c r="J1873" s="5" t="s">
        <v>1426</v>
      </c>
      <c r="K1873" s="3" t="s">
        <v>1417</v>
      </c>
    </row>
    <row r="1874" spans="1:11" x14ac:dyDescent="0.2">
      <c r="A1874" s="2" t="s">
        <v>1227</v>
      </c>
      <c r="B1874" s="2" t="s">
        <v>1239</v>
      </c>
      <c r="C1874" s="2" t="s">
        <v>1240</v>
      </c>
      <c r="D1874" s="2" t="s">
        <v>1427</v>
      </c>
      <c r="E1874" s="2" t="s">
        <v>1428</v>
      </c>
      <c r="F1874" s="2">
        <v>4.18</v>
      </c>
      <c r="G1874" s="2" t="s">
        <v>1429</v>
      </c>
      <c r="H1874" s="2">
        <v>4</v>
      </c>
      <c r="I1874" s="2">
        <v>11</v>
      </c>
      <c r="J1874" s="2" t="s">
        <v>1416</v>
      </c>
      <c r="K1874" s="2" t="s">
        <v>1434</v>
      </c>
    </row>
    <row r="1875" spans="1:11" x14ac:dyDescent="0.2">
      <c r="A1875" s="3" t="s">
        <v>1227</v>
      </c>
      <c r="B1875" s="3" t="s">
        <v>1239</v>
      </c>
      <c r="C1875" s="3" t="s">
        <v>1240</v>
      </c>
      <c r="D1875" s="3" t="s">
        <v>1413</v>
      </c>
      <c r="E1875" s="3" t="s">
        <v>1414</v>
      </c>
      <c r="F1875" s="3">
        <v>1.29</v>
      </c>
      <c r="G1875" s="3" t="s">
        <v>1415</v>
      </c>
      <c r="H1875" s="3">
        <v>1</v>
      </c>
      <c r="I1875" s="3">
        <v>5</v>
      </c>
      <c r="J1875" s="3" t="s">
        <v>1416</v>
      </c>
      <c r="K1875" s="3" t="s">
        <v>1431</v>
      </c>
    </row>
    <row r="1876" spans="1:11" x14ac:dyDescent="0.2">
      <c r="A1876" s="2" t="s">
        <v>1227</v>
      </c>
      <c r="B1876" s="2" t="s">
        <v>1239</v>
      </c>
      <c r="C1876" s="2" t="s">
        <v>1240</v>
      </c>
      <c r="D1876" s="2" t="s">
        <v>1446</v>
      </c>
      <c r="E1876" s="2" t="s">
        <v>1447</v>
      </c>
      <c r="F1876" s="2">
        <v>2.94</v>
      </c>
      <c r="G1876" s="2" t="s">
        <v>1415</v>
      </c>
      <c r="H1876" s="2">
        <v>2.1</v>
      </c>
      <c r="I1876" s="2">
        <v>2.6</v>
      </c>
      <c r="J1876" s="5" t="s">
        <v>1426</v>
      </c>
      <c r="K1876" s="2" t="s">
        <v>1417</v>
      </c>
    </row>
    <row r="1877" spans="1:11" x14ac:dyDescent="0.2">
      <c r="A1877" s="3" t="s">
        <v>1227</v>
      </c>
      <c r="B1877" s="3" t="s">
        <v>1239</v>
      </c>
      <c r="C1877" s="3" t="s">
        <v>1240</v>
      </c>
      <c r="D1877" s="3" t="s">
        <v>1423</v>
      </c>
      <c r="E1877" s="3" t="s">
        <v>1424</v>
      </c>
      <c r="F1877" s="3">
        <v>3.6</v>
      </c>
      <c r="G1877" s="3" t="s">
        <v>1425</v>
      </c>
      <c r="H1877" s="3">
        <v>4.5</v>
      </c>
      <c r="I1877" s="3">
        <v>5.5</v>
      </c>
      <c r="J1877" s="5" t="s">
        <v>1430</v>
      </c>
      <c r="K1877" s="3" t="s">
        <v>1434</v>
      </c>
    </row>
    <row r="1878" spans="1:11" x14ac:dyDescent="0.2">
      <c r="A1878" s="2" t="s">
        <v>1227</v>
      </c>
      <c r="B1878" s="2" t="s">
        <v>1239</v>
      </c>
      <c r="C1878" s="2" t="s">
        <v>1240</v>
      </c>
      <c r="D1878" s="2" t="s">
        <v>1450</v>
      </c>
      <c r="E1878" s="2" t="s">
        <v>1451</v>
      </c>
      <c r="F1878" s="2">
        <v>68.930000000000007</v>
      </c>
      <c r="G1878" s="2" t="s">
        <v>1452</v>
      </c>
      <c r="H1878" s="2">
        <v>60</v>
      </c>
      <c r="I1878" s="2">
        <v>120</v>
      </c>
      <c r="J1878" s="2" t="s">
        <v>1416</v>
      </c>
      <c r="K1878" s="2" t="s">
        <v>1434</v>
      </c>
    </row>
    <row r="1879" spans="1:11" x14ac:dyDescent="0.2">
      <c r="A1879" s="3" t="s">
        <v>1227</v>
      </c>
      <c r="B1879" s="3" t="s">
        <v>1242</v>
      </c>
      <c r="C1879" s="3" t="s">
        <v>582</v>
      </c>
      <c r="D1879" s="3" t="s">
        <v>1421</v>
      </c>
      <c r="E1879" s="3" t="s">
        <v>1422</v>
      </c>
      <c r="F1879" s="3">
        <v>4.24</v>
      </c>
      <c r="G1879" s="3" t="s">
        <v>1415</v>
      </c>
      <c r="H1879" s="3">
        <v>0</v>
      </c>
      <c r="I1879" s="3">
        <v>5</v>
      </c>
      <c r="J1879" s="3" t="s">
        <v>1416</v>
      </c>
      <c r="K1879" s="3" t="s">
        <v>1434</v>
      </c>
    </row>
    <row r="1880" spans="1:11" x14ac:dyDescent="0.2">
      <c r="A1880" s="2" t="s">
        <v>1227</v>
      </c>
      <c r="B1880" s="2" t="s">
        <v>1242</v>
      </c>
      <c r="C1880" s="2" t="s">
        <v>582</v>
      </c>
      <c r="D1880" s="2" t="s">
        <v>1443</v>
      </c>
      <c r="E1880" s="2" t="s">
        <v>1444</v>
      </c>
      <c r="F1880" s="2">
        <v>64.67</v>
      </c>
      <c r="G1880" s="2" t="s">
        <v>1445</v>
      </c>
      <c r="H1880" s="2">
        <v>53</v>
      </c>
      <c r="I1880" s="2">
        <v>97</v>
      </c>
      <c r="J1880" s="2" t="s">
        <v>1416</v>
      </c>
      <c r="K1880" s="2" t="s">
        <v>1420</v>
      </c>
    </row>
    <row r="1881" spans="1:11" x14ac:dyDescent="0.2">
      <c r="A1881" s="3" t="s">
        <v>1227</v>
      </c>
      <c r="B1881" s="3" t="s">
        <v>1242</v>
      </c>
      <c r="C1881" s="3" t="s">
        <v>582</v>
      </c>
      <c r="D1881" s="3" t="s">
        <v>1418</v>
      </c>
      <c r="E1881" s="3" t="s">
        <v>1419</v>
      </c>
      <c r="F1881" s="3">
        <v>4.21</v>
      </c>
      <c r="G1881" s="3" t="s">
        <v>1415</v>
      </c>
      <c r="H1881" s="3">
        <v>3.5</v>
      </c>
      <c r="I1881" s="3">
        <v>5</v>
      </c>
      <c r="J1881" s="3" t="s">
        <v>1416</v>
      </c>
      <c r="K1881" s="3" t="s">
        <v>1431</v>
      </c>
    </row>
    <row r="1882" spans="1:11" x14ac:dyDescent="0.2">
      <c r="A1882" s="2" t="s">
        <v>1243</v>
      </c>
      <c r="B1882" s="2" t="s">
        <v>1244</v>
      </c>
      <c r="C1882" s="2" t="s">
        <v>1245</v>
      </c>
      <c r="D1882" s="2" t="s">
        <v>1423</v>
      </c>
      <c r="E1882" s="2" t="s">
        <v>1424</v>
      </c>
      <c r="F1882" s="2">
        <v>5.31</v>
      </c>
      <c r="G1882" s="2" t="s">
        <v>1425</v>
      </c>
      <c r="H1882" s="2">
        <v>4.5</v>
      </c>
      <c r="I1882" s="2">
        <v>5.5</v>
      </c>
      <c r="J1882" s="2" t="s">
        <v>1416</v>
      </c>
      <c r="K1882" s="2" t="s">
        <v>1420</v>
      </c>
    </row>
    <row r="1883" spans="1:11" x14ac:dyDescent="0.2">
      <c r="A1883" s="3" t="s">
        <v>1243</v>
      </c>
      <c r="B1883" s="3" t="s">
        <v>1244</v>
      </c>
      <c r="C1883" s="3" t="s">
        <v>1245</v>
      </c>
      <c r="D1883" s="3" t="s">
        <v>1450</v>
      </c>
      <c r="E1883" s="3" t="s">
        <v>1451</v>
      </c>
      <c r="F1883" s="3">
        <v>20.03</v>
      </c>
      <c r="G1883" s="3" t="s">
        <v>1452</v>
      </c>
      <c r="H1883" s="3">
        <v>60</v>
      </c>
      <c r="I1883" s="3">
        <v>120</v>
      </c>
      <c r="J1883" s="5" t="s">
        <v>1430</v>
      </c>
      <c r="K1883" s="3" t="s">
        <v>1434</v>
      </c>
    </row>
    <row r="1884" spans="1:11" x14ac:dyDescent="0.2">
      <c r="A1884" s="2" t="s">
        <v>1243</v>
      </c>
      <c r="B1884" s="2" t="s">
        <v>1244</v>
      </c>
      <c r="C1884" s="2" t="s">
        <v>1245</v>
      </c>
      <c r="D1884" s="2" t="s">
        <v>1443</v>
      </c>
      <c r="E1884" s="2" t="s">
        <v>1444</v>
      </c>
      <c r="F1884" s="2">
        <v>92.94</v>
      </c>
      <c r="G1884" s="2" t="s">
        <v>1445</v>
      </c>
      <c r="H1884" s="2">
        <v>53</v>
      </c>
      <c r="I1884" s="2">
        <v>97</v>
      </c>
      <c r="J1884" s="2" t="s">
        <v>1416</v>
      </c>
      <c r="K1884" s="2" t="s">
        <v>1420</v>
      </c>
    </row>
    <row r="1885" spans="1:11" x14ac:dyDescent="0.2">
      <c r="A1885" s="3" t="s">
        <v>1243</v>
      </c>
      <c r="B1885" s="3" t="s">
        <v>1244</v>
      </c>
      <c r="C1885" s="3" t="s">
        <v>1245</v>
      </c>
      <c r="D1885" s="3" t="s">
        <v>1437</v>
      </c>
      <c r="E1885" s="3" t="s">
        <v>1438</v>
      </c>
      <c r="F1885" s="3">
        <v>17.170000000000002</v>
      </c>
      <c r="G1885" s="3" t="s">
        <v>1439</v>
      </c>
      <c r="H1885" s="3">
        <v>12</v>
      </c>
      <c r="I1885" s="3">
        <v>17.5</v>
      </c>
      <c r="J1885" s="3" t="s">
        <v>1416</v>
      </c>
      <c r="K1885" s="3" t="s">
        <v>1420</v>
      </c>
    </row>
    <row r="1886" spans="1:11" x14ac:dyDescent="0.2">
      <c r="A1886" s="2" t="s">
        <v>1243</v>
      </c>
      <c r="B1886" s="2" t="s">
        <v>1244</v>
      </c>
      <c r="C1886" s="2" t="s">
        <v>1245</v>
      </c>
      <c r="D1886" s="2" t="s">
        <v>1427</v>
      </c>
      <c r="E1886" s="2" t="s">
        <v>1428</v>
      </c>
      <c r="F1886" s="2">
        <v>16.79</v>
      </c>
      <c r="G1886" s="2" t="s">
        <v>1429</v>
      </c>
      <c r="H1886" s="2">
        <v>4</v>
      </c>
      <c r="I1886" s="2">
        <v>11</v>
      </c>
      <c r="J1886" s="5" t="s">
        <v>1426</v>
      </c>
      <c r="K1886" s="2" t="s">
        <v>1420</v>
      </c>
    </row>
    <row r="1887" spans="1:11" x14ac:dyDescent="0.2">
      <c r="A1887" s="3" t="s">
        <v>1243</v>
      </c>
      <c r="B1887" s="3" t="s">
        <v>1244</v>
      </c>
      <c r="C1887" s="3" t="s">
        <v>1245</v>
      </c>
      <c r="D1887" s="3" t="s">
        <v>1421</v>
      </c>
      <c r="E1887" s="3" t="s">
        <v>1422</v>
      </c>
      <c r="F1887" s="3">
        <v>5.35</v>
      </c>
      <c r="G1887" s="3" t="s">
        <v>1415</v>
      </c>
      <c r="H1887" s="3">
        <v>0</v>
      </c>
      <c r="I1887" s="3">
        <v>5</v>
      </c>
      <c r="J1887" s="5" t="s">
        <v>1426</v>
      </c>
      <c r="K1887" s="3" t="s">
        <v>1434</v>
      </c>
    </row>
    <row r="1888" spans="1:11" x14ac:dyDescent="0.2">
      <c r="A1888" s="2" t="s">
        <v>1243</v>
      </c>
      <c r="B1888" s="2" t="s">
        <v>1247</v>
      </c>
      <c r="C1888" s="2" t="s">
        <v>1248</v>
      </c>
      <c r="D1888" s="2" t="s">
        <v>1418</v>
      </c>
      <c r="E1888" s="2" t="s">
        <v>1419</v>
      </c>
      <c r="F1888" s="2">
        <v>3.62</v>
      </c>
      <c r="G1888" s="2" t="s">
        <v>1415</v>
      </c>
      <c r="H1888" s="2">
        <v>3.5</v>
      </c>
      <c r="I1888" s="2">
        <v>5</v>
      </c>
      <c r="J1888" s="2" t="s">
        <v>1416</v>
      </c>
      <c r="K1888" s="2" t="s">
        <v>1431</v>
      </c>
    </row>
    <row r="1889" spans="1:11" x14ac:dyDescent="0.2">
      <c r="A1889" s="3" t="s">
        <v>1243</v>
      </c>
      <c r="B1889" s="3" t="s">
        <v>1247</v>
      </c>
      <c r="C1889" s="3" t="s">
        <v>1248</v>
      </c>
      <c r="D1889" s="3" t="s">
        <v>1440</v>
      </c>
      <c r="E1889" s="3" t="s">
        <v>1441</v>
      </c>
      <c r="F1889" s="3">
        <v>7.18</v>
      </c>
      <c r="G1889" s="3" t="s">
        <v>1442</v>
      </c>
      <c r="H1889" s="3">
        <v>4</v>
      </c>
      <c r="I1889" s="3">
        <v>5.6</v>
      </c>
      <c r="J1889" s="5" t="s">
        <v>1426</v>
      </c>
      <c r="K1889" s="3" t="s">
        <v>1417</v>
      </c>
    </row>
    <row r="1890" spans="1:11" x14ac:dyDescent="0.2">
      <c r="A1890" s="2" t="s">
        <v>1243</v>
      </c>
      <c r="B1890" s="2" t="s">
        <v>1247</v>
      </c>
      <c r="C1890" s="2" t="s">
        <v>1248</v>
      </c>
      <c r="D1890" s="2" t="s">
        <v>1413</v>
      </c>
      <c r="E1890" s="2" t="s">
        <v>1414</v>
      </c>
      <c r="F1890" s="2">
        <v>0.74</v>
      </c>
      <c r="G1890" s="2" t="s">
        <v>1415</v>
      </c>
      <c r="H1890" s="2">
        <v>1</v>
      </c>
      <c r="I1890" s="2">
        <v>5</v>
      </c>
      <c r="J1890" s="5" t="s">
        <v>1430</v>
      </c>
      <c r="K1890" s="2" t="s">
        <v>1417</v>
      </c>
    </row>
    <row r="1891" spans="1:11" x14ac:dyDescent="0.2">
      <c r="A1891" s="3" t="s">
        <v>1243</v>
      </c>
      <c r="B1891" s="3" t="s">
        <v>1247</v>
      </c>
      <c r="C1891" s="3" t="s">
        <v>1248</v>
      </c>
      <c r="D1891" s="3" t="s">
        <v>1427</v>
      </c>
      <c r="E1891" s="3" t="s">
        <v>1428</v>
      </c>
      <c r="F1891" s="3">
        <v>3.58</v>
      </c>
      <c r="G1891" s="3" t="s">
        <v>1429</v>
      </c>
      <c r="H1891" s="3">
        <v>4</v>
      </c>
      <c r="I1891" s="3">
        <v>11</v>
      </c>
      <c r="J1891" s="5" t="s">
        <v>1430</v>
      </c>
      <c r="K1891" s="3" t="s">
        <v>1431</v>
      </c>
    </row>
    <row r="1892" spans="1:11" x14ac:dyDescent="0.2">
      <c r="A1892" s="2" t="s">
        <v>1243</v>
      </c>
      <c r="B1892" s="2" t="s">
        <v>1247</v>
      </c>
      <c r="C1892" s="2" t="s">
        <v>1248</v>
      </c>
      <c r="D1892" s="2" t="s">
        <v>1453</v>
      </c>
      <c r="E1892" s="2" t="s">
        <v>1454</v>
      </c>
      <c r="F1892" s="2">
        <v>7.01</v>
      </c>
      <c r="G1892" s="2" t="s">
        <v>1415</v>
      </c>
      <c r="H1892" s="2">
        <v>3.9</v>
      </c>
      <c r="I1892" s="2">
        <v>5.5</v>
      </c>
      <c r="J1892" s="5" t="s">
        <v>1426</v>
      </c>
      <c r="K1892" s="2" t="s">
        <v>1420</v>
      </c>
    </row>
    <row r="1893" spans="1:11" x14ac:dyDescent="0.2">
      <c r="A1893" s="3" t="s">
        <v>1243</v>
      </c>
      <c r="B1893" s="3" t="s">
        <v>1247</v>
      </c>
      <c r="C1893" s="3" t="s">
        <v>1248</v>
      </c>
      <c r="D1893" s="3" t="s">
        <v>1421</v>
      </c>
      <c r="E1893" s="3" t="s">
        <v>1422</v>
      </c>
      <c r="F1893" s="3">
        <v>5.73</v>
      </c>
      <c r="G1893" s="3" t="s">
        <v>1415</v>
      </c>
      <c r="H1893" s="3">
        <v>0</v>
      </c>
      <c r="I1893" s="3">
        <v>5</v>
      </c>
      <c r="J1893" s="5" t="s">
        <v>1426</v>
      </c>
      <c r="K1893" s="3" t="s">
        <v>1431</v>
      </c>
    </row>
    <row r="1894" spans="1:11" x14ac:dyDescent="0.2">
      <c r="A1894" s="2" t="s">
        <v>1243</v>
      </c>
      <c r="B1894" s="2" t="s">
        <v>1250</v>
      </c>
      <c r="C1894" s="2" t="s">
        <v>1251</v>
      </c>
      <c r="D1894" s="2" t="s">
        <v>1432</v>
      </c>
      <c r="E1894" s="2" t="s">
        <v>1433</v>
      </c>
      <c r="F1894" s="2">
        <v>3.23</v>
      </c>
      <c r="G1894" s="2" t="s">
        <v>1415</v>
      </c>
      <c r="H1894" s="2">
        <v>0</v>
      </c>
      <c r="I1894" s="2">
        <v>3</v>
      </c>
      <c r="J1894" s="5" t="s">
        <v>1426</v>
      </c>
      <c r="K1894" s="2" t="s">
        <v>1431</v>
      </c>
    </row>
    <row r="1895" spans="1:11" x14ac:dyDescent="0.2">
      <c r="A1895" s="3" t="s">
        <v>1243</v>
      </c>
      <c r="B1895" s="3" t="s">
        <v>1250</v>
      </c>
      <c r="C1895" s="3" t="s">
        <v>1251</v>
      </c>
      <c r="D1895" s="3" t="s">
        <v>1443</v>
      </c>
      <c r="E1895" s="3" t="s">
        <v>1444</v>
      </c>
      <c r="F1895" s="3">
        <v>83.96</v>
      </c>
      <c r="G1895" s="3" t="s">
        <v>1445</v>
      </c>
      <c r="H1895" s="3">
        <v>53</v>
      </c>
      <c r="I1895" s="3">
        <v>97</v>
      </c>
      <c r="J1895" s="3" t="s">
        <v>1416</v>
      </c>
      <c r="K1895" s="3" t="s">
        <v>1420</v>
      </c>
    </row>
    <row r="1896" spans="1:11" x14ac:dyDescent="0.2">
      <c r="A1896" s="2" t="s">
        <v>1243</v>
      </c>
      <c r="B1896" s="2" t="s">
        <v>1250</v>
      </c>
      <c r="C1896" s="2" t="s">
        <v>1251</v>
      </c>
      <c r="D1896" s="2" t="s">
        <v>1453</v>
      </c>
      <c r="E1896" s="2" t="s">
        <v>1454</v>
      </c>
      <c r="F1896" s="2">
        <v>5.85</v>
      </c>
      <c r="G1896" s="2" t="s">
        <v>1415</v>
      </c>
      <c r="H1896" s="2">
        <v>3.9</v>
      </c>
      <c r="I1896" s="2">
        <v>5.5</v>
      </c>
      <c r="J1896" s="5" t="s">
        <v>1426</v>
      </c>
      <c r="K1896" s="2" t="s">
        <v>1431</v>
      </c>
    </row>
    <row r="1897" spans="1:11" x14ac:dyDescent="0.2">
      <c r="A1897" s="3" t="s">
        <v>1243</v>
      </c>
      <c r="B1897" s="3" t="s">
        <v>1250</v>
      </c>
      <c r="C1897" s="3" t="s">
        <v>1251</v>
      </c>
      <c r="D1897" s="3" t="s">
        <v>1437</v>
      </c>
      <c r="E1897" s="3" t="s">
        <v>1438</v>
      </c>
      <c r="F1897" s="3">
        <v>17.72</v>
      </c>
      <c r="G1897" s="3" t="s">
        <v>1439</v>
      </c>
      <c r="H1897" s="3">
        <v>12</v>
      </c>
      <c r="I1897" s="3">
        <v>17.5</v>
      </c>
      <c r="J1897" s="5" t="s">
        <v>1426</v>
      </c>
      <c r="K1897" s="3" t="s">
        <v>1431</v>
      </c>
    </row>
    <row r="1898" spans="1:11" x14ac:dyDescent="0.2">
      <c r="A1898" s="2" t="s">
        <v>1243</v>
      </c>
      <c r="B1898" s="2" t="s">
        <v>1250</v>
      </c>
      <c r="C1898" s="2" t="s">
        <v>1251</v>
      </c>
      <c r="D1898" s="2" t="s">
        <v>1450</v>
      </c>
      <c r="E1898" s="2" t="s">
        <v>1451</v>
      </c>
      <c r="F1898" s="2">
        <v>15.68</v>
      </c>
      <c r="G1898" s="2" t="s">
        <v>1452</v>
      </c>
      <c r="H1898" s="2">
        <v>60</v>
      </c>
      <c r="I1898" s="2">
        <v>120</v>
      </c>
      <c r="J1898" s="5" t="s">
        <v>1430</v>
      </c>
      <c r="K1898" s="2" t="s">
        <v>1434</v>
      </c>
    </row>
    <row r="1899" spans="1:11" x14ac:dyDescent="0.2">
      <c r="A1899" s="3" t="s">
        <v>1243</v>
      </c>
      <c r="B1899" s="3" t="s">
        <v>1250</v>
      </c>
      <c r="C1899" s="3" t="s">
        <v>1251</v>
      </c>
      <c r="D1899" s="3" t="s">
        <v>1418</v>
      </c>
      <c r="E1899" s="3" t="s">
        <v>1419</v>
      </c>
      <c r="F1899" s="3">
        <v>4.49</v>
      </c>
      <c r="G1899" s="3" t="s">
        <v>1415</v>
      </c>
      <c r="H1899" s="3">
        <v>3.5</v>
      </c>
      <c r="I1899" s="3">
        <v>5</v>
      </c>
      <c r="J1899" s="3" t="s">
        <v>1416</v>
      </c>
      <c r="K1899" s="3" t="s">
        <v>1417</v>
      </c>
    </row>
    <row r="1900" spans="1:11" x14ac:dyDescent="0.2">
      <c r="A1900" s="2" t="s">
        <v>1243</v>
      </c>
      <c r="B1900" s="2" t="s">
        <v>1250</v>
      </c>
      <c r="C1900" s="2" t="s">
        <v>1251</v>
      </c>
      <c r="D1900" s="2" t="s">
        <v>1427</v>
      </c>
      <c r="E1900" s="2" t="s">
        <v>1428</v>
      </c>
      <c r="F1900" s="2">
        <v>14.41</v>
      </c>
      <c r="G1900" s="2" t="s">
        <v>1429</v>
      </c>
      <c r="H1900" s="2">
        <v>4</v>
      </c>
      <c r="I1900" s="2">
        <v>11</v>
      </c>
      <c r="J1900" s="5" t="s">
        <v>1426</v>
      </c>
      <c r="K1900" s="2" t="s">
        <v>1434</v>
      </c>
    </row>
    <row r="1901" spans="1:11" x14ac:dyDescent="0.2">
      <c r="A1901" s="3" t="s">
        <v>1243</v>
      </c>
      <c r="B1901" s="3" t="s">
        <v>1252</v>
      </c>
      <c r="C1901" s="3" t="s">
        <v>1253</v>
      </c>
      <c r="D1901" s="3" t="s">
        <v>1450</v>
      </c>
      <c r="E1901" s="3" t="s">
        <v>1451</v>
      </c>
      <c r="F1901" s="3">
        <v>77.739999999999995</v>
      </c>
      <c r="G1901" s="3" t="s">
        <v>1452</v>
      </c>
      <c r="H1901" s="3">
        <v>60</v>
      </c>
      <c r="I1901" s="3">
        <v>120</v>
      </c>
      <c r="J1901" s="3" t="s">
        <v>1416</v>
      </c>
      <c r="K1901" s="3" t="s">
        <v>1434</v>
      </c>
    </row>
    <row r="1902" spans="1:11" x14ac:dyDescent="0.2">
      <c r="A1902" s="2" t="s">
        <v>1243</v>
      </c>
      <c r="B1902" s="2" t="s">
        <v>1252</v>
      </c>
      <c r="C1902" s="2" t="s">
        <v>1253</v>
      </c>
      <c r="D1902" s="2" t="s">
        <v>1437</v>
      </c>
      <c r="E1902" s="2" t="s">
        <v>1438</v>
      </c>
      <c r="F1902" s="2">
        <v>14.44</v>
      </c>
      <c r="G1902" s="2" t="s">
        <v>1439</v>
      </c>
      <c r="H1902" s="2">
        <v>12</v>
      </c>
      <c r="I1902" s="2">
        <v>17.5</v>
      </c>
      <c r="J1902" s="2" t="s">
        <v>1416</v>
      </c>
      <c r="K1902" s="2" t="s">
        <v>1417</v>
      </c>
    </row>
    <row r="1903" spans="1:11" x14ac:dyDescent="0.2">
      <c r="A1903" s="3" t="s">
        <v>1243</v>
      </c>
      <c r="B1903" s="3" t="s">
        <v>1252</v>
      </c>
      <c r="C1903" s="3" t="s">
        <v>1253</v>
      </c>
      <c r="D1903" s="3" t="s">
        <v>1443</v>
      </c>
      <c r="E1903" s="3" t="s">
        <v>1444</v>
      </c>
      <c r="F1903" s="3">
        <v>92.49</v>
      </c>
      <c r="G1903" s="3" t="s">
        <v>1445</v>
      </c>
      <c r="H1903" s="3">
        <v>53</v>
      </c>
      <c r="I1903" s="3">
        <v>97</v>
      </c>
      <c r="J1903" s="3" t="s">
        <v>1416</v>
      </c>
      <c r="K1903" s="3" t="s">
        <v>1417</v>
      </c>
    </row>
    <row r="1904" spans="1:11" x14ac:dyDescent="0.2">
      <c r="A1904" s="2" t="s">
        <v>1243</v>
      </c>
      <c r="B1904" s="2" t="s">
        <v>1252</v>
      </c>
      <c r="C1904" s="2" t="s">
        <v>1253</v>
      </c>
      <c r="D1904" s="2" t="s">
        <v>1423</v>
      </c>
      <c r="E1904" s="2" t="s">
        <v>1424</v>
      </c>
      <c r="F1904" s="2">
        <v>3.85</v>
      </c>
      <c r="G1904" s="2" t="s">
        <v>1425</v>
      </c>
      <c r="H1904" s="2">
        <v>4.5</v>
      </c>
      <c r="I1904" s="2">
        <v>5.5</v>
      </c>
      <c r="J1904" s="5" t="s">
        <v>1430</v>
      </c>
      <c r="K1904" s="2" t="s">
        <v>1417</v>
      </c>
    </row>
    <row r="1905" spans="1:11" x14ac:dyDescent="0.2">
      <c r="A1905" s="3" t="s">
        <v>1255</v>
      </c>
      <c r="B1905" s="3" t="s">
        <v>1256</v>
      </c>
      <c r="C1905" s="3" t="s">
        <v>1257</v>
      </c>
      <c r="D1905" s="3" t="s">
        <v>1455</v>
      </c>
      <c r="E1905" s="3" t="s">
        <v>1456</v>
      </c>
      <c r="F1905" s="3">
        <v>110.01</v>
      </c>
      <c r="G1905" s="3" t="s">
        <v>1457</v>
      </c>
      <c r="H1905" s="3">
        <v>40</v>
      </c>
      <c r="I1905" s="3">
        <v>130</v>
      </c>
      <c r="J1905" s="3" t="s">
        <v>1416</v>
      </c>
      <c r="K1905" s="3" t="s">
        <v>1417</v>
      </c>
    </row>
    <row r="1906" spans="1:11" x14ac:dyDescent="0.2">
      <c r="A1906" s="2" t="s">
        <v>1255</v>
      </c>
      <c r="B1906" s="2" t="s">
        <v>1256</v>
      </c>
      <c r="C1906" s="2" t="s">
        <v>1257</v>
      </c>
      <c r="D1906" s="2" t="s">
        <v>1435</v>
      </c>
      <c r="E1906" s="2" t="s">
        <v>1436</v>
      </c>
      <c r="F1906" s="2">
        <v>1.1200000000000001</v>
      </c>
      <c r="G1906" s="2" t="s">
        <v>1415</v>
      </c>
      <c r="H1906" s="2">
        <v>0.8</v>
      </c>
      <c r="I1906" s="2">
        <v>1.5</v>
      </c>
      <c r="J1906" s="2" t="s">
        <v>1416</v>
      </c>
      <c r="K1906" s="2" t="s">
        <v>1431</v>
      </c>
    </row>
    <row r="1907" spans="1:11" x14ac:dyDescent="0.2">
      <c r="A1907" s="3" t="s">
        <v>1255</v>
      </c>
      <c r="B1907" s="3" t="s">
        <v>1256</v>
      </c>
      <c r="C1907" s="3" t="s">
        <v>1257</v>
      </c>
      <c r="D1907" s="3" t="s">
        <v>1421</v>
      </c>
      <c r="E1907" s="3" t="s">
        <v>1422</v>
      </c>
      <c r="F1907" s="3">
        <v>5.32</v>
      </c>
      <c r="G1907" s="3" t="s">
        <v>1415</v>
      </c>
      <c r="H1907" s="3">
        <v>0</v>
      </c>
      <c r="I1907" s="3">
        <v>5</v>
      </c>
      <c r="J1907" s="5" t="s">
        <v>1426</v>
      </c>
      <c r="K1907" s="3" t="s">
        <v>1420</v>
      </c>
    </row>
    <row r="1908" spans="1:11" x14ac:dyDescent="0.2">
      <c r="A1908" s="2" t="s">
        <v>1255</v>
      </c>
      <c r="B1908" s="2" t="s">
        <v>1256</v>
      </c>
      <c r="C1908" s="2" t="s">
        <v>1257</v>
      </c>
      <c r="D1908" s="2" t="s">
        <v>1437</v>
      </c>
      <c r="E1908" s="2" t="s">
        <v>1438</v>
      </c>
      <c r="F1908" s="2">
        <v>8.91</v>
      </c>
      <c r="G1908" s="2" t="s">
        <v>1439</v>
      </c>
      <c r="H1908" s="2">
        <v>12</v>
      </c>
      <c r="I1908" s="2">
        <v>17.5</v>
      </c>
      <c r="J1908" s="5" t="s">
        <v>1430</v>
      </c>
      <c r="K1908" s="2" t="s">
        <v>1420</v>
      </c>
    </row>
    <row r="1909" spans="1:11" x14ac:dyDescent="0.2">
      <c r="A1909" s="3" t="s">
        <v>1255</v>
      </c>
      <c r="B1909" s="3" t="s">
        <v>1256</v>
      </c>
      <c r="C1909" s="3" t="s">
        <v>1257</v>
      </c>
      <c r="D1909" s="3" t="s">
        <v>1448</v>
      </c>
      <c r="E1909" s="3" t="s">
        <v>1449</v>
      </c>
      <c r="F1909" s="3">
        <v>142.56</v>
      </c>
      <c r="G1909" s="3" t="s">
        <v>1415</v>
      </c>
      <c r="H1909" s="3">
        <v>136</v>
      </c>
      <c r="I1909" s="3">
        <v>145</v>
      </c>
      <c r="J1909" s="3" t="s">
        <v>1416</v>
      </c>
      <c r="K1909" s="3" t="s">
        <v>1431</v>
      </c>
    </row>
    <row r="1910" spans="1:11" x14ac:dyDescent="0.2">
      <c r="A1910" s="2" t="s">
        <v>1255</v>
      </c>
      <c r="B1910" s="2" t="s">
        <v>1256</v>
      </c>
      <c r="C1910" s="2" t="s">
        <v>1257</v>
      </c>
      <c r="D1910" s="2" t="s">
        <v>1423</v>
      </c>
      <c r="E1910" s="2" t="s">
        <v>1424</v>
      </c>
      <c r="F1910" s="2">
        <v>5.89</v>
      </c>
      <c r="G1910" s="2" t="s">
        <v>1425</v>
      </c>
      <c r="H1910" s="2">
        <v>4.5</v>
      </c>
      <c r="I1910" s="2">
        <v>5.5</v>
      </c>
      <c r="J1910" s="5" t="s">
        <v>1426</v>
      </c>
      <c r="K1910" s="2" t="s">
        <v>1417</v>
      </c>
    </row>
    <row r="1911" spans="1:11" x14ac:dyDescent="0.2">
      <c r="A1911" s="3" t="s">
        <v>1255</v>
      </c>
      <c r="B1911" s="3" t="s">
        <v>1260</v>
      </c>
      <c r="C1911" s="3" t="s">
        <v>248</v>
      </c>
      <c r="D1911" s="3" t="s">
        <v>1455</v>
      </c>
      <c r="E1911" s="3" t="s">
        <v>1456</v>
      </c>
      <c r="F1911" s="3">
        <v>168.16</v>
      </c>
      <c r="G1911" s="3" t="s">
        <v>1457</v>
      </c>
      <c r="H1911" s="3">
        <v>40</v>
      </c>
      <c r="I1911" s="3">
        <v>130</v>
      </c>
      <c r="J1911" s="5" t="s">
        <v>1426</v>
      </c>
      <c r="K1911" s="3" t="s">
        <v>1420</v>
      </c>
    </row>
    <row r="1912" spans="1:11" x14ac:dyDescent="0.2">
      <c r="A1912" s="2" t="s">
        <v>1255</v>
      </c>
      <c r="B1912" s="2" t="s">
        <v>1260</v>
      </c>
      <c r="C1912" s="2" t="s">
        <v>248</v>
      </c>
      <c r="D1912" s="2" t="s">
        <v>1440</v>
      </c>
      <c r="E1912" s="2" t="s">
        <v>1441</v>
      </c>
      <c r="F1912" s="2">
        <v>5.94</v>
      </c>
      <c r="G1912" s="2" t="s">
        <v>1442</v>
      </c>
      <c r="H1912" s="2">
        <v>4</v>
      </c>
      <c r="I1912" s="2">
        <v>5.6</v>
      </c>
      <c r="J1912" s="5" t="s">
        <v>1426</v>
      </c>
      <c r="K1912" s="2" t="s">
        <v>1417</v>
      </c>
    </row>
    <row r="1913" spans="1:11" x14ac:dyDescent="0.2">
      <c r="A1913" s="3" t="s">
        <v>1255</v>
      </c>
      <c r="B1913" s="3" t="s">
        <v>1260</v>
      </c>
      <c r="C1913" s="3" t="s">
        <v>248</v>
      </c>
      <c r="D1913" s="3" t="s">
        <v>1432</v>
      </c>
      <c r="E1913" s="3" t="s">
        <v>1433</v>
      </c>
      <c r="F1913" s="3">
        <v>2.76</v>
      </c>
      <c r="G1913" s="3" t="s">
        <v>1415</v>
      </c>
      <c r="H1913" s="3">
        <v>0</v>
      </c>
      <c r="I1913" s="3">
        <v>3</v>
      </c>
      <c r="J1913" s="3" t="s">
        <v>1416</v>
      </c>
      <c r="K1913" s="3" t="s">
        <v>1431</v>
      </c>
    </row>
    <row r="1914" spans="1:11" x14ac:dyDescent="0.2">
      <c r="A1914" s="2" t="s">
        <v>1255</v>
      </c>
      <c r="B1914" s="2" t="s">
        <v>1260</v>
      </c>
      <c r="C1914" s="2" t="s">
        <v>248</v>
      </c>
      <c r="D1914" s="2" t="s">
        <v>1435</v>
      </c>
      <c r="E1914" s="2" t="s">
        <v>1436</v>
      </c>
      <c r="F1914" s="2">
        <v>1.78</v>
      </c>
      <c r="G1914" s="2" t="s">
        <v>1415</v>
      </c>
      <c r="H1914" s="2">
        <v>0.8</v>
      </c>
      <c r="I1914" s="2">
        <v>1.5</v>
      </c>
      <c r="J1914" s="5" t="s">
        <v>1426</v>
      </c>
      <c r="K1914" s="2" t="s">
        <v>1431</v>
      </c>
    </row>
    <row r="1915" spans="1:11" x14ac:dyDescent="0.2">
      <c r="A1915" s="3" t="s">
        <v>1255</v>
      </c>
      <c r="B1915" s="3" t="s">
        <v>1260</v>
      </c>
      <c r="C1915" s="3" t="s">
        <v>248</v>
      </c>
      <c r="D1915" s="3" t="s">
        <v>1443</v>
      </c>
      <c r="E1915" s="3" t="s">
        <v>1444</v>
      </c>
      <c r="F1915" s="3">
        <v>88.61</v>
      </c>
      <c r="G1915" s="3" t="s">
        <v>1445</v>
      </c>
      <c r="H1915" s="3">
        <v>53</v>
      </c>
      <c r="I1915" s="3">
        <v>97</v>
      </c>
      <c r="J1915" s="3" t="s">
        <v>1416</v>
      </c>
      <c r="K1915" s="3" t="s">
        <v>1420</v>
      </c>
    </row>
    <row r="1916" spans="1:11" x14ac:dyDescent="0.2">
      <c r="A1916" s="2" t="s">
        <v>1255</v>
      </c>
      <c r="B1916" s="2" t="s">
        <v>1262</v>
      </c>
      <c r="C1916" s="2" t="s">
        <v>1263</v>
      </c>
      <c r="D1916" s="2" t="s">
        <v>1418</v>
      </c>
      <c r="E1916" s="2" t="s">
        <v>1419</v>
      </c>
      <c r="F1916" s="2">
        <v>4.8899999999999997</v>
      </c>
      <c r="G1916" s="2" t="s">
        <v>1415</v>
      </c>
      <c r="H1916" s="2">
        <v>3.5</v>
      </c>
      <c r="I1916" s="2">
        <v>5</v>
      </c>
      <c r="J1916" s="2" t="s">
        <v>1416</v>
      </c>
      <c r="K1916" s="2" t="s">
        <v>1417</v>
      </c>
    </row>
    <row r="1917" spans="1:11" x14ac:dyDescent="0.2">
      <c r="A1917" s="3" t="s">
        <v>1255</v>
      </c>
      <c r="B1917" s="3" t="s">
        <v>1262</v>
      </c>
      <c r="C1917" s="3" t="s">
        <v>1263</v>
      </c>
      <c r="D1917" s="3" t="s">
        <v>1455</v>
      </c>
      <c r="E1917" s="3" t="s">
        <v>1456</v>
      </c>
      <c r="F1917" s="3">
        <v>334.76</v>
      </c>
      <c r="G1917" s="3" t="s">
        <v>1457</v>
      </c>
      <c r="H1917" s="3">
        <v>40</v>
      </c>
      <c r="I1917" s="3">
        <v>130</v>
      </c>
      <c r="J1917" s="5" t="s">
        <v>1426</v>
      </c>
      <c r="K1917" s="3" t="s">
        <v>1417</v>
      </c>
    </row>
    <row r="1918" spans="1:11" x14ac:dyDescent="0.2">
      <c r="A1918" s="2" t="s">
        <v>1255</v>
      </c>
      <c r="B1918" s="2" t="s">
        <v>1262</v>
      </c>
      <c r="C1918" s="2" t="s">
        <v>1263</v>
      </c>
      <c r="D1918" s="2" t="s">
        <v>1446</v>
      </c>
      <c r="E1918" s="2" t="s">
        <v>1447</v>
      </c>
      <c r="F1918" s="2">
        <v>2.2400000000000002</v>
      </c>
      <c r="G1918" s="2" t="s">
        <v>1415</v>
      </c>
      <c r="H1918" s="2">
        <v>2.1</v>
      </c>
      <c r="I1918" s="2">
        <v>2.6</v>
      </c>
      <c r="J1918" s="2" t="s">
        <v>1416</v>
      </c>
      <c r="K1918" s="2" t="s">
        <v>1420</v>
      </c>
    </row>
    <row r="1919" spans="1:11" x14ac:dyDescent="0.2">
      <c r="A1919" s="3" t="s">
        <v>1255</v>
      </c>
      <c r="B1919" s="3" t="s">
        <v>1262</v>
      </c>
      <c r="C1919" s="3" t="s">
        <v>1263</v>
      </c>
      <c r="D1919" s="3" t="s">
        <v>1448</v>
      </c>
      <c r="E1919" s="3" t="s">
        <v>1449</v>
      </c>
      <c r="F1919" s="3">
        <v>142.97999999999999</v>
      </c>
      <c r="G1919" s="3" t="s">
        <v>1415</v>
      </c>
      <c r="H1919" s="3">
        <v>136</v>
      </c>
      <c r="I1919" s="3">
        <v>145</v>
      </c>
      <c r="J1919" s="3" t="s">
        <v>1416</v>
      </c>
      <c r="K1919" s="3" t="s">
        <v>1431</v>
      </c>
    </row>
    <row r="1920" spans="1:11" x14ac:dyDescent="0.2">
      <c r="A1920" s="2" t="s">
        <v>1255</v>
      </c>
      <c r="B1920" s="2" t="s">
        <v>1265</v>
      </c>
      <c r="C1920" s="2" t="s">
        <v>1266</v>
      </c>
      <c r="D1920" s="2" t="s">
        <v>1427</v>
      </c>
      <c r="E1920" s="2" t="s">
        <v>1428</v>
      </c>
      <c r="F1920" s="2">
        <v>16.46</v>
      </c>
      <c r="G1920" s="2" t="s">
        <v>1429</v>
      </c>
      <c r="H1920" s="2">
        <v>4</v>
      </c>
      <c r="I1920" s="2">
        <v>11</v>
      </c>
      <c r="J1920" s="5" t="s">
        <v>1426</v>
      </c>
      <c r="K1920" s="2" t="s">
        <v>1417</v>
      </c>
    </row>
    <row r="1921" spans="1:11" x14ac:dyDescent="0.2">
      <c r="A1921" s="3" t="s">
        <v>1255</v>
      </c>
      <c r="B1921" s="3" t="s">
        <v>1265</v>
      </c>
      <c r="C1921" s="3" t="s">
        <v>1266</v>
      </c>
      <c r="D1921" s="3" t="s">
        <v>1421</v>
      </c>
      <c r="E1921" s="3" t="s">
        <v>1422</v>
      </c>
      <c r="F1921" s="3">
        <v>5</v>
      </c>
      <c r="G1921" s="3" t="s">
        <v>1415</v>
      </c>
      <c r="H1921" s="3">
        <v>0</v>
      </c>
      <c r="I1921" s="3">
        <v>5</v>
      </c>
      <c r="J1921" s="3" t="s">
        <v>1416</v>
      </c>
      <c r="K1921" s="3" t="s">
        <v>1420</v>
      </c>
    </row>
    <row r="1922" spans="1:11" x14ac:dyDescent="0.2">
      <c r="A1922" s="2" t="s">
        <v>1255</v>
      </c>
      <c r="B1922" s="2" t="s">
        <v>1265</v>
      </c>
      <c r="C1922" s="2" t="s">
        <v>1266</v>
      </c>
      <c r="D1922" s="2" t="s">
        <v>1446</v>
      </c>
      <c r="E1922" s="2" t="s">
        <v>1447</v>
      </c>
      <c r="F1922" s="2">
        <v>2.06</v>
      </c>
      <c r="G1922" s="2" t="s">
        <v>1415</v>
      </c>
      <c r="H1922" s="2">
        <v>2.1</v>
      </c>
      <c r="I1922" s="2">
        <v>2.6</v>
      </c>
      <c r="J1922" s="5" t="s">
        <v>1430</v>
      </c>
      <c r="K1922" s="2" t="s">
        <v>1431</v>
      </c>
    </row>
    <row r="1923" spans="1:11" x14ac:dyDescent="0.2">
      <c r="A1923" s="3" t="s">
        <v>1255</v>
      </c>
      <c r="B1923" s="3" t="s">
        <v>1265</v>
      </c>
      <c r="C1923" s="3" t="s">
        <v>1266</v>
      </c>
      <c r="D1923" s="3" t="s">
        <v>1450</v>
      </c>
      <c r="E1923" s="3" t="s">
        <v>1451</v>
      </c>
      <c r="F1923" s="3">
        <v>69.08</v>
      </c>
      <c r="G1923" s="3" t="s">
        <v>1452</v>
      </c>
      <c r="H1923" s="3">
        <v>60</v>
      </c>
      <c r="I1923" s="3">
        <v>120</v>
      </c>
      <c r="J1923" s="3" t="s">
        <v>1416</v>
      </c>
      <c r="K1923" s="3" t="s">
        <v>1417</v>
      </c>
    </row>
    <row r="1924" spans="1:11" x14ac:dyDescent="0.2">
      <c r="A1924" s="2" t="s">
        <v>1255</v>
      </c>
      <c r="B1924" s="2" t="s">
        <v>1265</v>
      </c>
      <c r="C1924" s="2" t="s">
        <v>1266</v>
      </c>
      <c r="D1924" s="2" t="s">
        <v>1435</v>
      </c>
      <c r="E1924" s="2" t="s">
        <v>1436</v>
      </c>
      <c r="F1924" s="2">
        <v>0.89</v>
      </c>
      <c r="G1924" s="2" t="s">
        <v>1415</v>
      </c>
      <c r="H1924" s="2">
        <v>0.8</v>
      </c>
      <c r="I1924" s="2">
        <v>1.5</v>
      </c>
      <c r="J1924" s="2" t="s">
        <v>1416</v>
      </c>
      <c r="K1924" s="2" t="s">
        <v>1417</v>
      </c>
    </row>
    <row r="1925" spans="1:11" x14ac:dyDescent="0.2">
      <c r="A1925" s="3" t="s">
        <v>1255</v>
      </c>
      <c r="B1925" s="3" t="s">
        <v>1265</v>
      </c>
      <c r="C1925" s="3" t="s">
        <v>1266</v>
      </c>
      <c r="D1925" s="3" t="s">
        <v>1423</v>
      </c>
      <c r="E1925" s="3" t="s">
        <v>1424</v>
      </c>
      <c r="F1925" s="3">
        <v>3.15</v>
      </c>
      <c r="G1925" s="3" t="s">
        <v>1425</v>
      </c>
      <c r="H1925" s="3">
        <v>4.5</v>
      </c>
      <c r="I1925" s="3">
        <v>5.5</v>
      </c>
      <c r="J1925" s="5" t="s">
        <v>1430</v>
      </c>
      <c r="K1925" s="3" t="s">
        <v>1431</v>
      </c>
    </row>
    <row r="1926" spans="1:11" x14ac:dyDescent="0.2">
      <c r="A1926" s="2" t="s">
        <v>1255</v>
      </c>
      <c r="B1926" s="2" t="s">
        <v>1265</v>
      </c>
      <c r="C1926" s="2" t="s">
        <v>1266</v>
      </c>
      <c r="D1926" s="2" t="s">
        <v>1437</v>
      </c>
      <c r="E1926" s="2" t="s">
        <v>1438</v>
      </c>
      <c r="F1926" s="2">
        <v>10.39</v>
      </c>
      <c r="G1926" s="2" t="s">
        <v>1439</v>
      </c>
      <c r="H1926" s="2">
        <v>12</v>
      </c>
      <c r="I1926" s="2">
        <v>17.5</v>
      </c>
      <c r="J1926" s="5" t="s">
        <v>1430</v>
      </c>
      <c r="K1926" s="2" t="s">
        <v>1431</v>
      </c>
    </row>
    <row r="1927" spans="1:11" x14ac:dyDescent="0.2">
      <c r="A1927" s="3" t="s">
        <v>1255</v>
      </c>
      <c r="B1927" s="3" t="s">
        <v>1265</v>
      </c>
      <c r="C1927" s="3" t="s">
        <v>1266</v>
      </c>
      <c r="D1927" s="3" t="s">
        <v>1432</v>
      </c>
      <c r="E1927" s="3" t="s">
        <v>1433</v>
      </c>
      <c r="F1927" s="3">
        <v>3.71</v>
      </c>
      <c r="G1927" s="3" t="s">
        <v>1415</v>
      </c>
      <c r="H1927" s="3">
        <v>0</v>
      </c>
      <c r="I1927" s="3">
        <v>3</v>
      </c>
      <c r="J1927" s="5" t="s">
        <v>1426</v>
      </c>
      <c r="K1927" s="3" t="s">
        <v>1417</v>
      </c>
    </row>
    <row r="1928" spans="1:11" x14ac:dyDescent="0.2">
      <c r="A1928" s="2" t="s">
        <v>1255</v>
      </c>
      <c r="B1928" s="2" t="s">
        <v>1268</v>
      </c>
      <c r="C1928" s="2" t="s">
        <v>900</v>
      </c>
      <c r="D1928" s="2" t="s">
        <v>1448</v>
      </c>
      <c r="E1928" s="2" t="s">
        <v>1449</v>
      </c>
      <c r="F1928" s="2">
        <v>138.79</v>
      </c>
      <c r="G1928" s="2" t="s">
        <v>1415</v>
      </c>
      <c r="H1928" s="2">
        <v>136</v>
      </c>
      <c r="I1928" s="2">
        <v>145</v>
      </c>
      <c r="J1928" s="2" t="s">
        <v>1416</v>
      </c>
      <c r="K1928" s="2" t="s">
        <v>1431</v>
      </c>
    </row>
    <row r="1929" spans="1:11" x14ac:dyDescent="0.2">
      <c r="A1929" s="3" t="s">
        <v>1255</v>
      </c>
      <c r="B1929" s="3" t="s">
        <v>1268</v>
      </c>
      <c r="C1929" s="3" t="s">
        <v>900</v>
      </c>
      <c r="D1929" s="3" t="s">
        <v>1443</v>
      </c>
      <c r="E1929" s="3" t="s">
        <v>1444</v>
      </c>
      <c r="F1929" s="3">
        <v>65.930000000000007</v>
      </c>
      <c r="G1929" s="3" t="s">
        <v>1445</v>
      </c>
      <c r="H1929" s="3">
        <v>53</v>
      </c>
      <c r="I1929" s="3">
        <v>97</v>
      </c>
      <c r="J1929" s="3" t="s">
        <v>1416</v>
      </c>
      <c r="K1929" s="3" t="s">
        <v>1431</v>
      </c>
    </row>
    <row r="1930" spans="1:11" x14ac:dyDescent="0.2">
      <c r="A1930" s="2" t="s">
        <v>1255</v>
      </c>
      <c r="B1930" s="2" t="s">
        <v>1268</v>
      </c>
      <c r="C1930" s="2" t="s">
        <v>900</v>
      </c>
      <c r="D1930" s="2" t="s">
        <v>1435</v>
      </c>
      <c r="E1930" s="2" t="s">
        <v>1436</v>
      </c>
      <c r="F1930" s="2">
        <v>1.33</v>
      </c>
      <c r="G1930" s="2" t="s">
        <v>1415</v>
      </c>
      <c r="H1930" s="2">
        <v>0.8</v>
      </c>
      <c r="I1930" s="2">
        <v>1.5</v>
      </c>
      <c r="J1930" s="2" t="s">
        <v>1416</v>
      </c>
      <c r="K1930" s="2" t="s">
        <v>1431</v>
      </c>
    </row>
    <row r="1931" spans="1:11" x14ac:dyDescent="0.2">
      <c r="A1931" s="3" t="s">
        <v>1255</v>
      </c>
      <c r="B1931" s="3" t="s">
        <v>1268</v>
      </c>
      <c r="C1931" s="3" t="s">
        <v>900</v>
      </c>
      <c r="D1931" s="3" t="s">
        <v>1421</v>
      </c>
      <c r="E1931" s="3" t="s">
        <v>1422</v>
      </c>
      <c r="F1931" s="3">
        <v>4.0999999999999996</v>
      </c>
      <c r="G1931" s="3" t="s">
        <v>1415</v>
      </c>
      <c r="H1931" s="3">
        <v>0</v>
      </c>
      <c r="I1931" s="3">
        <v>5</v>
      </c>
      <c r="J1931" s="3" t="s">
        <v>1416</v>
      </c>
      <c r="K1931" s="3" t="s">
        <v>1420</v>
      </c>
    </row>
    <row r="1932" spans="1:11" x14ac:dyDescent="0.2">
      <c r="A1932" s="2" t="s">
        <v>1269</v>
      </c>
      <c r="B1932" s="2" t="s">
        <v>1270</v>
      </c>
      <c r="C1932" s="2" t="s">
        <v>1271</v>
      </c>
      <c r="D1932" s="2" t="s">
        <v>1421</v>
      </c>
      <c r="E1932" s="2" t="s">
        <v>1422</v>
      </c>
      <c r="F1932" s="2">
        <v>5.94</v>
      </c>
      <c r="G1932" s="2" t="s">
        <v>1415</v>
      </c>
      <c r="H1932" s="2">
        <v>0</v>
      </c>
      <c r="I1932" s="2">
        <v>5</v>
      </c>
      <c r="J1932" s="5" t="s">
        <v>1426</v>
      </c>
      <c r="K1932" s="2" t="s">
        <v>1434</v>
      </c>
    </row>
    <row r="1933" spans="1:11" x14ac:dyDescent="0.2">
      <c r="A1933" s="3" t="s">
        <v>1269</v>
      </c>
      <c r="B1933" s="3" t="s">
        <v>1270</v>
      </c>
      <c r="C1933" s="3" t="s">
        <v>1271</v>
      </c>
      <c r="D1933" s="3" t="s">
        <v>1446</v>
      </c>
      <c r="E1933" s="3" t="s">
        <v>1447</v>
      </c>
      <c r="F1933" s="3">
        <v>2.61</v>
      </c>
      <c r="G1933" s="3" t="s">
        <v>1415</v>
      </c>
      <c r="H1933" s="3">
        <v>2.1</v>
      </c>
      <c r="I1933" s="3">
        <v>2.6</v>
      </c>
      <c r="J1933" s="5" t="s">
        <v>1426</v>
      </c>
      <c r="K1933" s="3" t="s">
        <v>1434</v>
      </c>
    </row>
    <row r="1934" spans="1:11" x14ac:dyDescent="0.2">
      <c r="A1934" s="2" t="s">
        <v>1269</v>
      </c>
      <c r="B1934" s="2" t="s">
        <v>1270</v>
      </c>
      <c r="C1934" s="2" t="s">
        <v>1271</v>
      </c>
      <c r="D1934" s="2" t="s">
        <v>1435</v>
      </c>
      <c r="E1934" s="2" t="s">
        <v>1436</v>
      </c>
      <c r="F1934" s="2">
        <v>0.61</v>
      </c>
      <c r="G1934" s="2" t="s">
        <v>1415</v>
      </c>
      <c r="H1934" s="2">
        <v>0.8</v>
      </c>
      <c r="I1934" s="2">
        <v>1.5</v>
      </c>
      <c r="J1934" s="5" t="s">
        <v>1430</v>
      </c>
      <c r="K1934" s="2" t="s">
        <v>1434</v>
      </c>
    </row>
    <row r="1935" spans="1:11" x14ac:dyDescent="0.2">
      <c r="A1935" s="3" t="s">
        <v>1269</v>
      </c>
      <c r="B1935" s="3" t="s">
        <v>1270</v>
      </c>
      <c r="C1935" s="3" t="s">
        <v>1271</v>
      </c>
      <c r="D1935" s="3" t="s">
        <v>1440</v>
      </c>
      <c r="E1935" s="3" t="s">
        <v>1441</v>
      </c>
      <c r="F1935" s="3">
        <v>10.98</v>
      </c>
      <c r="G1935" s="3" t="s">
        <v>1442</v>
      </c>
      <c r="H1935" s="3">
        <v>4</v>
      </c>
      <c r="I1935" s="3">
        <v>5.6</v>
      </c>
      <c r="J1935" s="5" t="s">
        <v>1426</v>
      </c>
      <c r="K1935" s="3" t="s">
        <v>1434</v>
      </c>
    </row>
    <row r="1936" spans="1:11" x14ac:dyDescent="0.2">
      <c r="A1936" s="2" t="s">
        <v>1269</v>
      </c>
      <c r="B1936" s="2" t="s">
        <v>1270</v>
      </c>
      <c r="C1936" s="2" t="s">
        <v>1271</v>
      </c>
      <c r="D1936" s="2" t="s">
        <v>1448</v>
      </c>
      <c r="E1936" s="2" t="s">
        <v>1449</v>
      </c>
      <c r="F1936" s="2">
        <v>137.97</v>
      </c>
      <c r="G1936" s="2" t="s">
        <v>1415</v>
      </c>
      <c r="H1936" s="2">
        <v>136</v>
      </c>
      <c r="I1936" s="2">
        <v>145</v>
      </c>
      <c r="J1936" s="2" t="s">
        <v>1416</v>
      </c>
      <c r="K1936" s="2" t="s">
        <v>1434</v>
      </c>
    </row>
    <row r="1937" spans="1:11" x14ac:dyDescent="0.2">
      <c r="A1937" s="3" t="s">
        <v>1269</v>
      </c>
      <c r="B1937" s="3" t="s">
        <v>1270</v>
      </c>
      <c r="C1937" s="3" t="s">
        <v>1271</v>
      </c>
      <c r="D1937" s="3" t="s">
        <v>1432</v>
      </c>
      <c r="E1937" s="3" t="s">
        <v>1433</v>
      </c>
      <c r="F1937" s="3">
        <v>2.39</v>
      </c>
      <c r="G1937" s="3" t="s">
        <v>1415</v>
      </c>
      <c r="H1937" s="3">
        <v>0</v>
      </c>
      <c r="I1937" s="3">
        <v>3</v>
      </c>
      <c r="J1937" s="3" t="s">
        <v>1416</v>
      </c>
      <c r="K1937" s="3" t="s">
        <v>1420</v>
      </c>
    </row>
    <row r="1938" spans="1:11" x14ac:dyDescent="0.2">
      <c r="A1938" s="2" t="s">
        <v>1274</v>
      </c>
      <c r="B1938" s="2" t="s">
        <v>1275</v>
      </c>
      <c r="C1938" s="2" t="s">
        <v>1276</v>
      </c>
      <c r="D1938" s="2" t="s">
        <v>1435</v>
      </c>
      <c r="E1938" s="2" t="s">
        <v>1436</v>
      </c>
      <c r="F1938" s="2">
        <v>1.59</v>
      </c>
      <c r="G1938" s="2" t="s">
        <v>1415</v>
      </c>
      <c r="H1938" s="2">
        <v>0.8</v>
      </c>
      <c r="I1938" s="2">
        <v>1.5</v>
      </c>
      <c r="J1938" s="5" t="s">
        <v>1426</v>
      </c>
      <c r="K1938" s="2" t="s">
        <v>1420</v>
      </c>
    </row>
    <row r="1939" spans="1:11" x14ac:dyDescent="0.2">
      <c r="A1939" s="3" t="s">
        <v>1274</v>
      </c>
      <c r="B1939" s="3" t="s">
        <v>1275</v>
      </c>
      <c r="C1939" s="3" t="s">
        <v>1276</v>
      </c>
      <c r="D1939" s="3" t="s">
        <v>1440</v>
      </c>
      <c r="E1939" s="3" t="s">
        <v>1441</v>
      </c>
      <c r="F1939" s="3">
        <v>9.0500000000000007</v>
      </c>
      <c r="G1939" s="3" t="s">
        <v>1442</v>
      </c>
      <c r="H1939" s="3">
        <v>4</v>
      </c>
      <c r="I1939" s="3">
        <v>5.6</v>
      </c>
      <c r="J1939" s="5" t="s">
        <v>1426</v>
      </c>
      <c r="K1939" s="3" t="s">
        <v>1420</v>
      </c>
    </row>
    <row r="1940" spans="1:11" x14ac:dyDescent="0.2">
      <c r="A1940" s="2" t="s">
        <v>1274</v>
      </c>
      <c r="B1940" s="2" t="s">
        <v>1275</v>
      </c>
      <c r="C1940" s="2" t="s">
        <v>1276</v>
      </c>
      <c r="D1940" s="2" t="s">
        <v>1421</v>
      </c>
      <c r="E1940" s="2" t="s">
        <v>1422</v>
      </c>
      <c r="F1940" s="2">
        <v>5.83</v>
      </c>
      <c r="G1940" s="2" t="s">
        <v>1415</v>
      </c>
      <c r="H1940" s="2">
        <v>0</v>
      </c>
      <c r="I1940" s="2">
        <v>5</v>
      </c>
      <c r="J1940" s="5" t="s">
        <v>1426</v>
      </c>
      <c r="K1940" s="2" t="s">
        <v>1417</v>
      </c>
    </row>
    <row r="1941" spans="1:11" x14ac:dyDescent="0.2">
      <c r="A1941" s="3" t="s">
        <v>1274</v>
      </c>
      <c r="B1941" s="3" t="s">
        <v>1275</v>
      </c>
      <c r="C1941" s="3" t="s">
        <v>1276</v>
      </c>
      <c r="D1941" s="3" t="s">
        <v>1413</v>
      </c>
      <c r="E1941" s="3" t="s">
        <v>1414</v>
      </c>
      <c r="F1941" s="3">
        <v>1.41</v>
      </c>
      <c r="G1941" s="3" t="s">
        <v>1415</v>
      </c>
      <c r="H1941" s="3">
        <v>1</v>
      </c>
      <c r="I1941" s="3">
        <v>5</v>
      </c>
      <c r="J1941" s="3" t="s">
        <v>1416</v>
      </c>
      <c r="K1941" s="3" t="s">
        <v>1431</v>
      </c>
    </row>
    <row r="1942" spans="1:11" x14ac:dyDescent="0.2">
      <c r="A1942" s="2" t="s">
        <v>1274</v>
      </c>
      <c r="B1942" s="2" t="s">
        <v>1279</v>
      </c>
      <c r="C1942" s="2" t="s">
        <v>334</v>
      </c>
      <c r="D1942" s="2" t="s">
        <v>1413</v>
      </c>
      <c r="E1942" s="2" t="s">
        <v>1414</v>
      </c>
      <c r="F1942" s="2">
        <v>2.0499999999999998</v>
      </c>
      <c r="G1942" s="2" t="s">
        <v>1415</v>
      </c>
      <c r="H1942" s="2">
        <v>1</v>
      </c>
      <c r="I1942" s="2">
        <v>5</v>
      </c>
      <c r="J1942" s="2" t="s">
        <v>1416</v>
      </c>
      <c r="K1942" s="2" t="s">
        <v>1431</v>
      </c>
    </row>
    <row r="1943" spans="1:11" x14ac:dyDescent="0.2">
      <c r="A1943" s="3" t="s">
        <v>1274</v>
      </c>
      <c r="B1943" s="3" t="s">
        <v>1279</v>
      </c>
      <c r="C1943" s="3" t="s">
        <v>334</v>
      </c>
      <c r="D1943" s="3" t="s">
        <v>1453</v>
      </c>
      <c r="E1943" s="3" t="s">
        <v>1454</v>
      </c>
      <c r="F1943" s="3">
        <v>4.82</v>
      </c>
      <c r="G1943" s="3" t="s">
        <v>1415</v>
      </c>
      <c r="H1943" s="3">
        <v>3.9</v>
      </c>
      <c r="I1943" s="3">
        <v>5.5</v>
      </c>
      <c r="J1943" s="3" t="s">
        <v>1416</v>
      </c>
      <c r="K1943" s="3" t="s">
        <v>1434</v>
      </c>
    </row>
    <row r="1944" spans="1:11" x14ac:dyDescent="0.2">
      <c r="A1944" s="2" t="s">
        <v>1274</v>
      </c>
      <c r="B1944" s="2" t="s">
        <v>1279</v>
      </c>
      <c r="C1944" s="2" t="s">
        <v>334</v>
      </c>
      <c r="D1944" s="2" t="s">
        <v>1450</v>
      </c>
      <c r="E1944" s="2" t="s">
        <v>1451</v>
      </c>
      <c r="F1944" s="2">
        <v>76.22</v>
      </c>
      <c r="G1944" s="2" t="s">
        <v>1452</v>
      </c>
      <c r="H1944" s="2">
        <v>60</v>
      </c>
      <c r="I1944" s="2">
        <v>120</v>
      </c>
      <c r="J1944" s="2" t="s">
        <v>1416</v>
      </c>
      <c r="K1944" s="2" t="s">
        <v>1417</v>
      </c>
    </row>
    <row r="1945" spans="1:11" x14ac:dyDescent="0.2">
      <c r="A1945" s="3" t="s">
        <v>1274</v>
      </c>
      <c r="B1945" s="3" t="s">
        <v>1279</v>
      </c>
      <c r="C1945" s="3" t="s">
        <v>334</v>
      </c>
      <c r="D1945" s="3" t="s">
        <v>1427</v>
      </c>
      <c r="E1945" s="3" t="s">
        <v>1428</v>
      </c>
      <c r="F1945" s="3">
        <v>4.95</v>
      </c>
      <c r="G1945" s="3" t="s">
        <v>1429</v>
      </c>
      <c r="H1945" s="3">
        <v>4</v>
      </c>
      <c r="I1945" s="3">
        <v>11</v>
      </c>
      <c r="J1945" s="3" t="s">
        <v>1416</v>
      </c>
      <c r="K1945" s="3" t="s">
        <v>1417</v>
      </c>
    </row>
    <row r="1946" spans="1:11" x14ac:dyDescent="0.2">
      <c r="A1946" s="2" t="s">
        <v>1274</v>
      </c>
      <c r="B1946" s="2" t="s">
        <v>1279</v>
      </c>
      <c r="C1946" s="2" t="s">
        <v>334</v>
      </c>
      <c r="D1946" s="2" t="s">
        <v>1440</v>
      </c>
      <c r="E1946" s="2" t="s">
        <v>1441</v>
      </c>
      <c r="F1946" s="2">
        <v>9.5500000000000007</v>
      </c>
      <c r="G1946" s="2" t="s">
        <v>1442</v>
      </c>
      <c r="H1946" s="2">
        <v>4</v>
      </c>
      <c r="I1946" s="2">
        <v>5.6</v>
      </c>
      <c r="J1946" s="5" t="s">
        <v>1426</v>
      </c>
      <c r="K1946" s="2" t="s">
        <v>1420</v>
      </c>
    </row>
    <row r="1947" spans="1:11" x14ac:dyDescent="0.2">
      <c r="A1947" s="3" t="s">
        <v>1274</v>
      </c>
      <c r="B1947" s="3" t="s">
        <v>1280</v>
      </c>
      <c r="C1947" s="3" t="s">
        <v>1281</v>
      </c>
      <c r="D1947" s="3" t="s">
        <v>1446</v>
      </c>
      <c r="E1947" s="3" t="s">
        <v>1447</v>
      </c>
      <c r="F1947" s="3">
        <v>1.96</v>
      </c>
      <c r="G1947" s="3" t="s">
        <v>1415</v>
      </c>
      <c r="H1947" s="3">
        <v>2.1</v>
      </c>
      <c r="I1947" s="3">
        <v>2.6</v>
      </c>
      <c r="J1947" s="5" t="s">
        <v>1430</v>
      </c>
      <c r="K1947" s="3" t="s">
        <v>1417</v>
      </c>
    </row>
    <row r="1948" spans="1:11" x14ac:dyDescent="0.2">
      <c r="A1948" s="2" t="s">
        <v>1274</v>
      </c>
      <c r="B1948" s="2" t="s">
        <v>1280</v>
      </c>
      <c r="C1948" s="2" t="s">
        <v>1281</v>
      </c>
      <c r="D1948" s="2" t="s">
        <v>1421</v>
      </c>
      <c r="E1948" s="2" t="s">
        <v>1422</v>
      </c>
      <c r="F1948" s="2">
        <v>5.39</v>
      </c>
      <c r="G1948" s="2" t="s">
        <v>1415</v>
      </c>
      <c r="H1948" s="2">
        <v>0</v>
      </c>
      <c r="I1948" s="2">
        <v>5</v>
      </c>
      <c r="J1948" s="5" t="s">
        <v>1426</v>
      </c>
      <c r="K1948" s="2" t="s">
        <v>1417</v>
      </c>
    </row>
    <row r="1949" spans="1:11" x14ac:dyDescent="0.2">
      <c r="A1949" s="3" t="s">
        <v>1274</v>
      </c>
      <c r="B1949" s="3" t="s">
        <v>1280</v>
      </c>
      <c r="C1949" s="3" t="s">
        <v>1281</v>
      </c>
      <c r="D1949" s="3" t="s">
        <v>1453</v>
      </c>
      <c r="E1949" s="3" t="s">
        <v>1454</v>
      </c>
      <c r="F1949" s="3">
        <v>4.8499999999999996</v>
      </c>
      <c r="G1949" s="3" t="s">
        <v>1415</v>
      </c>
      <c r="H1949" s="3">
        <v>3.9</v>
      </c>
      <c r="I1949" s="3">
        <v>5.5</v>
      </c>
      <c r="J1949" s="3" t="s">
        <v>1416</v>
      </c>
      <c r="K1949" s="3" t="s">
        <v>1434</v>
      </c>
    </row>
    <row r="1950" spans="1:11" x14ac:dyDescent="0.2">
      <c r="A1950" s="2" t="s">
        <v>1274</v>
      </c>
      <c r="B1950" s="2" t="s">
        <v>1280</v>
      </c>
      <c r="C1950" s="2" t="s">
        <v>1281</v>
      </c>
      <c r="D1950" s="2" t="s">
        <v>1437</v>
      </c>
      <c r="E1950" s="2" t="s">
        <v>1438</v>
      </c>
      <c r="F1950" s="2">
        <v>13.62</v>
      </c>
      <c r="G1950" s="2" t="s">
        <v>1439</v>
      </c>
      <c r="H1950" s="2">
        <v>12</v>
      </c>
      <c r="I1950" s="2">
        <v>17.5</v>
      </c>
      <c r="J1950" s="2" t="s">
        <v>1416</v>
      </c>
      <c r="K1950" s="2" t="s">
        <v>1420</v>
      </c>
    </row>
    <row r="1951" spans="1:11" x14ac:dyDescent="0.2">
      <c r="A1951" s="3" t="s">
        <v>1274</v>
      </c>
      <c r="B1951" s="3" t="s">
        <v>1280</v>
      </c>
      <c r="C1951" s="3" t="s">
        <v>1281</v>
      </c>
      <c r="D1951" s="3" t="s">
        <v>1440</v>
      </c>
      <c r="E1951" s="3" t="s">
        <v>1441</v>
      </c>
      <c r="F1951" s="3">
        <v>11.05</v>
      </c>
      <c r="G1951" s="3" t="s">
        <v>1442</v>
      </c>
      <c r="H1951" s="3">
        <v>4</v>
      </c>
      <c r="I1951" s="3">
        <v>5.6</v>
      </c>
      <c r="J1951" s="5" t="s">
        <v>1426</v>
      </c>
      <c r="K1951" s="3" t="s">
        <v>1431</v>
      </c>
    </row>
    <row r="1952" spans="1:11" x14ac:dyDescent="0.2">
      <c r="A1952" s="2" t="s">
        <v>1274</v>
      </c>
      <c r="B1952" s="2" t="s">
        <v>1280</v>
      </c>
      <c r="C1952" s="2" t="s">
        <v>1281</v>
      </c>
      <c r="D1952" s="2" t="s">
        <v>1448</v>
      </c>
      <c r="E1952" s="2" t="s">
        <v>1449</v>
      </c>
      <c r="F1952" s="2">
        <v>139.71</v>
      </c>
      <c r="G1952" s="2" t="s">
        <v>1415</v>
      </c>
      <c r="H1952" s="2">
        <v>136</v>
      </c>
      <c r="I1952" s="2">
        <v>145</v>
      </c>
      <c r="J1952" s="2" t="s">
        <v>1416</v>
      </c>
      <c r="K1952" s="2" t="s">
        <v>1434</v>
      </c>
    </row>
    <row r="1953" spans="1:11" x14ac:dyDescent="0.2">
      <c r="A1953" s="3" t="s">
        <v>1274</v>
      </c>
      <c r="B1953" s="3" t="s">
        <v>1280</v>
      </c>
      <c r="C1953" s="3" t="s">
        <v>1281</v>
      </c>
      <c r="D1953" s="3" t="s">
        <v>1450</v>
      </c>
      <c r="E1953" s="3" t="s">
        <v>1451</v>
      </c>
      <c r="F1953" s="3">
        <v>126.58</v>
      </c>
      <c r="G1953" s="3" t="s">
        <v>1452</v>
      </c>
      <c r="H1953" s="3">
        <v>60</v>
      </c>
      <c r="I1953" s="3">
        <v>120</v>
      </c>
      <c r="J1953" s="5" t="s">
        <v>1426</v>
      </c>
      <c r="K1953" s="3" t="s">
        <v>1420</v>
      </c>
    </row>
    <row r="1954" spans="1:11" x14ac:dyDescent="0.2">
      <c r="A1954" s="2" t="s">
        <v>1274</v>
      </c>
      <c r="B1954" s="2" t="s">
        <v>1280</v>
      </c>
      <c r="C1954" s="2" t="s">
        <v>1281</v>
      </c>
      <c r="D1954" s="2" t="s">
        <v>1443</v>
      </c>
      <c r="E1954" s="2" t="s">
        <v>1444</v>
      </c>
      <c r="F1954" s="2">
        <v>90.42</v>
      </c>
      <c r="G1954" s="2" t="s">
        <v>1445</v>
      </c>
      <c r="H1954" s="2">
        <v>53</v>
      </c>
      <c r="I1954" s="2">
        <v>97</v>
      </c>
      <c r="J1954" s="2" t="s">
        <v>1416</v>
      </c>
      <c r="K1954" s="2" t="s">
        <v>1434</v>
      </c>
    </row>
    <row r="1955" spans="1:11" x14ac:dyDescent="0.2">
      <c r="A1955" s="3" t="s">
        <v>1274</v>
      </c>
      <c r="B1955" s="3" t="s">
        <v>1283</v>
      </c>
      <c r="C1955" s="3" t="s">
        <v>502</v>
      </c>
      <c r="D1955" s="3" t="s">
        <v>1453</v>
      </c>
      <c r="E1955" s="3" t="s">
        <v>1454</v>
      </c>
      <c r="F1955" s="3">
        <v>7.39</v>
      </c>
      <c r="G1955" s="3" t="s">
        <v>1415</v>
      </c>
      <c r="H1955" s="3">
        <v>3.9</v>
      </c>
      <c r="I1955" s="3">
        <v>5.5</v>
      </c>
      <c r="J1955" s="5" t="s">
        <v>1426</v>
      </c>
      <c r="K1955" s="3" t="s">
        <v>1431</v>
      </c>
    </row>
    <row r="1956" spans="1:11" x14ac:dyDescent="0.2">
      <c r="A1956" s="2" t="s">
        <v>1274</v>
      </c>
      <c r="B1956" s="2" t="s">
        <v>1283</v>
      </c>
      <c r="C1956" s="2" t="s">
        <v>502</v>
      </c>
      <c r="D1956" s="2" t="s">
        <v>1440</v>
      </c>
      <c r="E1956" s="2" t="s">
        <v>1441</v>
      </c>
      <c r="F1956" s="2">
        <v>5.72</v>
      </c>
      <c r="G1956" s="2" t="s">
        <v>1442</v>
      </c>
      <c r="H1956" s="2">
        <v>4</v>
      </c>
      <c r="I1956" s="2">
        <v>5.6</v>
      </c>
      <c r="J1956" s="5" t="s">
        <v>1426</v>
      </c>
      <c r="K1956" s="2" t="s">
        <v>1431</v>
      </c>
    </row>
    <row r="1957" spans="1:11" x14ac:dyDescent="0.2">
      <c r="A1957" s="3" t="s">
        <v>1274</v>
      </c>
      <c r="B1957" s="3" t="s">
        <v>1283</v>
      </c>
      <c r="C1957" s="3" t="s">
        <v>502</v>
      </c>
      <c r="D1957" s="3" t="s">
        <v>1446</v>
      </c>
      <c r="E1957" s="3" t="s">
        <v>1447</v>
      </c>
      <c r="F1957" s="3">
        <v>2.95</v>
      </c>
      <c r="G1957" s="3" t="s">
        <v>1415</v>
      </c>
      <c r="H1957" s="3">
        <v>2.1</v>
      </c>
      <c r="I1957" s="3">
        <v>2.6</v>
      </c>
      <c r="J1957" s="5" t="s">
        <v>1426</v>
      </c>
      <c r="K1957" s="3" t="s">
        <v>1420</v>
      </c>
    </row>
    <row r="1958" spans="1:11" x14ac:dyDescent="0.2">
      <c r="A1958" s="2" t="s">
        <v>1274</v>
      </c>
      <c r="B1958" s="2" t="s">
        <v>1283</v>
      </c>
      <c r="C1958" s="2" t="s">
        <v>502</v>
      </c>
      <c r="D1958" s="2" t="s">
        <v>1423</v>
      </c>
      <c r="E1958" s="2" t="s">
        <v>1424</v>
      </c>
      <c r="F1958" s="2">
        <v>3.88</v>
      </c>
      <c r="G1958" s="2" t="s">
        <v>1425</v>
      </c>
      <c r="H1958" s="2">
        <v>4.5</v>
      </c>
      <c r="I1958" s="2">
        <v>5.5</v>
      </c>
      <c r="J1958" s="5" t="s">
        <v>1430</v>
      </c>
      <c r="K1958" s="2" t="s">
        <v>1434</v>
      </c>
    </row>
    <row r="1959" spans="1:11" x14ac:dyDescent="0.2">
      <c r="A1959" s="3" t="s">
        <v>1274</v>
      </c>
      <c r="B1959" s="3" t="s">
        <v>1283</v>
      </c>
      <c r="C1959" s="3" t="s">
        <v>502</v>
      </c>
      <c r="D1959" s="3" t="s">
        <v>1413</v>
      </c>
      <c r="E1959" s="3" t="s">
        <v>1414</v>
      </c>
      <c r="F1959" s="3">
        <v>1.23</v>
      </c>
      <c r="G1959" s="3" t="s">
        <v>1415</v>
      </c>
      <c r="H1959" s="3">
        <v>1</v>
      </c>
      <c r="I1959" s="3">
        <v>5</v>
      </c>
      <c r="J1959" s="3" t="s">
        <v>1416</v>
      </c>
      <c r="K1959" s="3" t="s">
        <v>1417</v>
      </c>
    </row>
    <row r="1960" spans="1:11" x14ac:dyDescent="0.2">
      <c r="A1960" s="2" t="s">
        <v>1285</v>
      </c>
      <c r="B1960" s="2" t="s">
        <v>1286</v>
      </c>
      <c r="C1960" s="2" t="s">
        <v>490</v>
      </c>
      <c r="D1960" s="2" t="s">
        <v>1423</v>
      </c>
      <c r="E1960" s="2" t="s">
        <v>1424</v>
      </c>
      <c r="F1960" s="2">
        <v>5.98</v>
      </c>
      <c r="G1960" s="2" t="s">
        <v>1425</v>
      </c>
      <c r="H1960" s="2">
        <v>4.5</v>
      </c>
      <c r="I1960" s="2">
        <v>5.5</v>
      </c>
      <c r="J1960" s="5" t="s">
        <v>1426</v>
      </c>
      <c r="K1960" s="2" t="s">
        <v>1420</v>
      </c>
    </row>
    <row r="1961" spans="1:11" x14ac:dyDescent="0.2">
      <c r="A1961" s="3" t="s">
        <v>1285</v>
      </c>
      <c r="B1961" s="3" t="s">
        <v>1286</v>
      </c>
      <c r="C1961" s="3" t="s">
        <v>490</v>
      </c>
      <c r="D1961" s="3" t="s">
        <v>1455</v>
      </c>
      <c r="E1961" s="3" t="s">
        <v>1456</v>
      </c>
      <c r="F1961" s="3">
        <v>302.39999999999998</v>
      </c>
      <c r="G1961" s="3" t="s">
        <v>1457</v>
      </c>
      <c r="H1961" s="3">
        <v>40</v>
      </c>
      <c r="I1961" s="3">
        <v>130</v>
      </c>
      <c r="J1961" s="5" t="s">
        <v>1426</v>
      </c>
      <c r="K1961" s="3" t="s">
        <v>1431</v>
      </c>
    </row>
    <row r="1962" spans="1:11" x14ac:dyDescent="0.2">
      <c r="A1962" s="2" t="s">
        <v>1285</v>
      </c>
      <c r="B1962" s="2" t="s">
        <v>1286</v>
      </c>
      <c r="C1962" s="2" t="s">
        <v>490</v>
      </c>
      <c r="D1962" s="2" t="s">
        <v>1418</v>
      </c>
      <c r="E1962" s="2" t="s">
        <v>1419</v>
      </c>
      <c r="F1962" s="2">
        <v>4.38</v>
      </c>
      <c r="G1962" s="2" t="s">
        <v>1415</v>
      </c>
      <c r="H1962" s="2">
        <v>3.5</v>
      </c>
      <c r="I1962" s="2">
        <v>5</v>
      </c>
      <c r="J1962" s="2" t="s">
        <v>1416</v>
      </c>
      <c r="K1962" s="2" t="s">
        <v>1434</v>
      </c>
    </row>
    <row r="1963" spans="1:11" x14ac:dyDescent="0.2">
      <c r="A1963" s="3" t="s">
        <v>1285</v>
      </c>
      <c r="B1963" s="3" t="s">
        <v>1289</v>
      </c>
      <c r="C1963" s="3" t="s">
        <v>851</v>
      </c>
      <c r="D1963" s="3" t="s">
        <v>1432</v>
      </c>
      <c r="E1963" s="3" t="s">
        <v>1433</v>
      </c>
      <c r="F1963" s="3">
        <v>2.2000000000000002</v>
      </c>
      <c r="G1963" s="3" t="s">
        <v>1415</v>
      </c>
      <c r="H1963" s="3">
        <v>0</v>
      </c>
      <c r="I1963" s="3">
        <v>3</v>
      </c>
      <c r="J1963" s="3" t="s">
        <v>1416</v>
      </c>
      <c r="K1963" s="3" t="s">
        <v>1417</v>
      </c>
    </row>
    <row r="1964" spans="1:11" x14ac:dyDescent="0.2">
      <c r="A1964" s="2" t="s">
        <v>1285</v>
      </c>
      <c r="B1964" s="2" t="s">
        <v>1289</v>
      </c>
      <c r="C1964" s="2" t="s">
        <v>851</v>
      </c>
      <c r="D1964" s="2" t="s">
        <v>1440</v>
      </c>
      <c r="E1964" s="2" t="s">
        <v>1441</v>
      </c>
      <c r="F1964" s="2">
        <v>7.19</v>
      </c>
      <c r="G1964" s="2" t="s">
        <v>1442</v>
      </c>
      <c r="H1964" s="2">
        <v>4</v>
      </c>
      <c r="I1964" s="2">
        <v>5.6</v>
      </c>
      <c r="J1964" s="5" t="s">
        <v>1426</v>
      </c>
      <c r="K1964" s="2" t="s">
        <v>1420</v>
      </c>
    </row>
    <row r="1965" spans="1:11" x14ac:dyDescent="0.2">
      <c r="A1965" s="3" t="s">
        <v>1285</v>
      </c>
      <c r="B1965" s="3" t="s">
        <v>1289</v>
      </c>
      <c r="C1965" s="3" t="s">
        <v>851</v>
      </c>
      <c r="D1965" s="3" t="s">
        <v>1443</v>
      </c>
      <c r="E1965" s="3" t="s">
        <v>1444</v>
      </c>
      <c r="F1965" s="3">
        <v>85</v>
      </c>
      <c r="G1965" s="3" t="s">
        <v>1445</v>
      </c>
      <c r="H1965" s="3">
        <v>53</v>
      </c>
      <c r="I1965" s="3">
        <v>97</v>
      </c>
      <c r="J1965" s="3" t="s">
        <v>1416</v>
      </c>
      <c r="K1965" s="3" t="s">
        <v>1417</v>
      </c>
    </row>
    <row r="1966" spans="1:11" x14ac:dyDescent="0.2">
      <c r="A1966" s="2" t="s">
        <v>1285</v>
      </c>
      <c r="B1966" s="2" t="s">
        <v>1289</v>
      </c>
      <c r="C1966" s="2" t="s">
        <v>851</v>
      </c>
      <c r="D1966" s="2" t="s">
        <v>1437</v>
      </c>
      <c r="E1966" s="2" t="s">
        <v>1438</v>
      </c>
      <c r="F1966" s="2">
        <v>14.57</v>
      </c>
      <c r="G1966" s="2" t="s">
        <v>1439</v>
      </c>
      <c r="H1966" s="2">
        <v>12</v>
      </c>
      <c r="I1966" s="2">
        <v>17.5</v>
      </c>
      <c r="J1966" s="2" t="s">
        <v>1416</v>
      </c>
      <c r="K1966" s="2" t="s">
        <v>1420</v>
      </c>
    </row>
    <row r="1967" spans="1:11" x14ac:dyDescent="0.2">
      <c r="A1967" s="3" t="s">
        <v>1285</v>
      </c>
      <c r="B1967" s="3" t="s">
        <v>1289</v>
      </c>
      <c r="C1967" s="3" t="s">
        <v>851</v>
      </c>
      <c r="D1967" s="3" t="s">
        <v>1421</v>
      </c>
      <c r="E1967" s="3" t="s">
        <v>1422</v>
      </c>
      <c r="F1967" s="3">
        <v>5.71</v>
      </c>
      <c r="G1967" s="3" t="s">
        <v>1415</v>
      </c>
      <c r="H1967" s="3">
        <v>0</v>
      </c>
      <c r="I1967" s="3">
        <v>5</v>
      </c>
      <c r="J1967" s="5" t="s">
        <v>1426</v>
      </c>
      <c r="K1967" s="3" t="s">
        <v>1431</v>
      </c>
    </row>
    <row r="1968" spans="1:11" x14ac:dyDescent="0.2">
      <c r="A1968" s="2" t="s">
        <v>1285</v>
      </c>
      <c r="B1968" s="2" t="s">
        <v>1289</v>
      </c>
      <c r="C1968" s="2" t="s">
        <v>851</v>
      </c>
      <c r="D1968" s="2" t="s">
        <v>1413</v>
      </c>
      <c r="E1968" s="2" t="s">
        <v>1414</v>
      </c>
      <c r="F1968" s="2">
        <v>2.0099999999999998</v>
      </c>
      <c r="G1968" s="2" t="s">
        <v>1415</v>
      </c>
      <c r="H1968" s="2">
        <v>1</v>
      </c>
      <c r="I1968" s="2">
        <v>5</v>
      </c>
      <c r="J1968" s="2" t="s">
        <v>1416</v>
      </c>
      <c r="K1968" s="2" t="s">
        <v>1434</v>
      </c>
    </row>
    <row r="1969" spans="1:11" x14ac:dyDescent="0.2">
      <c r="A1969" s="3" t="s">
        <v>1285</v>
      </c>
      <c r="B1969" s="3" t="s">
        <v>1291</v>
      </c>
      <c r="C1969" s="3" t="s">
        <v>1292</v>
      </c>
      <c r="D1969" s="3" t="s">
        <v>1423</v>
      </c>
      <c r="E1969" s="3" t="s">
        <v>1424</v>
      </c>
      <c r="F1969" s="3">
        <v>3.11</v>
      </c>
      <c r="G1969" s="3" t="s">
        <v>1425</v>
      </c>
      <c r="H1969" s="3">
        <v>4.5</v>
      </c>
      <c r="I1969" s="3">
        <v>5.5</v>
      </c>
      <c r="J1969" s="5" t="s">
        <v>1430</v>
      </c>
      <c r="K1969" s="3" t="s">
        <v>1420</v>
      </c>
    </row>
    <row r="1970" spans="1:11" x14ac:dyDescent="0.2">
      <c r="A1970" s="2" t="s">
        <v>1285</v>
      </c>
      <c r="B1970" s="2" t="s">
        <v>1291</v>
      </c>
      <c r="C1970" s="2" t="s">
        <v>1292</v>
      </c>
      <c r="D1970" s="2" t="s">
        <v>1443</v>
      </c>
      <c r="E1970" s="2" t="s">
        <v>1444</v>
      </c>
      <c r="F1970" s="2">
        <v>82.87</v>
      </c>
      <c r="G1970" s="2" t="s">
        <v>1445</v>
      </c>
      <c r="H1970" s="2">
        <v>53</v>
      </c>
      <c r="I1970" s="2">
        <v>97</v>
      </c>
      <c r="J1970" s="2" t="s">
        <v>1416</v>
      </c>
      <c r="K1970" s="2" t="s">
        <v>1420</v>
      </c>
    </row>
    <row r="1971" spans="1:11" x14ac:dyDescent="0.2">
      <c r="A1971" s="3" t="s">
        <v>1285</v>
      </c>
      <c r="B1971" s="3" t="s">
        <v>1291</v>
      </c>
      <c r="C1971" s="3" t="s">
        <v>1292</v>
      </c>
      <c r="D1971" s="3" t="s">
        <v>1413</v>
      </c>
      <c r="E1971" s="3" t="s">
        <v>1414</v>
      </c>
      <c r="F1971" s="3">
        <v>1.25</v>
      </c>
      <c r="G1971" s="3" t="s">
        <v>1415</v>
      </c>
      <c r="H1971" s="3">
        <v>1</v>
      </c>
      <c r="I1971" s="3">
        <v>5</v>
      </c>
      <c r="J1971" s="3" t="s">
        <v>1416</v>
      </c>
      <c r="K1971" s="3" t="s">
        <v>1417</v>
      </c>
    </row>
    <row r="1972" spans="1:11" x14ac:dyDescent="0.2">
      <c r="A1972" s="2" t="s">
        <v>1285</v>
      </c>
      <c r="B1972" s="2" t="s">
        <v>1291</v>
      </c>
      <c r="C1972" s="2" t="s">
        <v>1292</v>
      </c>
      <c r="D1972" s="2" t="s">
        <v>1418</v>
      </c>
      <c r="E1972" s="2" t="s">
        <v>1419</v>
      </c>
      <c r="F1972" s="2">
        <v>4.1399999999999997</v>
      </c>
      <c r="G1972" s="2" t="s">
        <v>1415</v>
      </c>
      <c r="H1972" s="2">
        <v>3.5</v>
      </c>
      <c r="I1972" s="2">
        <v>5</v>
      </c>
      <c r="J1972" s="2" t="s">
        <v>1416</v>
      </c>
      <c r="K1972" s="2" t="s">
        <v>1420</v>
      </c>
    </row>
    <row r="1973" spans="1:11" x14ac:dyDescent="0.2">
      <c r="A1973" s="3" t="s">
        <v>1285</v>
      </c>
      <c r="B1973" s="3" t="s">
        <v>1291</v>
      </c>
      <c r="C1973" s="3" t="s">
        <v>1292</v>
      </c>
      <c r="D1973" s="3" t="s">
        <v>1421</v>
      </c>
      <c r="E1973" s="3" t="s">
        <v>1422</v>
      </c>
      <c r="F1973" s="3">
        <v>4.03</v>
      </c>
      <c r="G1973" s="3" t="s">
        <v>1415</v>
      </c>
      <c r="H1973" s="3">
        <v>0</v>
      </c>
      <c r="I1973" s="3">
        <v>5</v>
      </c>
      <c r="J1973" s="3" t="s">
        <v>1416</v>
      </c>
      <c r="K1973" s="3" t="s">
        <v>1420</v>
      </c>
    </row>
    <row r="1974" spans="1:11" x14ac:dyDescent="0.2">
      <c r="A1974" s="2" t="s">
        <v>1285</v>
      </c>
      <c r="B1974" s="2" t="s">
        <v>1291</v>
      </c>
      <c r="C1974" s="2" t="s">
        <v>1292</v>
      </c>
      <c r="D1974" s="2" t="s">
        <v>1448</v>
      </c>
      <c r="E1974" s="2" t="s">
        <v>1449</v>
      </c>
      <c r="F1974" s="2">
        <v>143.79</v>
      </c>
      <c r="G1974" s="2" t="s">
        <v>1415</v>
      </c>
      <c r="H1974" s="2">
        <v>136</v>
      </c>
      <c r="I1974" s="2">
        <v>145</v>
      </c>
      <c r="J1974" s="2" t="s">
        <v>1416</v>
      </c>
      <c r="K1974" s="2" t="s">
        <v>1431</v>
      </c>
    </row>
    <row r="1975" spans="1:11" x14ac:dyDescent="0.2">
      <c r="A1975" s="3" t="s">
        <v>1285</v>
      </c>
      <c r="B1975" s="3" t="s">
        <v>1291</v>
      </c>
      <c r="C1975" s="3" t="s">
        <v>1292</v>
      </c>
      <c r="D1975" s="3" t="s">
        <v>1435</v>
      </c>
      <c r="E1975" s="3" t="s">
        <v>1436</v>
      </c>
      <c r="F1975" s="3">
        <v>1.1399999999999999</v>
      </c>
      <c r="G1975" s="3" t="s">
        <v>1415</v>
      </c>
      <c r="H1975" s="3">
        <v>0.8</v>
      </c>
      <c r="I1975" s="3">
        <v>1.5</v>
      </c>
      <c r="J1975" s="3" t="s">
        <v>1416</v>
      </c>
      <c r="K1975" s="3" t="s">
        <v>1420</v>
      </c>
    </row>
    <row r="1976" spans="1:11" x14ac:dyDescent="0.2">
      <c r="A1976" s="2" t="s">
        <v>1285</v>
      </c>
      <c r="B1976" s="2" t="s">
        <v>1291</v>
      </c>
      <c r="C1976" s="2" t="s">
        <v>1292</v>
      </c>
      <c r="D1976" s="2" t="s">
        <v>1427</v>
      </c>
      <c r="E1976" s="2" t="s">
        <v>1428</v>
      </c>
      <c r="F1976" s="2">
        <v>3.79</v>
      </c>
      <c r="G1976" s="2" t="s">
        <v>1429</v>
      </c>
      <c r="H1976" s="2">
        <v>4</v>
      </c>
      <c r="I1976" s="2">
        <v>11</v>
      </c>
      <c r="J1976" s="5" t="s">
        <v>1430</v>
      </c>
      <c r="K1976" s="2" t="s">
        <v>1417</v>
      </c>
    </row>
    <row r="1977" spans="1:11" x14ac:dyDescent="0.2">
      <c r="A1977" s="3" t="s">
        <v>1285</v>
      </c>
      <c r="B1977" s="3" t="s">
        <v>1293</v>
      </c>
      <c r="C1977" s="3" t="s">
        <v>644</v>
      </c>
      <c r="D1977" s="3" t="s">
        <v>1453</v>
      </c>
      <c r="E1977" s="3" t="s">
        <v>1454</v>
      </c>
      <c r="F1977" s="3">
        <v>8.0299999999999994</v>
      </c>
      <c r="G1977" s="3" t="s">
        <v>1415</v>
      </c>
      <c r="H1977" s="3">
        <v>3.9</v>
      </c>
      <c r="I1977" s="3">
        <v>5.5</v>
      </c>
      <c r="J1977" s="5" t="s">
        <v>1426</v>
      </c>
      <c r="K1977" s="3" t="s">
        <v>1434</v>
      </c>
    </row>
    <row r="1978" spans="1:11" x14ac:dyDescent="0.2">
      <c r="A1978" s="2" t="s">
        <v>1285</v>
      </c>
      <c r="B1978" s="2" t="s">
        <v>1293</v>
      </c>
      <c r="C1978" s="2" t="s">
        <v>644</v>
      </c>
      <c r="D1978" s="2" t="s">
        <v>1450</v>
      </c>
      <c r="E1978" s="2" t="s">
        <v>1451</v>
      </c>
      <c r="F1978" s="2">
        <v>42.94</v>
      </c>
      <c r="G1978" s="2" t="s">
        <v>1452</v>
      </c>
      <c r="H1978" s="2">
        <v>60</v>
      </c>
      <c r="I1978" s="2">
        <v>120</v>
      </c>
      <c r="J1978" s="5" t="s">
        <v>1430</v>
      </c>
      <c r="K1978" s="2" t="s">
        <v>1431</v>
      </c>
    </row>
    <row r="1979" spans="1:11" x14ac:dyDescent="0.2">
      <c r="A1979" s="3" t="s">
        <v>1285</v>
      </c>
      <c r="B1979" s="3" t="s">
        <v>1293</v>
      </c>
      <c r="C1979" s="3" t="s">
        <v>644</v>
      </c>
      <c r="D1979" s="3" t="s">
        <v>1437</v>
      </c>
      <c r="E1979" s="3" t="s">
        <v>1438</v>
      </c>
      <c r="F1979" s="3">
        <v>10.85</v>
      </c>
      <c r="G1979" s="3" t="s">
        <v>1439</v>
      </c>
      <c r="H1979" s="3">
        <v>12</v>
      </c>
      <c r="I1979" s="3">
        <v>17.5</v>
      </c>
      <c r="J1979" s="5" t="s">
        <v>1430</v>
      </c>
      <c r="K1979" s="3" t="s">
        <v>1431</v>
      </c>
    </row>
    <row r="1980" spans="1:11" x14ac:dyDescent="0.2">
      <c r="A1980" s="2" t="s">
        <v>1285</v>
      </c>
      <c r="B1980" s="2" t="s">
        <v>1293</v>
      </c>
      <c r="C1980" s="2" t="s">
        <v>644</v>
      </c>
      <c r="D1980" s="2" t="s">
        <v>1432</v>
      </c>
      <c r="E1980" s="2" t="s">
        <v>1433</v>
      </c>
      <c r="F1980" s="2">
        <v>3.37</v>
      </c>
      <c r="G1980" s="2" t="s">
        <v>1415</v>
      </c>
      <c r="H1980" s="2">
        <v>0</v>
      </c>
      <c r="I1980" s="2">
        <v>3</v>
      </c>
      <c r="J1980" s="5" t="s">
        <v>1426</v>
      </c>
      <c r="K1980" s="2" t="s">
        <v>1431</v>
      </c>
    </row>
    <row r="1981" spans="1:11" x14ac:dyDescent="0.2">
      <c r="A1981" s="3" t="s">
        <v>1285</v>
      </c>
      <c r="B1981" s="3" t="s">
        <v>1293</v>
      </c>
      <c r="C1981" s="3" t="s">
        <v>644</v>
      </c>
      <c r="D1981" s="3" t="s">
        <v>1427</v>
      </c>
      <c r="E1981" s="3" t="s">
        <v>1428</v>
      </c>
      <c r="F1981" s="3">
        <v>14.57</v>
      </c>
      <c r="G1981" s="3" t="s">
        <v>1429</v>
      </c>
      <c r="H1981" s="3">
        <v>4</v>
      </c>
      <c r="I1981" s="3">
        <v>11</v>
      </c>
      <c r="J1981" s="5" t="s">
        <v>1426</v>
      </c>
      <c r="K1981" s="3" t="s">
        <v>1434</v>
      </c>
    </row>
    <row r="1982" spans="1:11" x14ac:dyDescent="0.2">
      <c r="A1982" s="2" t="s">
        <v>1285</v>
      </c>
      <c r="B1982" s="2" t="s">
        <v>1293</v>
      </c>
      <c r="C1982" s="2" t="s">
        <v>644</v>
      </c>
      <c r="D1982" s="2" t="s">
        <v>1455</v>
      </c>
      <c r="E1982" s="2" t="s">
        <v>1456</v>
      </c>
      <c r="F1982" s="2">
        <v>33.090000000000003</v>
      </c>
      <c r="G1982" s="2" t="s">
        <v>1457</v>
      </c>
      <c r="H1982" s="2">
        <v>40</v>
      </c>
      <c r="I1982" s="2">
        <v>130</v>
      </c>
      <c r="J1982" s="5" t="s">
        <v>1430</v>
      </c>
      <c r="K1982" s="2" t="s">
        <v>1434</v>
      </c>
    </row>
    <row r="1983" spans="1:11" x14ac:dyDescent="0.2">
      <c r="A1983" s="3" t="s">
        <v>1285</v>
      </c>
      <c r="B1983" s="3" t="s">
        <v>1293</v>
      </c>
      <c r="C1983" s="3" t="s">
        <v>644</v>
      </c>
      <c r="D1983" s="3" t="s">
        <v>1443</v>
      </c>
      <c r="E1983" s="3" t="s">
        <v>1444</v>
      </c>
      <c r="F1983" s="3">
        <v>84.46</v>
      </c>
      <c r="G1983" s="3" t="s">
        <v>1445</v>
      </c>
      <c r="H1983" s="3">
        <v>53</v>
      </c>
      <c r="I1983" s="3">
        <v>97</v>
      </c>
      <c r="J1983" s="3" t="s">
        <v>1416</v>
      </c>
      <c r="K1983" s="3" t="s">
        <v>1420</v>
      </c>
    </row>
    <row r="1984" spans="1:11" x14ac:dyDescent="0.2">
      <c r="A1984" s="2" t="s">
        <v>1285</v>
      </c>
      <c r="B1984" s="2" t="s">
        <v>1293</v>
      </c>
      <c r="C1984" s="2" t="s">
        <v>644</v>
      </c>
      <c r="D1984" s="2" t="s">
        <v>1440</v>
      </c>
      <c r="E1984" s="2" t="s">
        <v>1441</v>
      </c>
      <c r="F1984" s="2">
        <v>10.66</v>
      </c>
      <c r="G1984" s="2" t="s">
        <v>1442</v>
      </c>
      <c r="H1984" s="2">
        <v>4</v>
      </c>
      <c r="I1984" s="2">
        <v>5.6</v>
      </c>
      <c r="J1984" s="5" t="s">
        <v>1426</v>
      </c>
      <c r="K1984" s="2" t="s">
        <v>1434</v>
      </c>
    </row>
    <row r="1985" spans="1:11" x14ac:dyDescent="0.2">
      <c r="A1985" s="3" t="s">
        <v>1294</v>
      </c>
      <c r="B1985" s="3" t="s">
        <v>1295</v>
      </c>
      <c r="C1985" s="3" t="s">
        <v>615</v>
      </c>
      <c r="D1985" s="3" t="s">
        <v>1423</v>
      </c>
      <c r="E1985" s="3" t="s">
        <v>1424</v>
      </c>
      <c r="F1985" s="3">
        <v>5.62</v>
      </c>
      <c r="G1985" s="3" t="s">
        <v>1425</v>
      </c>
      <c r="H1985" s="3">
        <v>4.5</v>
      </c>
      <c r="I1985" s="3">
        <v>5.5</v>
      </c>
      <c r="J1985" s="5" t="s">
        <v>1426</v>
      </c>
      <c r="K1985" s="3" t="s">
        <v>1434</v>
      </c>
    </row>
    <row r="1986" spans="1:11" x14ac:dyDescent="0.2">
      <c r="A1986" s="2" t="s">
        <v>1294</v>
      </c>
      <c r="B1986" s="2" t="s">
        <v>1295</v>
      </c>
      <c r="C1986" s="2" t="s">
        <v>615</v>
      </c>
      <c r="D1986" s="2" t="s">
        <v>1437</v>
      </c>
      <c r="E1986" s="2" t="s">
        <v>1438</v>
      </c>
      <c r="F1986" s="2">
        <v>13.96</v>
      </c>
      <c r="G1986" s="2" t="s">
        <v>1439</v>
      </c>
      <c r="H1986" s="2">
        <v>12</v>
      </c>
      <c r="I1986" s="2">
        <v>17.5</v>
      </c>
      <c r="J1986" s="2" t="s">
        <v>1416</v>
      </c>
      <c r="K1986" s="2" t="s">
        <v>1434</v>
      </c>
    </row>
    <row r="1987" spans="1:11" x14ac:dyDescent="0.2">
      <c r="A1987" s="3" t="s">
        <v>1294</v>
      </c>
      <c r="B1987" s="3" t="s">
        <v>1295</v>
      </c>
      <c r="C1987" s="3" t="s">
        <v>615</v>
      </c>
      <c r="D1987" s="3" t="s">
        <v>1448</v>
      </c>
      <c r="E1987" s="3" t="s">
        <v>1449</v>
      </c>
      <c r="F1987" s="3">
        <v>143.56</v>
      </c>
      <c r="G1987" s="3" t="s">
        <v>1415</v>
      </c>
      <c r="H1987" s="3">
        <v>136</v>
      </c>
      <c r="I1987" s="3">
        <v>145</v>
      </c>
      <c r="J1987" s="3" t="s">
        <v>1416</v>
      </c>
      <c r="K1987" s="3" t="s">
        <v>1431</v>
      </c>
    </row>
    <row r="1988" spans="1:11" x14ac:dyDescent="0.2">
      <c r="A1988" s="2" t="s">
        <v>1294</v>
      </c>
      <c r="B1988" s="2" t="s">
        <v>1295</v>
      </c>
      <c r="C1988" s="2" t="s">
        <v>615</v>
      </c>
      <c r="D1988" s="2" t="s">
        <v>1446</v>
      </c>
      <c r="E1988" s="2" t="s">
        <v>1447</v>
      </c>
      <c r="F1988" s="2">
        <v>2.9</v>
      </c>
      <c r="G1988" s="2" t="s">
        <v>1415</v>
      </c>
      <c r="H1988" s="2">
        <v>2.1</v>
      </c>
      <c r="I1988" s="2">
        <v>2.6</v>
      </c>
      <c r="J1988" s="5" t="s">
        <v>1426</v>
      </c>
      <c r="K1988" s="2" t="s">
        <v>1434</v>
      </c>
    </row>
    <row r="1989" spans="1:11" x14ac:dyDescent="0.2">
      <c r="A1989" s="3" t="s">
        <v>1294</v>
      </c>
      <c r="B1989" s="3" t="s">
        <v>1298</v>
      </c>
      <c r="C1989" s="3" t="s">
        <v>1299</v>
      </c>
      <c r="D1989" s="3" t="s">
        <v>1453</v>
      </c>
      <c r="E1989" s="3" t="s">
        <v>1454</v>
      </c>
      <c r="F1989" s="3">
        <v>6.16</v>
      </c>
      <c r="G1989" s="3" t="s">
        <v>1415</v>
      </c>
      <c r="H1989" s="3">
        <v>3.9</v>
      </c>
      <c r="I1989" s="3">
        <v>5.5</v>
      </c>
      <c r="J1989" s="5" t="s">
        <v>1426</v>
      </c>
      <c r="K1989" s="3" t="s">
        <v>1431</v>
      </c>
    </row>
    <row r="1990" spans="1:11" x14ac:dyDescent="0.2">
      <c r="A1990" s="2" t="s">
        <v>1294</v>
      </c>
      <c r="B1990" s="2" t="s">
        <v>1298</v>
      </c>
      <c r="C1990" s="2" t="s">
        <v>1299</v>
      </c>
      <c r="D1990" s="2" t="s">
        <v>1435</v>
      </c>
      <c r="E1990" s="2" t="s">
        <v>1436</v>
      </c>
      <c r="F1990" s="2">
        <v>0.77</v>
      </c>
      <c r="G1990" s="2" t="s">
        <v>1415</v>
      </c>
      <c r="H1990" s="2">
        <v>0.8</v>
      </c>
      <c r="I1990" s="2">
        <v>1.5</v>
      </c>
      <c r="J1990" s="5" t="s">
        <v>1430</v>
      </c>
      <c r="K1990" s="2" t="s">
        <v>1434</v>
      </c>
    </row>
    <row r="1991" spans="1:11" x14ac:dyDescent="0.2">
      <c r="A1991" s="3" t="s">
        <v>1294</v>
      </c>
      <c r="B1991" s="3" t="s">
        <v>1298</v>
      </c>
      <c r="C1991" s="3" t="s">
        <v>1299</v>
      </c>
      <c r="D1991" s="3" t="s">
        <v>1455</v>
      </c>
      <c r="E1991" s="3" t="s">
        <v>1456</v>
      </c>
      <c r="F1991" s="3">
        <v>153.81</v>
      </c>
      <c r="G1991" s="3" t="s">
        <v>1457</v>
      </c>
      <c r="H1991" s="3">
        <v>40</v>
      </c>
      <c r="I1991" s="3">
        <v>130</v>
      </c>
      <c r="J1991" s="5" t="s">
        <v>1426</v>
      </c>
      <c r="K1991" s="3" t="s">
        <v>1431</v>
      </c>
    </row>
    <row r="1992" spans="1:11" x14ac:dyDescent="0.2">
      <c r="A1992" s="2" t="s">
        <v>1294</v>
      </c>
      <c r="B1992" s="2" t="s">
        <v>1298</v>
      </c>
      <c r="C1992" s="2" t="s">
        <v>1299</v>
      </c>
      <c r="D1992" s="2" t="s">
        <v>1443</v>
      </c>
      <c r="E1992" s="2" t="s">
        <v>1444</v>
      </c>
      <c r="F1992" s="2">
        <v>74.040000000000006</v>
      </c>
      <c r="G1992" s="2" t="s">
        <v>1445</v>
      </c>
      <c r="H1992" s="2">
        <v>53</v>
      </c>
      <c r="I1992" s="2">
        <v>97</v>
      </c>
      <c r="J1992" s="2" t="s">
        <v>1416</v>
      </c>
      <c r="K1992" s="2" t="s">
        <v>1431</v>
      </c>
    </row>
    <row r="1993" spans="1:11" x14ac:dyDescent="0.2">
      <c r="A1993" s="3" t="s">
        <v>1294</v>
      </c>
      <c r="B1993" s="3" t="s">
        <v>1301</v>
      </c>
      <c r="C1993" s="3" t="s">
        <v>908</v>
      </c>
      <c r="D1993" s="3" t="s">
        <v>1448</v>
      </c>
      <c r="E1993" s="3" t="s">
        <v>1449</v>
      </c>
      <c r="F1993" s="3">
        <v>135.77000000000001</v>
      </c>
      <c r="G1993" s="3" t="s">
        <v>1415</v>
      </c>
      <c r="H1993" s="3">
        <v>136</v>
      </c>
      <c r="I1993" s="3">
        <v>145</v>
      </c>
      <c r="J1993" s="5" t="s">
        <v>1430</v>
      </c>
      <c r="K1993" s="3" t="s">
        <v>1434</v>
      </c>
    </row>
    <row r="1994" spans="1:11" x14ac:dyDescent="0.2">
      <c r="A1994" s="2" t="s">
        <v>1294</v>
      </c>
      <c r="B1994" s="2" t="s">
        <v>1301</v>
      </c>
      <c r="C1994" s="2" t="s">
        <v>908</v>
      </c>
      <c r="D1994" s="2" t="s">
        <v>1423</v>
      </c>
      <c r="E1994" s="2" t="s">
        <v>1424</v>
      </c>
      <c r="F1994" s="2">
        <v>3.24</v>
      </c>
      <c r="G1994" s="2" t="s">
        <v>1425</v>
      </c>
      <c r="H1994" s="2">
        <v>4.5</v>
      </c>
      <c r="I1994" s="2">
        <v>5.5</v>
      </c>
      <c r="J1994" s="5" t="s">
        <v>1430</v>
      </c>
      <c r="K1994" s="2" t="s">
        <v>1431</v>
      </c>
    </row>
    <row r="1995" spans="1:11" x14ac:dyDescent="0.2">
      <c r="A1995" s="3" t="s">
        <v>1294</v>
      </c>
      <c r="B1995" s="3" t="s">
        <v>1301</v>
      </c>
      <c r="C1995" s="3" t="s">
        <v>908</v>
      </c>
      <c r="D1995" s="3" t="s">
        <v>1435</v>
      </c>
      <c r="E1995" s="3" t="s">
        <v>1436</v>
      </c>
      <c r="F1995" s="3">
        <v>0.84</v>
      </c>
      <c r="G1995" s="3" t="s">
        <v>1415</v>
      </c>
      <c r="H1995" s="3">
        <v>0.8</v>
      </c>
      <c r="I1995" s="3">
        <v>1.5</v>
      </c>
      <c r="J1995" s="3" t="s">
        <v>1416</v>
      </c>
      <c r="K1995" s="3" t="s">
        <v>1431</v>
      </c>
    </row>
    <row r="1996" spans="1:11" x14ac:dyDescent="0.2">
      <c r="A1996" s="2" t="s">
        <v>1294</v>
      </c>
      <c r="B1996" s="2" t="s">
        <v>1301</v>
      </c>
      <c r="C1996" s="2" t="s">
        <v>908</v>
      </c>
      <c r="D1996" s="2" t="s">
        <v>1440</v>
      </c>
      <c r="E1996" s="2" t="s">
        <v>1441</v>
      </c>
      <c r="F1996" s="2">
        <v>9.5500000000000007</v>
      </c>
      <c r="G1996" s="2" t="s">
        <v>1442</v>
      </c>
      <c r="H1996" s="2">
        <v>4</v>
      </c>
      <c r="I1996" s="2">
        <v>5.6</v>
      </c>
      <c r="J1996" s="5" t="s">
        <v>1426</v>
      </c>
      <c r="K1996" s="2" t="s">
        <v>1434</v>
      </c>
    </row>
    <row r="1997" spans="1:11" x14ac:dyDescent="0.2">
      <c r="A1997" s="3" t="s">
        <v>1294</v>
      </c>
      <c r="B1997" s="3" t="s">
        <v>1301</v>
      </c>
      <c r="C1997" s="3" t="s">
        <v>908</v>
      </c>
      <c r="D1997" s="3" t="s">
        <v>1455</v>
      </c>
      <c r="E1997" s="3" t="s">
        <v>1456</v>
      </c>
      <c r="F1997" s="3">
        <v>90.22</v>
      </c>
      <c r="G1997" s="3" t="s">
        <v>1457</v>
      </c>
      <c r="H1997" s="3">
        <v>40</v>
      </c>
      <c r="I1997" s="3">
        <v>130</v>
      </c>
      <c r="J1997" s="3" t="s">
        <v>1416</v>
      </c>
      <c r="K1997" s="3" t="s">
        <v>1420</v>
      </c>
    </row>
    <row r="1998" spans="1:11" x14ac:dyDescent="0.2">
      <c r="A1998" s="2" t="s">
        <v>1294</v>
      </c>
      <c r="B1998" s="2" t="s">
        <v>1301</v>
      </c>
      <c r="C1998" s="2" t="s">
        <v>908</v>
      </c>
      <c r="D1998" s="2" t="s">
        <v>1413</v>
      </c>
      <c r="E1998" s="2" t="s">
        <v>1414</v>
      </c>
      <c r="F1998" s="2">
        <v>1.83</v>
      </c>
      <c r="G1998" s="2" t="s">
        <v>1415</v>
      </c>
      <c r="H1998" s="2">
        <v>1</v>
      </c>
      <c r="I1998" s="2">
        <v>5</v>
      </c>
      <c r="J1998" s="2" t="s">
        <v>1416</v>
      </c>
      <c r="K1998" s="2" t="s">
        <v>1431</v>
      </c>
    </row>
    <row r="1999" spans="1:11" x14ac:dyDescent="0.2">
      <c r="A1999" s="3" t="s">
        <v>1294</v>
      </c>
      <c r="B1999" s="3" t="s">
        <v>1301</v>
      </c>
      <c r="C1999" s="3" t="s">
        <v>908</v>
      </c>
      <c r="D1999" s="3" t="s">
        <v>1443</v>
      </c>
      <c r="E1999" s="3" t="s">
        <v>1444</v>
      </c>
      <c r="F1999" s="3">
        <v>61.5</v>
      </c>
      <c r="G1999" s="3" t="s">
        <v>1445</v>
      </c>
      <c r="H1999" s="3">
        <v>53</v>
      </c>
      <c r="I1999" s="3">
        <v>97</v>
      </c>
      <c r="J1999" s="3" t="s">
        <v>1416</v>
      </c>
      <c r="K1999" s="3" t="s">
        <v>1420</v>
      </c>
    </row>
    <row r="2000" spans="1:11" x14ac:dyDescent="0.2">
      <c r="A2000" s="2" t="s">
        <v>1294</v>
      </c>
      <c r="B2000" s="2" t="s">
        <v>1301</v>
      </c>
      <c r="C2000" s="2" t="s">
        <v>908</v>
      </c>
      <c r="D2000" s="2" t="s">
        <v>1437</v>
      </c>
      <c r="E2000" s="2" t="s">
        <v>1438</v>
      </c>
      <c r="F2000" s="2">
        <v>13.82</v>
      </c>
      <c r="G2000" s="2" t="s">
        <v>1439</v>
      </c>
      <c r="H2000" s="2">
        <v>12</v>
      </c>
      <c r="I2000" s="2">
        <v>17.5</v>
      </c>
      <c r="J2000" s="2" t="s">
        <v>1416</v>
      </c>
      <c r="K2000" s="2" t="s">
        <v>1420</v>
      </c>
    </row>
    <row r="2001" spans="1:11" x14ac:dyDescent="0.2">
      <c r="A2001" s="3" t="s">
        <v>1303</v>
      </c>
      <c r="B2001" s="3" t="s">
        <v>1304</v>
      </c>
      <c r="C2001" s="3" t="s">
        <v>1305</v>
      </c>
      <c r="D2001" s="3" t="s">
        <v>1418</v>
      </c>
      <c r="E2001" s="3" t="s">
        <v>1419</v>
      </c>
      <c r="F2001" s="3">
        <v>3.75</v>
      </c>
      <c r="G2001" s="3" t="s">
        <v>1415</v>
      </c>
      <c r="H2001" s="3">
        <v>3.5</v>
      </c>
      <c r="I2001" s="3">
        <v>5</v>
      </c>
      <c r="J2001" s="3" t="s">
        <v>1416</v>
      </c>
      <c r="K2001" s="3" t="s">
        <v>1434</v>
      </c>
    </row>
    <row r="2002" spans="1:11" x14ac:dyDescent="0.2">
      <c r="A2002" s="2" t="s">
        <v>1303</v>
      </c>
      <c r="B2002" s="2" t="s">
        <v>1304</v>
      </c>
      <c r="C2002" s="2" t="s">
        <v>1305</v>
      </c>
      <c r="D2002" s="2" t="s">
        <v>1413</v>
      </c>
      <c r="E2002" s="2" t="s">
        <v>1414</v>
      </c>
      <c r="F2002" s="2">
        <v>1.68</v>
      </c>
      <c r="G2002" s="2" t="s">
        <v>1415</v>
      </c>
      <c r="H2002" s="2">
        <v>1</v>
      </c>
      <c r="I2002" s="2">
        <v>5</v>
      </c>
      <c r="J2002" s="2" t="s">
        <v>1416</v>
      </c>
      <c r="K2002" s="2" t="s">
        <v>1420</v>
      </c>
    </row>
    <row r="2003" spans="1:11" x14ac:dyDescent="0.2">
      <c r="A2003" s="3" t="s">
        <v>1303</v>
      </c>
      <c r="B2003" s="3" t="s">
        <v>1304</v>
      </c>
      <c r="C2003" s="3" t="s">
        <v>1305</v>
      </c>
      <c r="D2003" s="3" t="s">
        <v>1432</v>
      </c>
      <c r="E2003" s="3" t="s">
        <v>1433</v>
      </c>
      <c r="F2003" s="3">
        <v>2.27</v>
      </c>
      <c r="G2003" s="3" t="s">
        <v>1415</v>
      </c>
      <c r="H2003" s="3">
        <v>0</v>
      </c>
      <c r="I2003" s="3">
        <v>3</v>
      </c>
      <c r="J2003" s="3" t="s">
        <v>1416</v>
      </c>
      <c r="K2003" s="3" t="s">
        <v>1431</v>
      </c>
    </row>
    <row r="2004" spans="1:11" x14ac:dyDescent="0.2">
      <c r="A2004" s="2" t="s">
        <v>1303</v>
      </c>
      <c r="B2004" s="2" t="s">
        <v>1304</v>
      </c>
      <c r="C2004" s="2" t="s">
        <v>1305</v>
      </c>
      <c r="D2004" s="2" t="s">
        <v>1435</v>
      </c>
      <c r="E2004" s="2" t="s">
        <v>1436</v>
      </c>
      <c r="F2004" s="2">
        <v>0.57999999999999996</v>
      </c>
      <c r="G2004" s="2" t="s">
        <v>1415</v>
      </c>
      <c r="H2004" s="2">
        <v>0.8</v>
      </c>
      <c r="I2004" s="2">
        <v>1.5</v>
      </c>
      <c r="J2004" s="5" t="s">
        <v>1430</v>
      </c>
      <c r="K2004" s="2" t="s">
        <v>1434</v>
      </c>
    </row>
    <row r="2005" spans="1:11" x14ac:dyDescent="0.2">
      <c r="A2005" s="3" t="s">
        <v>1303</v>
      </c>
      <c r="B2005" s="3" t="s">
        <v>1308</v>
      </c>
      <c r="C2005" s="3" t="s">
        <v>313</v>
      </c>
      <c r="D2005" s="3" t="s">
        <v>1432</v>
      </c>
      <c r="E2005" s="3" t="s">
        <v>1433</v>
      </c>
      <c r="F2005" s="3">
        <v>3.76</v>
      </c>
      <c r="G2005" s="3" t="s">
        <v>1415</v>
      </c>
      <c r="H2005" s="3">
        <v>0</v>
      </c>
      <c r="I2005" s="3">
        <v>3</v>
      </c>
      <c r="J2005" s="5" t="s">
        <v>1426</v>
      </c>
      <c r="K2005" s="3" t="s">
        <v>1417</v>
      </c>
    </row>
    <row r="2006" spans="1:11" x14ac:dyDescent="0.2">
      <c r="A2006" s="2" t="s">
        <v>1303</v>
      </c>
      <c r="B2006" s="2" t="s">
        <v>1308</v>
      </c>
      <c r="C2006" s="2" t="s">
        <v>313</v>
      </c>
      <c r="D2006" s="2" t="s">
        <v>1435</v>
      </c>
      <c r="E2006" s="2" t="s">
        <v>1436</v>
      </c>
      <c r="F2006" s="2">
        <v>0.52</v>
      </c>
      <c r="G2006" s="2" t="s">
        <v>1415</v>
      </c>
      <c r="H2006" s="2">
        <v>0.8</v>
      </c>
      <c r="I2006" s="2">
        <v>1.5</v>
      </c>
      <c r="J2006" s="5" t="s">
        <v>1430</v>
      </c>
      <c r="K2006" s="2" t="s">
        <v>1434</v>
      </c>
    </row>
    <row r="2007" spans="1:11" x14ac:dyDescent="0.2">
      <c r="A2007" s="3" t="s">
        <v>1303</v>
      </c>
      <c r="B2007" s="3" t="s">
        <v>1308</v>
      </c>
      <c r="C2007" s="3" t="s">
        <v>313</v>
      </c>
      <c r="D2007" s="3" t="s">
        <v>1443</v>
      </c>
      <c r="E2007" s="3" t="s">
        <v>1444</v>
      </c>
      <c r="F2007" s="3">
        <v>67.739999999999995</v>
      </c>
      <c r="G2007" s="3" t="s">
        <v>1445</v>
      </c>
      <c r="H2007" s="3">
        <v>53</v>
      </c>
      <c r="I2007" s="3">
        <v>97</v>
      </c>
      <c r="J2007" s="3" t="s">
        <v>1416</v>
      </c>
      <c r="K2007" s="3" t="s">
        <v>1420</v>
      </c>
    </row>
    <row r="2008" spans="1:11" x14ac:dyDescent="0.2">
      <c r="A2008" s="2" t="s">
        <v>1303</v>
      </c>
      <c r="B2008" s="2" t="s">
        <v>1308</v>
      </c>
      <c r="C2008" s="2" t="s">
        <v>313</v>
      </c>
      <c r="D2008" s="2" t="s">
        <v>1423</v>
      </c>
      <c r="E2008" s="2" t="s">
        <v>1424</v>
      </c>
      <c r="F2008" s="2">
        <v>5.09</v>
      </c>
      <c r="G2008" s="2" t="s">
        <v>1425</v>
      </c>
      <c r="H2008" s="2">
        <v>4.5</v>
      </c>
      <c r="I2008" s="2">
        <v>5.5</v>
      </c>
      <c r="J2008" s="2" t="s">
        <v>1416</v>
      </c>
      <c r="K2008" s="2" t="s">
        <v>1434</v>
      </c>
    </row>
    <row r="2009" spans="1:11" x14ac:dyDescent="0.2">
      <c r="A2009" s="3" t="s">
        <v>1303</v>
      </c>
      <c r="B2009" s="3" t="s">
        <v>1308</v>
      </c>
      <c r="C2009" s="3" t="s">
        <v>313</v>
      </c>
      <c r="D2009" s="3" t="s">
        <v>1418</v>
      </c>
      <c r="E2009" s="3" t="s">
        <v>1419</v>
      </c>
      <c r="F2009" s="3">
        <v>4.51</v>
      </c>
      <c r="G2009" s="3" t="s">
        <v>1415</v>
      </c>
      <c r="H2009" s="3">
        <v>3.5</v>
      </c>
      <c r="I2009" s="3">
        <v>5</v>
      </c>
      <c r="J2009" s="3" t="s">
        <v>1416</v>
      </c>
      <c r="K2009" s="3" t="s">
        <v>1420</v>
      </c>
    </row>
    <row r="2010" spans="1:11" x14ac:dyDescent="0.2">
      <c r="A2010" s="2" t="s">
        <v>1303</v>
      </c>
      <c r="B2010" s="2" t="s">
        <v>1308</v>
      </c>
      <c r="C2010" s="2" t="s">
        <v>313</v>
      </c>
      <c r="D2010" s="2" t="s">
        <v>1453</v>
      </c>
      <c r="E2010" s="2" t="s">
        <v>1454</v>
      </c>
      <c r="F2010" s="2">
        <v>6.25</v>
      </c>
      <c r="G2010" s="2" t="s">
        <v>1415</v>
      </c>
      <c r="H2010" s="2">
        <v>3.9</v>
      </c>
      <c r="I2010" s="2">
        <v>5.5</v>
      </c>
      <c r="J2010" s="5" t="s">
        <v>1426</v>
      </c>
      <c r="K2010" s="2" t="s">
        <v>1417</v>
      </c>
    </row>
    <row r="2011" spans="1:11" x14ac:dyDescent="0.2">
      <c r="A2011" s="3" t="s">
        <v>1309</v>
      </c>
      <c r="B2011" s="3" t="s">
        <v>1310</v>
      </c>
      <c r="C2011" s="3" t="s">
        <v>867</v>
      </c>
      <c r="D2011" s="3" t="s">
        <v>1448</v>
      </c>
      <c r="E2011" s="3" t="s">
        <v>1449</v>
      </c>
      <c r="F2011" s="3">
        <v>141.19</v>
      </c>
      <c r="G2011" s="3" t="s">
        <v>1415</v>
      </c>
      <c r="H2011" s="3">
        <v>136</v>
      </c>
      <c r="I2011" s="3">
        <v>145</v>
      </c>
      <c r="J2011" s="3" t="s">
        <v>1416</v>
      </c>
      <c r="K2011" s="3" t="s">
        <v>1431</v>
      </c>
    </row>
    <row r="2012" spans="1:11" x14ac:dyDescent="0.2">
      <c r="A2012" s="2" t="s">
        <v>1309</v>
      </c>
      <c r="B2012" s="2" t="s">
        <v>1310</v>
      </c>
      <c r="C2012" s="2" t="s">
        <v>867</v>
      </c>
      <c r="D2012" s="2" t="s">
        <v>1413</v>
      </c>
      <c r="E2012" s="2" t="s">
        <v>1414</v>
      </c>
      <c r="F2012" s="2">
        <v>1.04</v>
      </c>
      <c r="G2012" s="2" t="s">
        <v>1415</v>
      </c>
      <c r="H2012" s="2">
        <v>1</v>
      </c>
      <c r="I2012" s="2">
        <v>5</v>
      </c>
      <c r="J2012" s="2" t="s">
        <v>1416</v>
      </c>
      <c r="K2012" s="2" t="s">
        <v>1431</v>
      </c>
    </row>
    <row r="2013" spans="1:11" x14ac:dyDescent="0.2">
      <c r="A2013" s="3" t="s">
        <v>1309</v>
      </c>
      <c r="B2013" s="3" t="s">
        <v>1310</v>
      </c>
      <c r="C2013" s="3" t="s">
        <v>867</v>
      </c>
      <c r="D2013" s="3" t="s">
        <v>1450</v>
      </c>
      <c r="E2013" s="3" t="s">
        <v>1451</v>
      </c>
      <c r="F2013" s="3">
        <v>19.91</v>
      </c>
      <c r="G2013" s="3" t="s">
        <v>1452</v>
      </c>
      <c r="H2013" s="3">
        <v>60</v>
      </c>
      <c r="I2013" s="3">
        <v>120</v>
      </c>
      <c r="J2013" s="5" t="s">
        <v>1430</v>
      </c>
      <c r="K2013" s="3" t="s">
        <v>1420</v>
      </c>
    </row>
    <row r="2014" spans="1:11" x14ac:dyDescent="0.2">
      <c r="A2014" s="2" t="s">
        <v>1309</v>
      </c>
      <c r="B2014" s="2" t="s">
        <v>1310</v>
      </c>
      <c r="C2014" s="2" t="s">
        <v>867</v>
      </c>
      <c r="D2014" s="2" t="s">
        <v>1455</v>
      </c>
      <c r="E2014" s="2" t="s">
        <v>1456</v>
      </c>
      <c r="F2014" s="2">
        <v>161.11000000000001</v>
      </c>
      <c r="G2014" s="2" t="s">
        <v>1457</v>
      </c>
      <c r="H2014" s="2">
        <v>40</v>
      </c>
      <c r="I2014" s="2">
        <v>130</v>
      </c>
      <c r="J2014" s="5" t="s">
        <v>1426</v>
      </c>
      <c r="K2014" s="2" t="s">
        <v>1417</v>
      </c>
    </row>
    <row r="2015" spans="1:11" x14ac:dyDescent="0.2">
      <c r="A2015" s="3" t="s">
        <v>1309</v>
      </c>
      <c r="B2015" s="3" t="s">
        <v>1310</v>
      </c>
      <c r="C2015" s="3" t="s">
        <v>867</v>
      </c>
      <c r="D2015" s="3" t="s">
        <v>1432</v>
      </c>
      <c r="E2015" s="3" t="s">
        <v>1433</v>
      </c>
      <c r="F2015" s="3">
        <v>2.4300000000000002</v>
      </c>
      <c r="G2015" s="3" t="s">
        <v>1415</v>
      </c>
      <c r="H2015" s="3">
        <v>0</v>
      </c>
      <c r="I2015" s="3">
        <v>3</v>
      </c>
      <c r="J2015" s="3" t="s">
        <v>1416</v>
      </c>
      <c r="K2015" s="3" t="s">
        <v>1417</v>
      </c>
    </row>
    <row r="2016" spans="1:11" x14ac:dyDescent="0.2">
      <c r="A2016" s="2" t="s">
        <v>1309</v>
      </c>
      <c r="B2016" s="2" t="s">
        <v>1313</v>
      </c>
      <c r="C2016" s="2" t="s">
        <v>1314</v>
      </c>
      <c r="D2016" s="2" t="s">
        <v>1446</v>
      </c>
      <c r="E2016" s="2" t="s">
        <v>1447</v>
      </c>
      <c r="F2016" s="2">
        <v>2.2999999999999998</v>
      </c>
      <c r="G2016" s="2" t="s">
        <v>1415</v>
      </c>
      <c r="H2016" s="2">
        <v>2.1</v>
      </c>
      <c r="I2016" s="2">
        <v>2.6</v>
      </c>
      <c r="J2016" s="2" t="s">
        <v>1416</v>
      </c>
      <c r="K2016" s="2" t="s">
        <v>1434</v>
      </c>
    </row>
    <row r="2017" spans="1:11" x14ac:dyDescent="0.2">
      <c r="A2017" s="3" t="s">
        <v>1309</v>
      </c>
      <c r="B2017" s="3" t="s">
        <v>1313</v>
      </c>
      <c r="C2017" s="3" t="s">
        <v>1314</v>
      </c>
      <c r="D2017" s="3" t="s">
        <v>1448</v>
      </c>
      <c r="E2017" s="3" t="s">
        <v>1449</v>
      </c>
      <c r="F2017" s="3">
        <v>146.1</v>
      </c>
      <c r="G2017" s="3" t="s">
        <v>1415</v>
      </c>
      <c r="H2017" s="3">
        <v>136</v>
      </c>
      <c r="I2017" s="3">
        <v>145</v>
      </c>
      <c r="J2017" s="5" t="s">
        <v>1426</v>
      </c>
      <c r="K2017" s="3" t="s">
        <v>1420</v>
      </c>
    </row>
    <row r="2018" spans="1:11" x14ac:dyDescent="0.2">
      <c r="A2018" s="2" t="s">
        <v>1309</v>
      </c>
      <c r="B2018" s="2" t="s">
        <v>1313</v>
      </c>
      <c r="C2018" s="2" t="s">
        <v>1314</v>
      </c>
      <c r="D2018" s="2" t="s">
        <v>1455</v>
      </c>
      <c r="E2018" s="2" t="s">
        <v>1456</v>
      </c>
      <c r="F2018" s="2">
        <v>152.07</v>
      </c>
      <c r="G2018" s="2" t="s">
        <v>1457</v>
      </c>
      <c r="H2018" s="2">
        <v>40</v>
      </c>
      <c r="I2018" s="2">
        <v>130</v>
      </c>
      <c r="J2018" s="5" t="s">
        <v>1426</v>
      </c>
      <c r="K2018" s="2" t="s">
        <v>1431</v>
      </c>
    </row>
    <row r="2019" spans="1:11" x14ac:dyDescent="0.2">
      <c r="A2019" s="3" t="s">
        <v>1309</v>
      </c>
      <c r="B2019" s="3" t="s">
        <v>1313</v>
      </c>
      <c r="C2019" s="3" t="s">
        <v>1314</v>
      </c>
      <c r="D2019" s="3" t="s">
        <v>1440</v>
      </c>
      <c r="E2019" s="3" t="s">
        <v>1441</v>
      </c>
      <c r="F2019" s="3">
        <v>7.6</v>
      </c>
      <c r="G2019" s="3" t="s">
        <v>1442</v>
      </c>
      <c r="H2019" s="3">
        <v>4</v>
      </c>
      <c r="I2019" s="3">
        <v>5.6</v>
      </c>
      <c r="J2019" s="5" t="s">
        <v>1426</v>
      </c>
      <c r="K2019" s="3" t="s">
        <v>1434</v>
      </c>
    </row>
    <row r="2020" spans="1:11" x14ac:dyDescent="0.2">
      <c r="A2020" s="2" t="s">
        <v>1309</v>
      </c>
      <c r="B2020" s="2" t="s">
        <v>1313</v>
      </c>
      <c r="C2020" s="2" t="s">
        <v>1314</v>
      </c>
      <c r="D2020" s="2" t="s">
        <v>1435</v>
      </c>
      <c r="E2020" s="2" t="s">
        <v>1436</v>
      </c>
      <c r="F2020" s="2">
        <v>1.06</v>
      </c>
      <c r="G2020" s="2" t="s">
        <v>1415</v>
      </c>
      <c r="H2020" s="2">
        <v>0.8</v>
      </c>
      <c r="I2020" s="2">
        <v>1.5</v>
      </c>
      <c r="J2020" s="2" t="s">
        <v>1416</v>
      </c>
      <c r="K2020" s="2" t="s">
        <v>1431</v>
      </c>
    </row>
    <row r="2021" spans="1:11" x14ac:dyDescent="0.2">
      <c r="A2021" s="3" t="s">
        <v>1309</v>
      </c>
      <c r="B2021" s="3" t="s">
        <v>1313</v>
      </c>
      <c r="C2021" s="3" t="s">
        <v>1314</v>
      </c>
      <c r="D2021" s="3" t="s">
        <v>1418</v>
      </c>
      <c r="E2021" s="3" t="s">
        <v>1419</v>
      </c>
      <c r="F2021" s="3">
        <v>3.55</v>
      </c>
      <c r="G2021" s="3" t="s">
        <v>1415</v>
      </c>
      <c r="H2021" s="3">
        <v>3.5</v>
      </c>
      <c r="I2021" s="3">
        <v>5</v>
      </c>
      <c r="J2021" s="3" t="s">
        <v>1416</v>
      </c>
      <c r="K2021" s="3" t="s">
        <v>1431</v>
      </c>
    </row>
    <row r="2022" spans="1:11" x14ac:dyDescent="0.2">
      <c r="A2022" s="2" t="s">
        <v>1309</v>
      </c>
      <c r="B2022" s="2" t="s">
        <v>1316</v>
      </c>
      <c r="C2022" s="2" t="s">
        <v>1317</v>
      </c>
      <c r="D2022" s="2" t="s">
        <v>1453</v>
      </c>
      <c r="E2022" s="2" t="s">
        <v>1454</v>
      </c>
      <c r="F2022" s="2">
        <v>4.75</v>
      </c>
      <c r="G2022" s="2" t="s">
        <v>1415</v>
      </c>
      <c r="H2022" s="2">
        <v>3.9</v>
      </c>
      <c r="I2022" s="2">
        <v>5.5</v>
      </c>
      <c r="J2022" s="2" t="s">
        <v>1416</v>
      </c>
      <c r="K2022" s="2" t="s">
        <v>1420</v>
      </c>
    </row>
    <row r="2023" spans="1:11" x14ac:dyDescent="0.2">
      <c r="A2023" s="3" t="s">
        <v>1309</v>
      </c>
      <c r="B2023" s="3" t="s">
        <v>1316</v>
      </c>
      <c r="C2023" s="3" t="s">
        <v>1317</v>
      </c>
      <c r="D2023" s="3" t="s">
        <v>1443</v>
      </c>
      <c r="E2023" s="3" t="s">
        <v>1444</v>
      </c>
      <c r="F2023" s="3">
        <v>62.91</v>
      </c>
      <c r="G2023" s="3" t="s">
        <v>1445</v>
      </c>
      <c r="H2023" s="3">
        <v>53</v>
      </c>
      <c r="I2023" s="3">
        <v>97</v>
      </c>
      <c r="J2023" s="3" t="s">
        <v>1416</v>
      </c>
      <c r="K2023" s="3" t="s">
        <v>1417</v>
      </c>
    </row>
    <row r="2024" spans="1:11" x14ac:dyDescent="0.2">
      <c r="A2024" s="2" t="s">
        <v>1309</v>
      </c>
      <c r="B2024" s="2" t="s">
        <v>1316</v>
      </c>
      <c r="C2024" s="2" t="s">
        <v>1317</v>
      </c>
      <c r="D2024" s="2" t="s">
        <v>1418</v>
      </c>
      <c r="E2024" s="2" t="s">
        <v>1419</v>
      </c>
      <c r="F2024" s="2">
        <v>4.0999999999999996</v>
      </c>
      <c r="G2024" s="2" t="s">
        <v>1415</v>
      </c>
      <c r="H2024" s="2">
        <v>3.5</v>
      </c>
      <c r="I2024" s="2">
        <v>5</v>
      </c>
      <c r="J2024" s="2" t="s">
        <v>1416</v>
      </c>
      <c r="K2024" s="2" t="s">
        <v>1420</v>
      </c>
    </row>
    <row r="2025" spans="1:11" x14ac:dyDescent="0.2">
      <c r="A2025" s="3" t="s">
        <v>1309</v>
      </c>
      <c r="B2025" s="3" t="s">
        <v>1316</v>
      </c>
      <c r="C2025" s="3" t="s">
        <v>1317</v>
      </c>
      <c r="D2025" s="3" t="s">
        <v>1448</v>
      </c>
      <c r="E2025" s="3" t="s">
        <v>1449</v>
      </c>
      <c r="F2025" s="3">
        <v>145.44999999999999</v>
      </c>
      <c r="G2025" s="3" t="s">
        <v>1415</v>
      </c>
      <c r="H2025" s="3">
        <v>136</v>
      </c>
      <c r="I2025" s="3">
        <v>145</v>
      </c>
      <c r="J2025" s="5" t="s">
        <v>1426</v>
      </c>
      <c r="K2025" s="3" t="s">
        <v>1420</v>
      </c>
    </row>
    <row r="2026" spans="1:11" x14ac:dyDescent="0.2">
      <c r="A2026" s="2" t="s">
        <v>1318</v>
      </c>
      <c r="B2026" s="2" t="s">
        <v>1319</v>
      </c>
      <c r="C2026" s="2" t="s">
        <v>1237</v>
      </c>
      <c r="D2026" s="2" t="s">
        <v>1421</v>
      </c>
      <c r="E2026" s="2" t="s">
        <v>1422</v>
      </c>
      <c r="F2026" s="2">
        <v>5.5</v>
      </c>
      <c r="G2026" s="2" t="s">
        <v>1415</v>
      </c>
      <c r="H2026" s="2">
        <v>0</v>
      </c>
      <c r="I2026" s="2">
        <v>5</v>
      </c>
      <c r="J2026" s="5" t="s">
        <v>1426</v>
      </c>
      <c r="K2026" s="2" t="s">
        <v>1417</v>
      </c>
    </row>
    <row r="2027" spans="1:11" x14ac:dyDescent="0.2">
      <c r="A2027" s="3" t="s">
        <v>1318</v>
      </c>
      <c r="B2027" s="3" t="s">
        <v>1319</v>
      </c>
      <c r="C2027" s="3" t="s">
        <v>1237</v>
      </c>
      <c r="D2027" s="3" t="s">
        <v>1448</v>
      </c>
      <c r="E2027" s="3" t="s">
        <v>1449</v>
      </c>
      <c r="F2027" s="3">
        <v>147.21</v>
      </c>
      <c r="G2027" s="3" t="s">
        <v>1415</v>
      </c>
      <c r="H2027" s="3">
        <v>136</v>
      </c>
      <c r="I2027" s="3">
        <v>145</v>
      </c>
      <c r="J2027" s="5" t="s">
        <v>1426</v>
      </c>
      <c r="K2027" s="3" t="s">
        <v>1431</v>
      </c>
    </row>
    <row r="2028" spans="1:11" x14ac:dyDescent="0.2">
      <c r="A2028" s="2" t="s">
        <v>1318</v>
      </c>
      <c r="B2028" s="2" t="s">
        <v>1319</v>
      </c>
      <c r="C2028" s="2" t="s">
        <v>1237</v>
      </c>
      <c r="D2028" s="2" t="s">
        <v>1423</v>
      </c>
      <c r="E2028" s="2" t="s">
        <v>1424</v>
      </c>
      <c r="F2028" s="2">
        <v>4.46</v>
      </c>
      <c r="G2028" s="2" t="s">
        <v>1425</v>
      </c>
      <c r="H2028" s="2">
        <v>4.5</v>
      </c>
      <c r="I2028" s="2">
        <v>5.5</v>
      </c>
      <c r="J2028" s="5" t="s">
        <v>1430</v>
      </c>
      <c r="K2028" s="2" t="s">
        <v>1434</v>
      </c>
    </row>
    <row r="2029" spans="1:11" x14ac:dyDescent="0.2">
      <c r="A2029" s="3" t="s">
        <v>1318</v>
      </c>
      <c r="B2029" s="3" t="s">
        <v>1319</v>
      </c>
      <c r="C2029" s="3" t="s">
        <v>1237</v>
      </c>
      <c r="D2029" s="3" t="s">
        <v>1435</v>
      </c>
      <c r="E2029" s="3" t="s">
        <v>1436</v>
      </c>
      <c r="F2029" s="3">
        <v>0.96</v>
      </c>
      <c r="G2029" s="3" t="s">
        <v>1415</v>
      </c>
      <c r="H2029" s="3">
        <v>0.8</v>
      </c>
      <c r="I2029" s="3">
        <v>1.5</v>
      </c>
      <c r="J2029" s="3" t="s">
        <v>1416</v>
      </c>
      <c r="K2029" s="3" t="s">
        <v>1434</v>
      </c>
    </row>
    <row r="2030" spans="1:11" x14ac:dyDescent="0.2">
      <c r="A2030" s="2" t="s">
        <v>1318</v>
      </c>
      <c r="B2030" s="2" t="s">
        <v>1322</v>
      </c>
      <c r="C2030" s="2" t="s">
        <v>1323</v>
      </c>
      <c r="D2030" s="2" t="s">
        <v>1432</v>
      </c>
      <c r="E2030" s="2" t="s">
        <v>1433</v>
      </c>
      <c r="F2030" s="2">
        <v>3.51</v>
      </c>
      <c r="G2030" s="2" t="s">
        <v>1415</v>
      </c>
      <c r="H2030" s="2">
        <v>0</v>
      </c>
      <c r="I2030" s="2">
        <v>3</v>
      </c>
      <c r="J2030" s="5" t="s">
        <v>1426</v>
      </c>
      <c r="K2030" s="2" t="s">
        <v>1431</v>
      </c>
    </row>
    <row r="2031" spans="1:11" x14ac:dyDescent="0.2">
      <c r="A2031" s="3" t="s">
        <v>1318</v>
      </c>
      <c r="B2031" s="3" t="s">
        <v>1322</v>
      </c>
      <c r="C2031" s="3" t="s">
        <v>1323</v>
      </c>
      <c r="D2031" s="3" t="s">
        <v>1435</v>
      </c>
      <c r="E2031" s="3" t="s">
        <v>1436</v>
      </c>
      <c r="F2031" s="3">
        <v>0.81</v>
      </c>
      <c r="G2031" s="3" t="s">
        <v>1415</v>
      </c>
      <c r="H2031" s="3">
        <v>0.8</v>
      </c>
      <c r="I2031" s="3">
        <v>1.5</v>
      </c>
      <c r="J2031" s="3" t="s">
        <v>1416</v>
      </c>
      <c r="K2031" s="3" t="s">
        <v>1417</v>
      </c>
    </row>
    <row r="2032" spans="1:11" x14ac:dyDescent="0.2">
      <c r="A2032" s="2" t="s">
        <v>1318</v>
      </c>
      <c r="B2032" s="2" t="s">
        <v>1322</v>
      </c>
      <c r="C2032" s="2" t="s">
        <v>1323</v>
      </c>
      <c r="D2032" s="2" t="s">
        <v>1448</v>
      </c>
      <c r="E2032" s="2" t="s">
        <v>1449</v>
      </c>
      <c r="F2032" s="2">
        <v>145.05000000000001</v>
      </c>
      <c r="G2032" s="2" t="s">
        <v>1415</v>
      </c>
      <c r="H2032" s="2">
        <v>136</v>
      </c>
      <c r="I2032" s="2">
        <v>145</v>
      </c>
      <c r="J2032" s="5" t="s">
        <v>1426</v>
      </c>
      <c r="K2032" s="2" t="s">
        <v>1417</v>
      </c>
    </row>
    <row r="2033" spans="1:11" x14ac:dyDescent="0.2">
      <c r="A2033" s="3" t="s">
        <v>1318</v>
      </c>
      <c r="B2033" s="3" t="s">
        <v>1325</v>
      </c>
      <c r="C2033" s="3" t="s">
        <v>781</v>
      </c>
      <c r="D2033" s="3" t="s">
        <v>1443</v>
      </c>
      <c r="E2033" s="3" t="s">
        <v>1444</v>
      </c>
      <c r="F2033" s="3">
        <v>82.36</v>
      </c>
      <c r="G2033" s="3" t="s">
        <v>1445</v>
      </c>
      <c r="H2033" s="3">
        <v>53</v>
      </c>
      <c r="I2033" s="3">
        <v>97</v>
      </c>
      <c r="J2033" s="3" t="s">
        <v>1416</v>
      </c>
      <c r="K2033" s="3" t="s">
        <v>1417</v>
      </c>
    </row>
    <row r="2034" spans="1:11" x14ac:dyDescent="0.2">
      <c r="A2034" s="2" t="s">
        <v>1318</v>
      </c>
      <c r="B2034" s="2" t="s">
        <v>1325</v>
      </c>
      <c r="C2034" s="2" t="s">
        <v>781</v>
      </c>
      <c r="D2034" s="2" t="s">
        <v>1413</v>
      </c>
      <c r="E2034" s="2" t="s">
        <v>1414</v>
      </c>
      <c r="F2034" s="2">
        <v>1.62</v>
      </c>
      <c r="G2034" s="2" t="s">
        <v>1415</v>
      </c>
      <c r="H2034" s="2">
        <v>1</v>
      </c>
      <c r="I2034" s="2">
        <v>5</v>
      </c>
      <c r="J2034" s="2" t="s">
        <v>1416</v>
      </c>
      <c r="K2034" s="2" t="s">
        <v>1431</v>
      </c>
    </row>
    <row r="2035" spans="1:11" x14ac:dyDescent="0.2">
      <c r="A2035" s="3" t="s">
        <v>1318</v>
      </c>
      <c r="B2035" s="3" t="s">
        <v>1325</v>
      </c>
      <c r="C2035" s="3" t="s">
        <v>781</v>
      </c>
      <c r="D2035" s="3" t="s">
        <v>1437</v>
      </c>
      <c r="E2035" s="3" t="s">
        <v>1438</v>
      </c>
      <c r="F2035" s="3">
        <v>12.89</v>
      </c>
      <c r="G2035" s="3" t="s">
        <v>1439</v>
      </c>
      <c r="H2035" s="3">
        <v>12</v>
      </c>
      <c r="I2035" s="3">
        <v>17.5</v>
      </c>
      <c r="J2035" s="3" t="s">
        <v>1416</v>
      </c>
      <c r="K2035" s="3" t="s">
        <v>1420</v>
      </c>
    </row>
    <row r="2036" spans="1:11" x14ac:dyDescent="0.2">
      <c r="A2036" s="2" t="s">
        <v>1318</v>
      </c>
      <c r="B2036" s="2" t="s">
        <v>1325</v>
      </c>
      <c r="C2036" s="2" t="s">
        <v>781</v>
      </c>
      <c r="D2036" s="2" t="s">
        <v>1440</v>
      </c>
      <c r="E2036" s="2" t="s">
        <v>1441</v>
      </c>
      <c r="F2036" s="2">
        <v>9.7100000000000009</v>
      </c>
      <c r="G2036" s="2" t="s">
        <v>1442</v>
      </c>
      <c r="H2036" s="2">
        <v>4</v>
      </c>
      <c r="I2036" s="2">
        <v>5.6</v>
      </c>
      <c r="J2036" s="5" t="s">
        <v>1426</v>
      </c>
      <c r="K2036" s="2" t="s">
        <v>1431</v>
      </c>
    </row>
    <row r="2037" spans="1:11" x14ac:dyDescent="0.2">
      <c r="A2037" s="3" t="s">
        <v>1318</v>
      </c>
      <c r="B2037" s="3" t="s">
        <v>1325</v>
      </c>
      <c r="C2037" s="3" t="s">
        <v>781</v>
      </c>
      <c r="D2037" s="3" t="s">
        <v>1432</v>
      </c>
      <c r="E2037" s="3" t="s">
        <v>1433</v>
      </c>
      <c r="F2037" s="3">
        <v>2.6</v>
      </c>
      <c r="G2037" s="3" t="s">
        <v>1415</v>
      </c>
      <c r="H2037" s="3">
        <v>0</v>
      </c>
      <c r="I2037" s="3">
        <v>3</v>
      </c>
      <c r="J2037" s="3" t="s">
        <v>1416</v>
      </c>
      <c r="K2037" s="3" t="s">
        <v>1417</v>
      </c>
    </row>
    <row r="2038" spans="1:11" x14ac:dyDescent="0.2">
      <c r="A2038" s="2" t="s">
        <v>1318</v>
      </c>
      <c r="B2038" s="2" t="s">
        <v>1325</v>
      </c>
      <c r="C2038" s="2" t="s">
        <v>781</v>
      </c>
      <c r="D2038" s="2" t="s">
        <v>1446</v>
      </c>
      <c r="E2038" s="2" t="s">
        <v>1447</v>
      </c>
      <c r="F2038" s="2">
        <v>1.88</v>
      </c>
      <c r="G2038" s="2" t="s">
        <v>1415</v>
      </c>
      <c r="H2038" s="2">
        <v>2.1</v>
      </c>
      <c r="I2038" s="2">
        <v>2.6</v>
      </c>
      <c r="J2038" s="5" t="s">
        <v>1430</v>
      </c>
      <c r="K2038" s="2" t="s">
        <v>1417</v>
      </c>
    </row>
    <row r="2039" spans="1:11" x14ac:dyDescent="0.2">
      <c r="A2039" s="3" t="s">
        <v>1318</v>
      </c>
      <c r="B2039" s="3" t="s">
        <v>1327</v>
      </c>
      <c r="C2039" s="3" t="s">
        <v>1328</v>
      </c>
      <c r="D2039" s="3" t="s">
        <v>1418</v>
      </c>
      <c r="E2039" s="3" t="s">
        <v>1419</v>
      </c>
      <c r="F2039" s="3">
        <v>5.29</v>
      </c>
      <c r="G2039" s="3" t="s">
        <v>1415</v>
      </c>
      <c r="H2039" s="3">
        <v>3.5</v>
      </c>
      <c r="I2039" s="3">
        <v>5</v>
      </c>
      <c r="J2039" s="5" t="s">
        <v>1426</v>
      </c>
      <c r="K2039" s="3" t="s">
        <v>1420</v>
      </c>
    </row>
    <row r="2040" spans="1:11" x14ac:dyDescent="0.2">
      <c r="A2040" s="2" t="s">
        <v>1318</v>
      </c>
      <c r="B2040" s="2" t="s">
        <v>1327</v>
      </c>
      <c r="C2040" s="2" t="s">
        <v>1328</v>
      </c>
      <c r="D2040" s="2" t="s">
        <v>1421</v>
      </c>
      <c r="E2040" s="2" t="s">
        <v>1422</v>
      </c>
      <c r="F2040" s="2">
        <v>6.04</v>
      </c>
      <c r="G2040" s="2" t="s">
        <v>1415</v>
      </c>
      <c r="H2040" s="2">
        <v>0</v>
      </c>
      <c r="I2040" s="2">
        <v>5</v>
      </c>
      <c r="J2040" s="5" t="s">
        <v>1426</v>
      </c>
      <c r="K2040" s="2" t="s">
        <v>1417</v>
      </c>
    </row>
    <row r="2041" spans="1:11" x14ac:dyDescent="0.2">
      <c r="A2041" s="3" t="s">
        <v>1318</v>
      </c>
      <c r="B2041" s="3" t="s">
        <v>1327</v>
      </c>
      <c r="C2041" s="3" t="s">
        <v>1328</v>
      </c>
      <c r="D2041" s="3" t="s">
        <v>1446</v>
      </c>
      <c r="E2041" s="3" t="s">
        <v>1447</v>
      </c>
      <c r="F2041" s="3">
        <v>2.74</v>
      </c>
      <c r="G2041" s="3" t="s">
        <v>1415</v>
      </c>
      <c r="H2041" s="3">
        <v>2.1</v>
      </c>
      <c r="I2041" s="3">
        <v>2.6</v>
      </c>
      <c r="J2041" s="5" t="s">
        <v>1426</v>
      </c>
      <c r="K2041" s="3" t="s">
        <v>1420</v>
      </c>
    </row>
    <row r="2042" spans="1:11" x14ac:dyDescent="0.2">
      <c r="A2042" s="2" t="s">
        <v>1318</v>
      </c>
      <c r="B2042" s="2" t="s">
        <v>1327</v>
      </c>
      <c r="C2042" s="2" t="s">
        <v>1328</v>
      </c>
      <c r="D2042" s="2" t="s">
        <v>1432</v>
      </c>
      <c r="E2042" s="2" t="s">
        <v>1433</v>
      </c>
      <c r="F2042" s="2">
        <v>3.39</v>
      </c>
      <c r="G2042" s="2" t="s">
        <v>1415</v>
      </c>
      <c r="H2042" s="2">
        <v>0</v>
      </c>
      <c r="I2042" s="2">
        <v>3</v>
      </c>
      <c r="J2042" s="5" t="s">
        <v>1426</v>
      </c>
      <c r="K2042" s="2" t="s">
        <v>1420</v>
      </c>
    </row>
    <row r="2043" spans="1:11" x14ac:dyDescent="0.2">
      <c r="A2043" s="3" t="s">
        <v>1318</v>
      </c>
      <c r="B2043" s="3" t="s">
        <v>1327</v>
      </c>
      <c r="C2043" s="3" t="s">
        <v>1328</v>
      </c>
      <c r="D2043" s="3" t="s">
        <v>1450</v>
      </c>
      <c r="E2043" s="3" t="s">
        <v>1451</v>
      </c>
      <c r="F2043" s="3">
        <v>95.31</v>
      </c>
      <c r="G2043" s="3" t="s">
        <v>1452</v>
      </c>
      <c r="H2043" s="3">
        <v>60</v>
      </c>
      <c r="I2043" s="3">
        <v>120</v>
      </c>
      <c r="J2043" s="3" t="s">
        <v>1416</v>
      </c>
      <c r="K2043" s="3" t="s">
        <v>1431</v>
      </c>
    </row>
    <row r="2044" spans="1:11" x14ac:dyDescent="0.2">
      <c r="A2044" s="2" t="s">
        <v>1318</v>
      </c>
      <c r="B2044" s="2" t="s">
        <v>1330</v>
      </c>
      <c r="C2044" s="2" t="s">
        <v>930</v>
      </c>
      <c r="D2044" s="2" t="s">
        <v>1450</v>
      </c>
      <c r="E2044" s="2" t="s">
        <v>1451</v>
      </c>
      <c r="F2044" s="2">
        <v>85.08</v>
      </c>
      <c r="G2044" s="2" t="s">
        <v>1452</v>
      </c>
      <c r="H2044" s="2">
        <v>60</v>
      </c>
      <c r="I2044" s="2">
        <v>120</v>
      </c>
      <c r="J2044" s="2" t="s">
        <v>1416</v>
      </c>
      <c r="K2044" s="2" t="s">
        <v>1431</v>
      </c>
    </row>
    <row r="2045" spans="1:11" x14ac:dyDescent="0.2">
      <c r="A2045" s="3" t="s">
        <v>1318</v>
      </c>
      <c r="B2045" s="3" t="s">
        <v>1330</v>
      </c>
      <c r="C2045" s="3" t="s">
        <v>930</v>
      </c>
      <c r="D2045" s="3" t="s">
        <v>1437</v>
      </c>
      <c r="E2045" s="3" t="s">
        <v>1438</v>
      </c>
      <c r="F2045" s="3">
        <v>12.35</v>
      </c>
      <c r="G2045" s="3" t="s">
        <v>1439</v>
      </c>
      <c r="H2045" s="3">
        <v>12</v>
      </c>
      <c r="I2045" s="3">
        <v>17.5</v>
      </c>
      <c r="J2045" s="3" t="s">
        <v>1416</v>
      </c>
      <c r="K2045" s="3" t="s">
        <v>1417</v>
      </c>
    </row>
    <row r="2046" spans="1:11" x14ac:dyDescent="0.2">
      <c r="A2046" s="2" t="s">
        <v>1318</v>
      </c>
      <c r="B2046" s="2" t="s">
        <v>1330</v>
      </c>
      <c r="C2046" s="2" t="s">
        <v>930</v>
      </c>
      <c r="D2046" s="2" t="s">
        <v>1423</v>
      </c>
      <c r="E2046" s="2" t="s">
        <v>1424</v>
      </c>
      <c r="F2046" s="2">
        <v>5.67</v>
      </c>
      <c r="G2046" s="2" t="s">
        <v>1425</v>
      </c>
      <c r="H2046" s="2">
        <v>4.5</v>
      </c>
      <c r="I2046" s="2">
        <v>5.5</v>
      </c>
      <c r="J2046" s="5" t="s">
        <v>1426</v>
      </c>
      <c r="K2046" s="2" t="s">
        <v>1420</v>
      </c>
    </row>
    <row r="2047" spans="1:11" x14ac:dyDescent="0.2">
      <c r="A2047" s="3" t="s">
        <v>1318</v>
      </c>
      <c r="B2047" s="3" t="s">
        <v>1330</v>
      </c>
      <c r="C2047" s="3" t="s">
        <v>930</v>
      </c>
      <c r="D2047" s="3" t="s">
        <v>1421</v>
      </c>
      <c r="E2047" s="3" t="s">
        <v>1422</v>
      </c>
      <c r="F2047" s="3">
        <v>5.54</v>
      </c>
      <c r="G2047" s="3" t="s">
        <v>1415</v>
      </c>
      <c r="H2047" s="3">
        <v>0</v>
      </c>
      <c r="I2047" s="3">
        <v>5</v>
      </c>
      <c r="J2047" s="5" t="s">
        <v>1426</v>
      </c>
      <c r="K2047" s="3" t="s">
        <v>1434</v>
      </c>
    </row>
    <row r="2048" spans="1:11" x14ac:dyDescent="0.2">
      <c r="A2048" s="2" t="s">
        <v>1318</v>
      </c>
      <c r="B2048" s="2" t="s">
        <v>1330</v>
      </c>
      <c r="C2048" s="2" t="s">
        <v>930</v>
      </c>
      <c r="D2048" s="2" t="s">
        <v>1455</v>
      </c>
      <c r="E2048" s="2" t="s">
        <v>1456</v>
      </c>
      <c r="F2048" s="2">
        <v>152.93</v>
      </c>
      <c r="G2048" s="2" t="s">
        <v>1457</v>
      </c>
      <c r="H2048" s="2">
        <v>40</v>
      </c>
      <c r="I2048" s="2">
        <v>130</v>
      </c>
      <c r="J2048" s="5" t="s">
        <v>1426</v>
      </c>
      <c r="K2048" s="2" t="s">
        <v>1431</v>
      </c>
    </row>
    <row r="2049" spans="1:11" x14ac:dyDescent="0.2">
      <c r="A2049" s="3" t="s">
        <v>1318</v>
      </c>
      <c r="B2049" s="3" t="s">
        <v>1332</v>
      </c>
      <c r="C2049" s="3" t="s">
        <v>114</v>
      </c>
      <c r="D2049" s="3" t="s">
        <v>1432</v>
      </c>
      <c r="E2049" s="3" t="s">
        <v>1433</v>
      </c>
      <c r="F2049" s="3">
        <v>1.45</v>
      </c>
      <c r="G2049" s="3" t="s">
        <v>1415</v>
      </c>
      <c r="H2049" s="3">
        <v>0</v>
      </c>
      <c r="I2049" s="3">
        <v>3</v>
      </c>
      <c r="J2049" s="3" t="s">
        <v>1416</v>
      </c>
      <c r="K2049" s="3" t="s">
        <v>1417</v>
      </c>
    </row>
    <row r="2050" spans="1:11" x14ac:dyDescent="0.2">
      <c r="A2050" s="2" t="s">
        <v>1318</v>
      </c>
      <c r="B2050" s="2" t="s">
        <v>1332</v>
      </c>
      <c r="C2050" s="2" t="s">
        <v>114</v>
      </c>
      <c r="D2050" s="2" t="s">
        <v>1453</v>
      </c>
      <c r="E2050" s="2" t="s">
        <v>1454</v>
      </c>
      <c r="F2050" s="2">
        <v>7.89</v>
      </c>
      <c r="G2050" s="2" t="s">
        <v>1415</v>
      </c>
      <c r="H2050" s="2">
        <v>3.9</v>
      </c>
      <c r="I2050" s="2">
        <v>5.5</v>
      </c>
      <c r="J2050" s="5" t="s">
        <v>1426</v>
      </c>
      <c r="K2050" s="2" t="s">
        <v>1420</v>
      </c>
    </row>
    <row r="2051" spans="1:11" x14ac:dyDescent="0.2">
      <c r="A2051" s="3" t="s">
        <v>1318</v>
      </c>
      <c r="B2051" s="3" t="s">
        <v>1332</v>
      </c>
      <c r="C2051" s="3" t="s">
        <v>114</v>
      </c>
      <c r="D2051" s="3" t="s">
        <v>1427</v>
      </c>
      <c r="E2051" s="3" t="s">
        <v>1428</v>
      </c>
      <c r="F2051" s="3">
        <v>13.53</v>
      </c>
      <c r="G2051" s="3" t="s">
        <v>1429</v>
      </c>
      <c r="H2051" s="3">
        <v>4</v>
      </c>
      <c r="I2051" s="3">
        <v>11</v>
      </c>
      <c r="J2051" s="5" t="s">
        <v>1426</v>
      </c>
      <c r="K2051" s="3" t="s">
        <v>1420</v>
      </c>
    </row>
    <row r="2052" spans="1:11" x14ac:dyDescent="0.2">
      <c r="A2052" s="2" t="s">
        <v>1318</v>
      </c>
      <c r="B2052" s="2" t="s">
        <v>1332</v>
      </c>
      <c r="C2052" s="2" t="s">
        <v>114</v>
      </c>
      <c r="D2052" s="2" t="s">
        <v>1448</v>
      </c>
      <c r="E2052" s="2" t="s">
        <v>1449</v>
      </c>
      <c r="F2052" s="2">
        <v>145.72</v>
      </c>
      <c r="G2052" s="2" t="s">
        <v>1415</v>
      </c>
      <c r="H2052" s="2">
        <v>136</v>
      </c>
      <c r="I2052" s="2">
        <v>145</v>
      </c>
      <c r="J2052" s="5" t="s">
        <v>1426</v>
      </c>
      <c r="K2052" s="2" t="s">
        <v>1434</v>
      </c>
    </row>
    <row r="2053" spans="1:11" x14ac:dyDescent="0.2">
      <c r="A2053" s="3" t="s">
        <v>1318</v>
      </c>
      <c r="B2053" s="3" t="s">
        <v>1332</v>
      </c>
      <c r="C2053" s="3" t="s">
        <v>114</v>
      </c>
      <c r="D2053" s="3" t="s">
        <v>1435</v>
      </c>
      <c r="E2053" s="3" t="s">
        <v>1436</v>
      </c>
      <c r="F2053" s="3">
        <v>1.1200000000000001</v>
      </c>
      <c r="G2053" s="3" t="s">
        <v>1415</v>
      </c>
      <c r="H2053" s="3">
        <v>0.8</v>
      </c>
      <c r="I2053" s="3">
        <v>1.5</v>
      </c>
      <c r="J2053" s="3" t="s">
        <v>1416</v>
      </c>
      <c r="K2053" s="3" t="s">
        <v>1431</v>
      </c>
    </row>
    <row r="2054" spans="1:11" x14ac:dyDescent="0.2">
      <c r="A2054" s="2" t="s">
        <v>1318</v>
      </c>
      <c r="B2054" s="2" t="s">
        <v>1332</v>
      </c>
      <c r="C2054" s="2" t="s">
        <v>114</v>
      </c>
      <c r="D2054" s="2" t="s">
        <v>1423</v>
      </c>
      <c r="E2054" s="2" t="s">
        <v>1424</v>
      </c>
      <c r="F2054" s="2">
        <v>4.9000000000000004</v>
      </c>
      <c r="G2054" s="2" t="s">
        <v>1425</v>
      </c>
      <c r="H2054" s="2">
        <v>4.5</v>
      </c>
      <c r="I2054" s="2">
        <v>5.5</v>
      </c>
      <c r="J2054" s="2" t="s">
        <v>1416</v>
      </c>
      <c r="K2054" s="2" t="s">
        <v>1420</v>
      </c>
    </row>
    <row r="2055" spans="1:11" x14ac:dyDescent="0.2">
      <c r="A2055" s="3" t="s">
        <v>1318</v>
      </c>
      <c r="B2055" s="3" t="s">
        <v>1332</v>
      </c>
      <c r="C2055" s="3" t="s">
        <v>114</v>
      </c>
      <c r="D2055" s="3" t="s">
        <v>1413</v>
      </c>
      <c r="E2055" s="3" t="s">
        <v>1414</v>
      </c>
      <c r="F2055" s="3">
        <v>1.23</v>
      </c>
      <c r="G2055" s="3" t="s">
        <v>1415</v>
      </c>
      <c r="H2055" s="3">
        <v>1</v>
      </c>
      <c r="I2055" s="3">
        <v>5</v>
      </c>
      <c r="J2055" s="3" t="s">
        <v>1416</v>
      </c>
      <c r="K2055" s="3" t="s">
        <v>1417</v>
      </c>
    </row>
    <row r="2056" spans="1:11" x14ac:dyDescent="0.2">
      <c r="A2056" s="2" t="s">
        <v>1334</v>
      </c>
      <c r="B2056" s="2" t="s">
        <v>1335</v>
      </c>
      <c r="C2056" s="2" t="s">
        <v>1336</v>
      </c>
      <c r="D2056" s="2" t="s">
        <v>1440</v>
      </c>
      <c r="E2056" s="2" t="s">
        <v>1441</v>
      </c>
      <c r="F2056" s="2">
        <v>6.3</v>
      </c>
      <c r="G2056" s="2" t="s">
        <v>1442</v>
      </c>
      <c r="H2056" s="2">
        <v>4</v>
      </c>
      <c r="I2056" s="2">
        <v>5.6</v>
      </c>
      <c r="J2056" s="5" t="s">
        <v>1426</v>
      </c>
      <c r="K2056" s="2" t="s">
        <v>1431</v>
      </c>
    </row>
    <row r="2057" spans="1:11" x14ac:dyDescent="0.2">
      <c r="A2057" s="3" t="s">
        <v>1334</v>
      </c>
      <c r="B2057" s="3" t="s">
        <v>1335</v>
      </c>
      <c r="C2057" s="3" t="s">
        <v>1336</v>
      </c>
      <c r="D2057" s="3" t="s">
        <v>1450</v>
      </c>
      <c r="E2057" s="3" t="s">
        <v>1451</v>
      </c>
      <c r="F2057" s="3">
        <v>125.14</v>
      </c>
      <c r="G2057" s="3" t="s">
        <v>1452</v>
      </c>
      <c r="H2057" s="3">
        <v>60</v>
      </c>
      <c r="I2057" s="3">
        <v>120</v>
      </c>
      <c r="J2057" s="5" t="s">
        <v>1426</v>
      </c>
      <c r="K2057" s="3" t="s">
        <v>1434</v>
      </c>
    </row>
    <row r="2058" spans="1:11" x14ac:dyDescent="0.2">
      <c r="A2058" s="2" t="s">
        <v>1334</v>
      </c>
      <c r="B2058" s="2" t="s">
        <v>1335</v>
      </c>
      <c r="C2058" s="2" t="s">
        <v>1336</v>
      </c>
      <c r="D2058" s="2" t="s">
        <v>1413</v>
      </c>
      <c r="E2058" s="2" t="s">
        <v>1414</v>
      </c>
      <c r="F2058" s="2">
        <v>1.1399999999999999</v>
      </c>
      <c r="G2058" s="2" t="s">
        <v>1415</v>
      </c>
      <c r="H2058" s="2">
        <v>1</v>
      </c>
      <c r="I2058" s="2">
        <v>5</v>
      </c>
      <c r="J2058" s="2" t="s">
        <v>1416</v>
      </c>
      <c r="K2058" s="2" t="s">
        <v>1434</v>
      </c>
    </row>
    <row r="2059" spans="1:11" x14ac:dyDescent="0.2">
      <c r="A2059" s="3" t="s">
        <v>1334</v>
      </c>
      <c r="B2059" s="3" t="s">
        <v>1335</v>
      </c>
      <c r="C2059" s="3" t="s">
        <v>1336</v>
      </c>
      <c r="D2059" s="3" t="s">
        <v>1432</v>
      </c>
      <c r="E2059" s="3" t="s">
        <v>1433</v>
      </c>
      <c r="F2059" s="3">
        <v>3.99</v>
      </c>
      <c r="G2059" s="3" t="s">
        <v>1415</v>
      </c>
      <c r="H2059" s="3">
        <v>0</v>
      </c>
      <c r="I2059" s="3">
        <v>3</v>
      </c>
      <c r="J2059" s="5" t="s">
        <v>1426</v>
      </c>
      <c r="K2059" s="3" t="s">
        <v>1431</v>
      </c>
    </row>
    <row r="2060" spans="1:11" x14ac:dyDescent="0.2">
      <c r="A2060" s="2" t="s">
        <v>1334</v>
      </c>
      <c r="B2060" s="2" t="s">
        <v>1335</v>
      </c>
      <c r="C2060" s="2" t="s">
        <v>1336</v>
      </c>
      <c r="D2060" s="2" t="s">
        <v>1448</v>
      </c>
      <c r="E2060" s="2" t="s">
        <v>1449</v>
      </c>
      <c r="F2060" s="2">
        <v>140.85</v>
      </c>
      <c r="G2060" s="2" t="s">
        <v>1415</v>
      </c>
      <c r="H2060" s="2">
        <v>136</v>
      </c>
      <c r="I2060" s="2">
        <v>145</v>
      </c>
      <c r="J2060" s="2" t="s">
        <v>1416</v>
      </c>
      <c r="K2060" s="2" t="s">
        <v>1420</v>
      </c>
    </row>
    <row r="2061" spans="1:11" x14ac:dyDescent="0.2">
      <c r="A2061" s="3" t="s">
        <v>1334</v>
      </c>
      <c r="B2061" s="3" t="s">
        <v>1335</v>
      </c>
      <c r="C2061" s="3" t="s">
        <v>1336</v>
      </c>
      <c r="D2061" s="3" t="s">
        <v>1435</v>
      </c>
      <c r="E2061" s="3" t="s">
        <v>1436</v>
      </c>
      <c r="F2061" s="3">
        <v>0.82</v>
      </c>
      <c r="G2061" s="3" t="s">
        <v>1415</v>
      </c>
      <c r="H2061" s="3">
        <v>0.8</v>
      </c>
      <c r="I2061" s="3">
        <v>1.5</v>
      </c>
      <c r="J2061" s="3" t="s">
        <v>1416</v>
      </c>
      <c r="K2061" s="3" t="s">
        <v>1417</v>
      </c>
    </row>
    <row r="2062" spans="1:11" x14ac:dyDescent="0.2">
      <c r="A2062" s="2" t="s">
        <v>1334</v>
      </c>
      <c r="B2062" s="2" t="s">
        <v>1335</v>
      </c>
      <c r="C2062" s="2" t="s">
        <v>1336</v>
      </c>
      <c r="D2062" s="2" t="s">
        <v>1427</v>
      </c>
      <c r="E2062" s="2" t="s">
        <v>1428</v>
      </c>
      <c r="F2062" s="2">
        <v>9.06</v>
      </c>
      <c r="G2062" s="2" t="s">
        <v>1429</v>
      </c>
      <c r="H2062" s="2">
        <v>4</v>
      </c>
      <c r="I2062" s="2">
        <v>11</v>
      </c>
      <c r="J2062" s="2" t="s">
        <v>1416</v>
      </c>
      <c r="K2062" s="2" t="s">
        <v>1434</v>
      </c>
    </row>
    <row r="2063" spans="1:11" x14ac:dyDescent="0.2">
      <c r="A2063" s="3" t="s">
        <v>1334</v>
      </c>
      <c r="B2063" s="3" t="s">
        <v>1339</v>
      </c>
      <c r="C2063" s="3" t="s">
        <v>1340</v>
      </c>
      <c r="D2063" s="3" t="s">
        <v>1413</v>
      </c>
      <c r="E2063" s="3" t="s">
        <v>1414</v>
      </c>
      <c r="F2063" s="3">
        <v>0.74</v>
      </c>
      <c r="G2063" s="3" t="s">
        <v>1415</v>
      </c>
      <c r="H2063" s="3">
        <v>1</v>
      </c>
      <c r="I2063" s="3">
        <v>5</v>
      </c>
      <c r="J2063" s="5" t="s">
        <v>1430</v>
      </c>
      <c r="K2063" s="3" t="s">
        <v>1417</v>
      </c>
    </row>
    <row r="2064" spans="1:11" x14ac:dyDescent="0.2">
      <c r="A2064" s="2" t="s">
        <v>1334</v>
      </c>
      <c r="B2064" s="2" t="s">
        <v>1339</v>
      </c>
      <c r="C2064" s="2" t="s">
        <v>1340</v>
      </c>
      <c r="D2064" s="2" t="s">
        <v>1421</v>
      </c>
      <c r="E2064" s="2" t="s">
        <v>1422</v>
      </c>
      <c r="F2064" s="2">
        <v>3.81</v>
      </c>
      <c r="G2064" s="2" t="s">
        <v>1415</v>
      </c>
      <c r="H2064" s="2">
        <v>0</v>
      </c>
      <c r="I2064" s="2">
        <v>5</v>
      </c>
      <c r="J2064" s="2" t="s">
        <v>1416</v>
      </c>
      <c r="K2064" s="2" t="s">
        <v>1417</v>
      </c>
    </row>
    <row r="2065" spans="1:11" x14ac:dyDescent="0.2">
      <c r="A2065" s="3" t="s">
        <v>1334</v>
      </c>
      <c r="B2065" s="3" t="s">
        <v>1339</v>
      </c>
      <c r="C2065" s="3" t="s">
        <v>1340</v>
      </c>
      <c r="D2065" s="3" t="s">
        <v>1440</v>
      </c>
      <c r="E2065" s="3" t="s">
        <v>1441</v>
      </c>
      <c r="F2065" s="3">
        <v>10.039999999999999</v>
      </c>
      <c r="G2065" s="3" t="s">
        <v>1442</v>
      </c>
      <c r="H2065" s="3">
        <v>4</v>
      </c>
      <c r="I2065" s="3">
        <v>5.6</v>
      </c>
      <c r="J2065" s="5" t="s">
        <v>1426</v>
      </c>
      <c r="K2065" s="3" t="s">
        <v>1431</v>
      </c>
    </row>
    <row r="2066" spans="1:11" x14ac:dyDescent="0.2">
      <c r="A2066" s="2" t="s">
        <v>1334</v>
      </c>
      <c r="B2066" s="2" t="s">
        <v>1339</v>
      </c>
      <c r="C2066" s="2" t="s">
        <v>1340</v>
      </c>
      <c r="D2066" s="2" t="s">
        <v>1455</v>
      </c>
      <c r="E2066" s="2" t="s">
        <v>1456</v>
      </c>
      <c r="F2066" s="2">
        <v>172.94</v>
      </c>
      <c r="G2066" s="2" t="s">
        <v>1457</v>
      </c>
      <c r="H2066" s="2">
        <v>40</v>
      </c>
      <c r="I2066" s="2">
        <v>130</v>
      </c>
      <c r="J2066" s="5" t="s">
        <v>1426</v>
      </c>
      <c r="K2066" s="2" t="s">
        <v>1417</v>
      </c>
    </row>
    <row r="2067" spans="1:11" x14ac:dyDescent="0.2">
      <c r="A2067" s="3" t="s">
        <v>1334</v>
      </c>
      <c r="B2067" s="3" t="s">
        <v>1339</v>
      </c>
      <c r="C2067" s="3" t="s">
        <v>1340</v>
      </c>
      <c r="D2067" s="3" t="s">
        <v>1443</v>
      </c>
      <c r="E2067" s="3" t="s">
        <v>1444</v>
      </c>
      <c r="F2067" s="3">
        <v>77.209999999999994</v>
      </c>
      <c r="G2067" s="3" t="s">
        <v>1445</v>
      </c>
      <c r="H2067" s="3">
        <v>53</v>
      </c>
      <c r="I2067" s="3">
        <v>97</v>
      </c>
      <c r="J2067" s="3" t="s">
        <v>1416</v>
      </c>
      <c r="K2067" s="3" t="s">
        <v>1417</v>
      </c>
    </row>
    <row r="2068" spans="1:11" x14ac:dyDescent="0.2">
      <c r="A2068" s="2" t="s">
        <v>1334</v>
      </c>
      <c r="B2068" s="2" t="s">
        <v>1342</v>
      </c>
      <c r="C2068" s="2" t="s">
        <v>1343</v>
      </c>
      <c r="D2068" s="2" t="s">
        <v>1453</v>
      </c>
      <c r="E2068" s="2" t="s">
        <v>1454</v>
      </c>
      <c r="F2068" s="2">
        <v>7.53</v>
      </c>
      <c r="G2068" s="2" t="s">
        <v>1415</v>
      </c>
      <c r="H2068" s="2">
        <v>3.9</v>
      </c>
      <c r="I2068" s="2">
        <v>5.5</v>
      </c>
      <c r="J2068" s="5" t="s">
        <v>1426</v>
      </c>
      <c r="K2068" s="2" t="s">
        <v>1417</v>
      </c>
    </row>
    <row r="2069" spans="1:11" x14ac:dyDescent="0.2">
      <c r="A2069" s="3" t="s">
        <v>1334</v>
      </c>
      <c r="B2069" s="3" t="s">
        <v>1342</v>
      </c>
      <c r="C2069" s="3" t="s">
        <v>1343</v>
      </c>
      <c r="D2069" s="3" t="s">
        <v>1413</v>
      </c>
      <c r="E2069" s="3" t="s">
        <v>1414</v>
      </c>
      <c r="F2069" s="3">
        <v>1.1299999999999999</v>
      </c>
      <c r="G2069" s="3" t="s">
        <v>1415</v>
      </c>
      <c r="H2069" s="3">
        <v>1</v>
      </c>
      <c r="I2069" s="3">
        <v>5</v>
      </c>
      <c r="J2069" s="3" t="s">
        <v>1416</v>
      </c>
      <c r="K2069" s="3" t="s">
        <v>1431</v>
      </c>
    </row>
    <row r="2070" spans="1:11" x14ac:dyDescent="0.2">
      <c r="A2070" s="2" t="s">
        <v>1334</v>
      </c>
      <c r="B2070" s="2" t="s">
        <v>1342</v>
      </c>
      <c r="C2070" s="2" t="s">
        <v>1343</v>
      </c>
      <c r="D2070" s="2" t="s">
        <v>1448</v>
      </c>
      <c r="E2070" s="2" t="s">
        <v>1449</v>
      </c>
      <c r="F2070" s="2">
        <v>137.84</v>
      </c>
      <c r="G2070" s="2" t="s">
        <v>1415</v>
      </c>
      <c r="H2070" s="2">
        <v>136</v>
      </c>
      <c r="I2070" s="2">
        <v>145</v>
      </c>
      <c r="J2070" s="2" t="s">
        <v>1416</v>
      </c>
      <c r="K2070" s="2" t="s">
        <v>1434</v>
      </c>
    </row>
    <row r="2071" spans="1:11" x14ac:dyDescent="0.2">
      <c r="A2071" s="3" t="s">
        <v>1334</v>
      </c>
      <c r="B2071" s="3" t="s">
        <v>1342</v>
      </c>
      <c r="C2071" s="3" t="s">
        <v>1343</v>
      </c>
      <c r="D2071" s="3" t="s">
        <v>1446</v>
      </c>
      <c r="E2071" s="3" t="s">
        <v>1447</v>
      </c>
      <c r="F2071" s="3">
        <v>1.95</v>
      </c>
      <c r="G2071" s="3" t="s">
        <v>1415</v>
      </c>
      <c r="H2071" s="3">
        <v>2.1</v>
      </c>
      <c r="I2071" s="3">
        <v>2.6</v>
      </c>
      <c r="J2071" s="5" t="s">
        <v>1430</v>
      </c>
      <c r="K2071" s="3" t="s">
        <v>1420</v>
      </c>
    </row>
    <row r="2072" spans="1:11" x14ac:dyDescent="0.2">
      <c r="A2072" s="2" t="s">
        <v>1334</v>
      </c>
      <c r="B2072" s="2" t="s">
        <v>1342</v>
      </c>
      <c r="C2072" s="2" t="s">
        <v>1343</v>
      </c>
      <c r="D2072" s="2" t="s">
        <v>1421</v>
      </c>
      <c r="E2072" s="2" t="s">
        <v>1422</v>
      </c>
      <c r="F2072" s="2">
        <v>5.71</v>
      </c>
      <c r="G2072" s="2" t="s">
        <v>1415</v>
      </c>
      <c r="H2072" s="2">
        <v>0</v>
      </c>
      <c r="I2072" s="2">
        <v>5</v>
      </c>
      <c r="J2072" s="5" t="s">
        <v>1426</v>
      </c>
      <c r="K2072" s="2" t="s">
        <v>1420</v>
      </c>
    </row>
    <row r="2073" spans="1:11" x14ac:dyDescent="0.2">
      <c r="A2073" s="3" t="s">
        <v>1334</v>
      </c>
      <c r="B2073" s="3" t="s">
        <v>1345</v>
      </c>
      <c r="C2073" s="3" t="s">
        <v>765</v>
      </c>
      <c r="D2073" s="3" t="s">
        <v>1432</v>
      </c>
      <c r="E2073" s="3" t="s">
        <v>1433</v>
      </c>
      <c r="F2073" s="3">
        <v>3.29</v>
      </c>
      <c r="G2073" s="3" t="s">
        <v>1415</v>
      </c>
      <c r="H2073" s="3">
        <v>0</v>
      </c>
      <c r="I2073" s="3">
        <v>3</v>
      </c>
      <c r="J2073" s="5" t="s">
        <v>1426</v>
      </c>
      <c r="K2073" s="3" t="s">
        <v>1417</v>
      </c>
    </row>
    <row r="2074" spans="1:11" x14ac:dyDescent="0.2">
      <c r="A2074" s="2" t="s">
        <v>1334</v>
      </c>
      <c r="B2074" s="2" t="s">
        <v>1345</v>
      </c>
      <c r="C2074" s="2" t="s">
        <v>765</v>
      </c>
      <c r="D2074" s="2" t="s">
        <v>1446</v>
      </c>
      <c r="E2074" s="2" t="s">
        <v>1447</v>
      </c>
      <c r="F2074" s="2">
        <v>2.58</v>
      </c>
      <c r="G2074" s="2" t="s">
        <v>1415</v>
      </c>
      <c r="H2074" s="2">
        <v>2.1</v>
      </c>
      <c r="I2074" s="2">
        <v>2.6</v>
      </c>
      <c r="J2074" s="2" t="s">
        <v>1416</v>
      </c>
      <c r="K2074" s="2" t="s">
        <v>1417</v>
      </c>
    </row>
    <row r="2075" spans="1:11" x14ac:dyDescent="0.2">
      <c r="A2075" s="3" t="s">
        <v>1334</v>
      </c>
      <c r="B2075" s="3" t="s">
        <v>1345</v>
      </c>
      <c r="C2075" s="3" t="s">
        <v>765</v>
      </c>
      <c r="D2075" s="3" t="s">
        <v>1435</v>
      </c>
      <c r="E2075" s="3" t="s">
        <v>1436</v>
      </c>
      <c r="F2075" s="3">
        <v>0.73</v>
      </c>
      <c r="G2075" s="3" t="s">
        <v>1415</v>
      </c>
      <c r="H2075" s="3">
        <v>0.8</v>
      </c>
      <c r="I2075" s="3">
        <v>1.5</v>
      </c>
      <c r="J2075" s="5" t="s">
        <v>1430</v>
      </c>
      <c r="K2075" s="3" t="s">
        <v>1434</v>
      </c>
    </row>
    <row r="2076" spans="1:11" x14ac:dyDescent="0.2">
      <c r="A2076" s="2" t="s">
        <v>1334</v>
      </c>
      <c r="B2076" s="2" t="s">
        <v>1345</v>
      </c>
      <c r="C2076" s="2" t="s">
        <v>765</v>
      </c>
      <c r="D2076" s="2" t="s">
        <v>1418</v>
      </c>
      <c r="E2076" s="2" t="s">
        <v>1419</v>
      </c>
      <c r="F2076" s="2">
        <v>4.68</v>
      </c>
      <c r="G2076" s="2" t="s">
        <v>1415</v>
      </c>
      <c r="H2076" s="2">
        <v>3.5</v>
      </c>
      <c r="I2076" s="2">
        <v>5</v>
      </c>
      <c r="J2076" s="2" t="s">
        <v>1416</v>
      </c>
      <c r="K2076" s="2" t="s">
        <v>1420</v>
      </c>
    </row>
    <row r="2077" spans="1:11" x14ac:dyDescent="0.2">
      <c r="A2077" s="3" t="s">
        <v>1347</v>
      </c>
      <c r="B2077" s="3" t="s">
        <v>1348</v>
      </c>
      <c r="C2077" s="3" t="s">
        <v>1349</v>
      </c>
      <c r="D2077" s="3" t="s">
        <v>1450</v>
      </c>
      <c r="E2077" s="3" t="s">
        <v>1451</v>
      </c>
      <c r="F2077" s="3">
        <v>22.35</v>
      </c>
      <c r="G2077" s="3" t="s">
        <v>1452</v>
      </c>
      <c r="H2077" s="3">
        <v>60</v>
      </c>
      <c r="I2077" s="3">
        <v>120</v>
      </c>
      <c r="J2077" s="5" t="s">
        <v>1430</v>
      </c>
      <c r="K2077" s="3" t="s">
        <v>1434</v>
      </c>
    </row>
    <row r="2078" spans="1:11" x14ac:dyDescent="0.2">
      <c r="A2078" s="2" t="s">
        <v>1347</v>
      </c>
      <c r="B2078" s="2" t="s">
        <v>1348</v>
      </c>
      <c r="C2078" s="2" t="s">
        <v>1349</v>
      </c>
      <c r="D2078" s="2" t="s">
        <v>1423</v>
      </c>
      <c r="E2078" s="2" t="s">
        <v>1424</v>
      </c>
      <c r="F2078" s="2">
        <v>3.42</v>
      </c>
      <c r="G2078" s="2" t="s">
        <v>1425</v>
      </c>
      <c r="H2078" s="2">
        <v>4.5</v>
      </c>
      <c r="I2078" s="2">
        <v>5.5</v>
      </c>
      <c r="J2078" s="5" t="s">
        <v>1430</v>
      </c>
      <c r="K2078" s="2" t="s">
        <v>1434</v>
      </c>
    </row>
    <row r="2079" spans="1:11" x14ac:dyDescent="0.2">
      <c r="A2079" s="3" t="s">
        <v>1347</v>
      </c>
      <c r="B2079" s="3" t="s">
        <v>1348</v>
      </c>
      <c r="C2079" s="3" t="s">
        <v>1349</v>
      </c>
      <c r="D2079" s="3" t="s">
        <v>1443</v>
      </c>
      <c r="E2079" s="3" t="s">
        <v>1444</v>
      </c>
      <c r="F2079" s="3">
        <v>75.91</v>
      </c>
      <c r="G2079" s="3" t="s">
        <v>1445</v>
      </c>
      <c r="H2079" s="3">
        <v>53</v>
      </c>
      <c r="I2079" s="3">
        <v>97</v>
      </c>
      <c r="J2079" s="3" t="s">
        <v>1416</v>
      </c>
      <c r="K2079" s="3" t="s">
        <v>1431</v>
      </c>
    </row>
    <row r="2080" spans="1:11" x14ac:dyDescent="0.2">
      <c r="A2080" s="2" t="s">
        <v>1347</v>
      </c>
      <c r="B2080" s="2" t="s">
        <v>1348</v>
      </c>
      <c r="C2080" s="2" t="s">
        <v>1349</v>
      </c>
      <c r="D2080" s="2" t="s">
        <v>1427</v>
      </c>
      <c r="E2080" s="2" t="s">
        <v>1428</v>
      </c>
      <c r="F2080" s="2">
        <v>3.92</v>
      </c>
      <c r="G2080" s="2" t="s">
        <v>1429</v>
      </c>
      <c r="H2080" s="2">
        <v>4</v>
      </c>
      <c r="I2080" s="2">
        <v>11</v>
      </c>
      <c r="J2080" s="5" t="s">
        <v>1430</v>
      </c>
      <c r="K2080" s="2" t="s">
        <v>1420</v>
      </c>
    </row>
    <row r="2081" spans="1:11" x14ac:dyDescent="0.2">
      <c r="A2081" s="3" t="s">
        <v>1347</v>
      </c>
      <c r="B2081" s="3" t="s">
        <v>1348</v>
      </c>
      <c r="C2081" s="3" t="s">
        <v>1349</v>
      </c>
      <c r="D2081" s="3" t="s">
        <v>1455</v>
      </c>
      <c r="E2081" s="3" t="s">
        <v>1456</v>
      </c>
      <c r="F2081" s="3">
        <v>341.14</v>
      </c>
      <c r="G2081" s="3" t="s">
        <v>1457</v>
      </c>
      <c r="H2081" s="3">
        <v>40</v>
      </c>
      <c r="I2081" s="3">
        <v>130</v>
      </c>
      <c r="J2081" s="5" t="s">
        <v>1426</v>
      </c>
      <c r="K2081" s="3" t="s">
        <v>1420</v>
      </c>
    </row>
    <row r="2082" spans="1:11" x14ac:dyDescent="0.2">
      <c r="A2082" s="2" t="s">
        <v>1347</v>
      </c>
      <c r="B2082" s="2" t="s">
        <v>1348</v>
      </c>
      <c r="C2082" s="2" t="s">
        <v>1349</v>
      </c>
      <c r="D2082" s="2" t="s">
        <v>1440</v>
      </c>
      <c r="E2082" s="2" t="s">
        <v>1441</v>
      </c>
      <c r="F2082" s="2">
        <v>5.53</v>
      </c>
      <c r="G2082" s="2" t="s">
        <v>1442</v>
      </c>
      <c r="H2082" s="2">
        <v>4</v>
      </c>
      <c r="I2082" s="2">
        <v>5.6</v>
      </c>
      <c r="J2082" s="2" t="s">
        <v>1416</v>
      </c>
      <c r="K2082" s="2" t="s">
        <v>1420</v>
      </c>
    </row>
    <row r="2083" spans="1:11" x14ac:dyDescent="0.2">
      <c r="A2083" s="3" t="s">
        <v>1347</v>
      </c>
      <c r="B2083" s="3" t="s">
        <v>1348</v>
      </c>
      <c r="C2083" s="3" t="s">
        <v>1349</v>
      </c>
      <c r="D2083" s="3" t="s">
        <v>1448</v>
      </c>
      <c r="E2083" s="3" t="s">
        <v>1449</v>
      </c>
      <c r="F2083" s="3">
        <v>144.26</v>
      </c>
      <c r="G2083" s="3" t="s">
        <v>1415</v>
      </c>
      <c r="H2083" s="3">
        <v>136</v>
      </c>
      <c r="I2083" s="3">
        <v>145</v>
      </c>
      <c r="J2083" s="3" t="s">
        <v>1416</v>
      </c>
      <c r="K2083" s="3" t="s">
        <v>1417</v>
      </c>
    </row>
    <row r="2084" spans="1:11" x14ac:dyDescent="0.2">
      <c r="A2084" s="2" t="s">
        <v>1347</v>
      </c>
      <c r="B2084" s="2" t="s">
        <v>1351</v>
      </c>
      <c r="C2084" s="2" t="s">
        <v>1352</v>
      </c>
      <c r="D2084" s="2" t="s">
        <v>1427</v>
      </c>
      <c r="E2084" s="2" t="s">
        <v>1428</v>
      </c>
      <c r="F2084" s="2">
        <v>13.27</v>
      </c>
      <c r="G2084" s="2" t="s">
        <v>1429</v>
      </c>
      <c r="H2084" s="2">
        <v>4</v>
      </c>
      <c r="I2084" s="2">
        <v>11</v>
      </c>
      <c r="J2084" s="5" t="s">
        <v>1426</v>
      </c>
      <c r="K2084" s="2" t="s">
        <v>1434</v>
      </c>
    </row>
    <row r="2085" spans="1:11" x14ac:dyDescent="0.2">
      <c r="A2085" s="3" t="s">
        <v>1347</v>
      </c>
      <c r="B2085" s="3" t="s">
        <v>1351</v>
      </c>
      <c r="C2085" s="3" t="s">
        <v>1352</v>
      </c>
      <c r="D2085" s="3" t="s">
        <v>1443</v>
      </c>
      <c r="E2085" s="3" t="s">
        <v>1444</v>
      </c>
      <c r="F2085" s="3">
        <v>87.57</v>
      </c>
      <c r="G2085" s="3" t="s">
        <v>1445</v>
      </c>
      <c r="H2085" s="3">
        <v>53</v>
      </c>
      <c r="I2085" s="3">
        <v>97</v>
      </c>
      <c r="J2085" s="3" t="s">
        <v>1416</v>
      </c>
      <c r="K2085" s="3" t="s">
        <v>1417</v>
      </c>
    </row>
    <row r="2086" spans="1:11" x14ac:dyDescent="0.2">
      <c r="A2086" s="2" t="s">
        <v>1347</v>
      </c>
      <c r="B2086" s="2" t="s">
        <v>1351</v>
      </c>
      <c r="C2086" s="2" t="s">
        <v>1352</v>
      </c>
      <c r="D2086" s="2" t="s">
        <v>1455</v>
      </c>
      <c r="E2086" s="2" t="s">
        <v>1456</v>
      </c>
      <c r="F2086" s="2">
        <v>80.900000000000006</v>
      </c>
      <c r="G2086" s="2" t="s">
        <v>1457</v>
      </c>
      <c r="H2086" s="2">
        <v>40</v>
      </c>
      <c r="I2086" s="2">
        <v>130</v>
      </c>
      <c r="J2086" s="2" t="s">
        <v>1416</v>
      </c>
      <c r="K2086" s="2" t="s">
        <v>1420</v>
      </c>
    </row>
    <row r="2087" spans="1:11" x14ac:dyDescent="0.2">
      <c r="A2087" s="3" t="s">
        <v>1347</v>
      </c>
      <c r="B2087" s="3" t="s">
        <v>1351</v>
      </c>
      <c r="C2087" s="3" t="s">
        <v>1352</v>
      </c>
      <c r="D2087" s="3" t="s">
        <v>1418</v>
      </c>
      <c r="E2087" s="3" t="s">
        <v>1419</v>
      </c>
      <c r="F2087" s="3">
        <v>3.72</v>
      </c>
      <c r="G2087" s="3" t="s">
        <v>1415</v>
      </c>
      <c r="H2087" s="3">
        <v>3.5</v>
      </c>
      <c r="I2087" s="3">
        <v>5</v>
      </c>
      <c r="J2087" s="3" t="s">
        <v>1416</v>
      </c>
      <c r="K2087" s="3" t="s">
        <v>1434</v>
      </c>
    </row>
    <row r="2088" spans="1:11" x14ac:dyDescent="0.2">
      <c r="A2088" s="2" t="s">
        <v>1347</v>
      </c>
      <c r="B2088" s="2" t="s">
        <v>1351</v>
      </c>
      <c r="C2088" s="2" t="s">
        <v>1352</v>
      </c>
      <c r="D2088" s="2" t="s">
        <v>1437</v>
      </c>
      <c r="E2088" s="2" t="s">
        <v>1438</v>
      </c>
      <c r="F2088" s="2">
        <v>14.38</v>
      </c>
      <c r="G2088" s="2" t="s">
        <v>1439</v>
      </c>
      <c r="H2088" s="2">
        <v>12</v>
      </c>
      <c r="I2088" s="2">
        <v>17.5</v>
      </c>
      <c r="J2088" s="2" t="s">
        <v>1416</v>
      </c>
      <c r="K2088" s="2" t="s">
        <v>1434</v>
      </c>
    </row>
    <row r="2089" spans="1:11" x14ac:dyDescent="0.2">
      <c r="A2089" s="3" t="s">
        <v>1347</v>
      </c>
      <c r="B2089" s="3" t="s">
        <v>1351</v>
      </c>
      <c r="C2089" s="3" t="s">
        <v>1352</v>
      </c>
      <c r="D2089" s="3" t="s">
        <v>1435</v>
      </c>
      <c r="E2089" s="3" t="s">
        <v>1436</v>
      </c>
      <c r="F2089" s="3">
        <v>0.56999999999999995</v>
      </c>
      <c r="G2089" s="3" t="s">
        <v>1415</v>
      </c>
      <c r="H2089" s="3">
        <v>0.8</v>
      </c>
      <c r="I2089" s="3">
        <v>1.5</v>
      </c>
      <c r="J2089" s="5" t="s">
        <v>1430</v>
      </c>
      <c r="K2089" s="3" t="s">
        <v>1431</v>
      </c>
    </row>
    <row r="2090" spans="1:11" x14ac:dyDescent="0.2">
      <c r="A2090" s="2" t="s">
        <v>1354</v>
      </c>
      <c r="B2090" s="2" t="s">
        <v>1355</v>
      </c>
      <c r="C2090" s="2" t="s">
        <v>947</v>
      </c>
      <c r="D2090" s="2" t="s">
        <v>1443</v>
      </c>
      <c r="E2090" s="2" t="s">
        <v>1444</v>
      </c>
      <c r="F2090" s="2">
        <v>75.02</v>
      </c>
      <c r="G2090" s="2" t="s">
        <v>1445</v>
      </c>
      <c r="H2090" s="2">
        <v>53</v>
      </c>
      <c r="I2090" s="2">
        <v>97</v>
      </c>
      <c r="J2090" s="2" t="s">
        <v>1416</v>
      </c>
      <c r="K2090" s="2" t="s">
        <v>1420</v>
      </c>
    </row>
    <row r="2091" spans="1:11" x14ac:dyDescent="0.2">
      <c r="A2091" s="3" t="s">
        <v>1354</v>
      </c>
      <c r="B2091" s="3" t="s">
        <v>1355</v>
      </c>
      <c r="C2091" s="3" t="s">
        <v>947</v>
      </c>
      <c r="D2091" s="3" t="s">
        <v>1455</v>
      </c>
      <c r="E2091" s="3" t="s">
        <v>1456</v>
      </c>
      <c r="F2091" s="3">
        <v>154.01</v>
      </c>
      <c r="G2091" s="3" t="s">
        <v>1457</v>
      </c>
      <c r="H2091" s="3">
        <v>40</v>
      </c>
      <c r="I2091" s="3">
        <v>130</v>
      </c>
      <c r="J2091" s="5" t="s">
        <v>1426</v>
      </c>
      <c r="K2091" s="3" t="s">
        <v>1417</v>
      </c>
    </row>
    <row r="2092" spans="1:11" x14ac:dyDescent="0.2">
      <c r="A2092" s="2" t="s">
        <v>1354</v>
      </c>
      <c r="B2092" s="2" t="s">
        <v>1355</v>
      </c>
      <c r="C2092" s="2" t="s">
        <v>947</v>
      </c>
      <c r="D2092" s="2" t="s">
        <v>1421</v>
      </c>
      <c r="E2092" s="2" t="s">
        <v>1422</v>
      </c>
      <c r="F2092" s="2">
        <v>3.58</v>
      </c>
      <c r="G2092" s="2" t="s">
        <v>1415</v>
      </c>
      <c r="H2092" s="2">
        <v>0</v>
      </c>
      <c r="I2092" s="2">
        <v>5</v>
      </c>
      <c r="J2092" s="2" t="s">
        <v>1416</v>
      </c>
      <c r="K2092" s="2" t="s">
        <v>1420</v>
      </c>
    </row>
    <row r="2093" spans="1:11" x14ac:dyDescent="0.2">
      <c r="A2093" s="3" t="s">
        <v>1354</v>
      </c>
      <c r="B2093" s="3" t="s">
        <v>1355</v>
      </c>
      <c r="C2093" s="3" t="s">
        <v>947</v>
      </c>
      <c r="D2093" s="3" t="s">
        <v>1450</v>
      </c>
      <c r="E2093" s="3" t="s">
        <v>1451</v>
      </c>
      <c r="F2093" s="3">
        <v>71.61</v>
      </c>
      <c r="G2093" s="3" t="s">
        <v>1452</v>
      </c>
      <c r="H2093" s="3">
        <v>60</v>
      </c>
      <c r="I2093" s="3">
        <v>120</v>
      </c>
      <c r="J2093" s="3" t="s">
        <v>1416</v>
      </c>
      <c r="K2093" s="3" t="s">
        <v>1417</v>
      </c>
    </row>
    <row r="2094" spans="1:11" x14ac:dyDescent="0.2">
      <c r="A2094" s="2" t="s">
        <v>1354</v>
      </c>
      <c r="B2094" s="2" t="s">
        <v>1355</v>
      </c>
      <c r="C2094" s="2" t="s">
        <v>947</v>
      </c>
      <c r="D2094" s="2" t="s">
        <v>1440</v>
      </c>
      <c r="E2094" s="2" t="s">
        <v>1441</v>
      </c>
      <c r="F2094" s="2">
        <v>8.58</v>
      </c>
      <c r="G2094" s="2" t="s">
        <v>1442</v>
      </c>
      <c r="H2094" s="2">
        <v>4</v>
      </c>
      <c r="I2094" s="2">
        <v>5.6</v>
      </c>
      <c r="J2094" s="5" t="s">
        <v>1426</v>
      </c>
      <c r="K2094" s="2" t="s">
        <v>1434</v>
      </c>
    </row>
    <row r="2095" spans="1:11" x14ac:dyDescent="0.2">
      <c r="A2095" s="3" t="s">
        <v>1354</v>
      </c>
      <c r="B2095" s="3" t="s">
        <v>1355</v>
      </c>
      <c r="C2095" s="3" t="s">
        <v>947</v>
      </c>
      <c r="D2095" s="3" t="s">
        <v>1437</v>
      </c>
      <c r="E2095" s="3" t="s">
        <v>1438</v>
      </c>
      <c r="F2095" s="3">
        <v>8.6</v>
      </c>
      <c r="G2095" s="3" t="s">
        <v>1439</v>
      </c>
      <c r="H2095" s="3">
        <v>12</v>
      </c>
      <c r="I2095" s="3">
        <v>17.5</v>
      </c>
      <c r="J2095" s="5" t="s">
        <v>1430</v>
      </c>
      <c r="K2095" s="3" t="s">
        <v>1434</v>
      </c>
    </row>
    <row r="2096" spans="1:11" x14ac:dyDescent="0.2">
      <c r="A2096" s="2" t="s">
        <v>1354</v>
      </c>
      <c r="B2096" s="2" t="s">
        <v>1357</v>
      </c>
      <c r="C2096" s="2" t="s">
        <v>1358</v>
      </c>
      <c r="D2096" s="2" t="s">
        <v>1421</v>
      </c>
      <c r="E2096" s="2" t="s">
        <v>1422</v>
      </c>
      <c r="F2096" s="2">
        <v>4.9000000000000004</v>
      </c>
      <c r="G2096" s="2" t="s">
        <v>1415</v>
      </c>
      <c r="H2096" s="2">
        <v>0</v>
      </c>
      <c r="I2096" s="2">
        <v>5</v>
      </c>
      <c r="J2096" s="2" t="s">
        <v>1416</v>
      </c>
      <c r="K2096" s="2" t="s">
        <v>1434</v>
      </c>
    </row>
    <row r="2097" spans="1:11" x14ac:dyDescent="0.2">
      <c r="A2097" s="3" t="s">
        <v>1354</v>
      </c>
      <c r="B2097" s="3" t="s">
        <v>1357</v>
      </c>
      <c r="C2097" s="3" t="s">
        <v>1358</v>
      </c>
      <c r="D2097" s="3" t="s">
        <v>1423</v>
      </c>
      <c r="E2097" s="3" t="s">
        <v>1424</v>
      </c>
      <c r="F2097" s="3">
        <v>4.74</v>
      </c>
      <c r="G2097" s="3" t="s">
        <v>1425</v>
      </c>
      <c r="H2097" s="3">
        <v>4.5</v>
      </c>
      <c r="I2097" s="3">
        <v>5.5</v>
      </c>
      <c r="J2097" s="3" t="s">
        <v>1416</v>
      </c>
      <c r="K2097" s="3" t="s">
        <v>1420</v>
      </c>
    </row>
    <row r="2098" spans="1:11" x14ac:dyDescent="0.2">
      <c r="A2098" s="2" t="s">
        <v>1354</v>
      </c>
      <c r="B2098" s="2" t="s">
        <v>1357</v>
      </c>
      <c r="C2098" s="2" t="s">
        <v>1358</v>
      </c>
      <c r="D2098" s="2" t="s">
        <v>1448</v>
      </c>
      <c r="E2098" s="2" t="s">
        <v>1449</v>
      </c>
      <c r="F2098" s="2">
        <v>140.63999999999999</v>
      </c>
      <c r="G2098" s="2" t="s">
        <v>1415</v>
      </c>
      <c r="H2098" s="2">
        <v>136</v>
      </c>
      <c r="I2098" s="2">
        <v>145</v>
      </c>
      <c r="J2098" s="2" t="s">
        <v>1416</v>
      </c>
      <c r="K2098" s="2" t="s">
        <v>1431</v>
      </c>
    </row>
    <row r="2099" spans="1:11" x14ac:dyDescent="0.2">
      <c r="A2099" s="3" t="s">
        <v>1354</v>
      </c>
      <c r="B2099" s="3" t="s">
        <v>1357</v>
      </c>
      <c r="C2099" s="3" t="s">
        <v>1358</v>
      </c>
      <c r="D2099" s="3" t="s">
        <v>1443</v>
      </c>
      <c r="E2099" s="3" t="s">
        <v>1444</v>
      </c>
      <c r="F2099" s="3">
        <v>70.89</v>
      </c>
      <c r="G2099" s="3" t="s">
        <v>1445</v>
      </c>
      <c r="H2099" s="3">
        <v>53</v>
      </c>
      <c r="I2099" s="3">
        <v>97</v>
      </c>
      <c r="J2099" s="3" t="s">
        <v>1416</v>
      </c>
      <c r="K2099" s="3" t="s">
        <v>1431</v>
      </c>
    </row>
    <row r="2100" spans="1:11" x14ac:dyDescent="0.2">
      <c r="A2100" s="2" t="s">
        <v>1354</v>
      </c>
      <c r="B2100" s="2" t="s">
        <v>1359</v>
      </c>
      <c r="C2100" s="2" t="s">
        <v>1360</v>
      </c>
      <c r="D2100" s="2" t="s">
        <v>1443</v>
      </c>
      <c r="E2100" s="2" t="s">
        <v>1444</v>
      </c>
      <c r="F2100" s="2">
        <v>69.97</v>
      </c>
      <c r="G2100" s="2" t="s">
        <v>1445</v>
      </c>
      <c r="H2100" s="2">
        <v>53</v>
      </c>
      <c r="I2100" s="2">
        <v>97</v>
      </c>
      <c r="J2100" s="2" t="s">
        <v>1416</v>
      </c>
      <c r="K2100" s="2" t="s">
        <v>1417</v>
      </c>
    </row>
    <row r="2101" spans="1:11" x14ac:dyDescent="0.2">
      <c r="A2101" s="3" t="s">
        <v>1354</v>
      </c>
      <c r="B2101" s="3" t="s">
        <v>1359</v>
      </c>
      <c r="C2101" s="3" t="s">
        <v>1360</v>
      </c>
      <c r="D2101" s="3" t="s">
        <v>1437</v>
      </c>
      <c r="E2101" s="3" t="s">
        <v>1438</v>
      </c>
      <c r="F2101" s="3">
        <v>8.08</v>
      </c>
      <c r="G2101" s="3" t="s">
        <v>1439</v>
      </c>
      <c r="H2101" s="3">
        <v>12</v>
      </c>
      <c r="I2101" s="3">
        <v>17.5</v>
      </c>
      <c r="J2101" s="5" t="s">
        <v>1430</v>
      </c>
      <c r="K2101" s="3" t="s">
        <v>1431</v>
      </c>
    </row>
    <row r="2102" spans="1:11" x14ac:dyDescent="0.2">
      <c r="A2102" s="2" t="s">
        <v>1354</v>
      </c>
      <c r="B2102" s="2" t="s">
        <v>1359</v>
      </c>
      <c r="C2102" s="2" t="s">
        <v>1360</v>
      </c>
      <c r="D2102" s="2" t="s">
        <v>1435</v>
      </c>
      <c r="E2102" s="2" t="s">
        <v>1436</v>
      </c>
      <c r="F2102" s="2">
        <v>1.48</v>
      </c>
      <c r="G2102" s="2" t="s">
        <v>1415</v>
      </c>
      <c r="H2102" s="2">
        <v>0.8</v>
      </c>
      <c r="I2102" s="2">
        <v>1.5</v>
      </c>
      <c r="J2102" s="2" t="s">
        <v>1416</v>
      </c>
      <c r="K2102" s="2" t="s">
        <v>1420</v>
      </c>
    </row>
    <row r="2103" spans="1:11" x14ac:dyDescent="0.2">
      <c r="A2103" s="3" t="s">
        <v>1354</v>
      </c>
      <c r="B2103" s="3" t="s">
        <v>1359</v>
      </c>
      <c r="C2103" s="3" t="s">
        <v>1360</v>
      </c>
      <c r="D2103" s="3" t="s">
        <v>1423</v>
      </c>
      <c r="E2103" s="3" t="s">
        <v>1424</v>
      </c>
      <c r="F2103" s="3">
        <v>4</v>
      </c>
      <c r="G2103" s="3" t="s">
        <v>1425</v>
      </c>
      <c r="H2103" s="3">
        <v>4.5</v>
      </c>
      <c r="I2103" s="3">
        <v>5.5</v>
      </c>
      <c r="J2103" s="5" t="s">
        <v>1430</v>
      </c>
      <c r="K2103" s="3" t="s">
        <v>1420</v>
      </c>
    </row>
    <row r="2104" spans="1:11" x14ac:dyDescent="0.2">
      <c r="A2104" s="2" t="s">
        <v>1354</v>
      </c>
      <c r="B2104" s="2" t="s">
        <v>1359</v>
      </c>
      <c r="C2104" s="2" t="s">
        <v>1360</v>
      </c>
      <c r="D2104" s="2" t="s">
        <v>1413</v>
      </c>
      <c r="E2104" s="2" t="s">
        <v>1414</v>
      </c>
      <c r="F2104" s="2">
        <v>2.0499999999999998</v>
      </c>
      <c r="G2104" s="2" t="s">
        <v>1415</v>
      </c>
      <c r="H2104" s="2">
        <v>1</v>
      </c>
      <c r="I2104" s="2">
        <v>5</v>
      </c>
      <c r="J2104" s="2" t="s">
        <v>1416</v>
      </c>
      <c r="K2104" s="2" t="s">
        <v>1417</v>
      </c>
    </row>
    <row r="2105" spans="1:11" x14ac:dyDescent="0.2">
      <c r="A2105" s="3" t="s">
        <v>1354</v>
      </c>
      <c r="B2105" s="3" t="s">
        <v>1359</v>
      </c>
      <c r="C2105" s="3" t="s">
        <v>1360</v>
      </c>
      <c r="D2105" s="3" t="s">
        <v>1446</v>
      </c>
      <c r="E2105" s="3" t="s">
        <v>1447</v>
      </c>
      <c r="F2105" s="3">
        <v>1.94</v>
      </c>
      <c r="G2105" s="3" t="s">
        <v>1415</v>
      </c>
      <c r="H2105" s="3">
        <v>2.1</v>
      </c>
      <c r="I2105" s="3">
        <v>2.6</v>
      </c>
      <c r="J2105" s="5" t="s">
        <v>1430</v>
      </c>
      <c r="K2105" s="3" t="s">
        <v>1420</v>
      </c>
    </row>
    <row r="2106" spans="1:11" x14ac:dyDescent="0.2">
      <c r="A2106" s="2" t="s">
        <v>1354</v>
      </c>
      <c r="B2106" s="2" t="s">
        <v>1359</v>
      </c>
      <c r="C2106" s="2" t="s">
        <v>1360</v>
      </c>
      <c r="D2106" s="2" t="s">
        <v>1427</v>
      </c>
      <c r="E2106" s="2" t="s">
        <v>1428</v>
      </c>
      <c r="F2106" s="2">
        <v>9.5</v>
      </c>
      <c r="G2106" s="2" t="s">
        <v>1429</v>
      </c>
      <c r="H2106" s="2">
        <v>4</v>
      </c>
      <c r="I2106" s="2">
        <v>11</v>
      </c>
      <c r="J2106" s="2" t="s">
        <v>1416</v>
      </c>
      <c r="K2106" s="2" t="s">
        <v>1417</v>
      </c>
    </row>
    <row r="2107" spans="1:11" x14ac:dyDescent="0.2">
      <c r="A2107" s="3" t="s">
        <v>1354</v>
      </c>
      <c r="B2107" s="3" t="s">
        <v>1361</v>
      </c>
      <c r="C2107" s="3" t="s">
        <v>1362</v>
      </c>
      <c r="D2107" s="3" t="s">
        <v>1437</v>
      </c>
      <c r="E2107" s="3" t="s">
        <v>1438</v>
      </c>
      <c r="F2107" s="3">
        <v>6.54</v>
      </c>
      <c r="G2107" s="3" t="s">
        <v>1439</v>
      </c>
      <c r="H2107" s="3">
        <v>12</v>
      </c>
      <c r="I2107" s="3">
        <v>17.5</v>
      </c>
      <c r="J2107" s="5" t="s">
        <v>1430</v>
      </c>
      <c r="K2107" s="3" t="s">
        <v>1434</v>
      </c>
    </row>
    <row r="2108" spans="1:11" x14ac:dyDescent="0.2">
      <c r="A2108" s="2" t="s">
        <v>1354</v>
      </c>
      <c r="B2108" s="2" t="s">
        <v>1361</v>
      </c>
      <c r="C2108" s="2" t="s">
        <v>1362</v>
      </c>
      <c r="D2108" s="2" t="s">
        <v>1455</v>
      </c>
      <c r="E2108" s="2" t="s">
        <v>1456</v>
      </c>
      <c r="F2108" s="2">
        <v>267.7</v>
      </c>
      <c r="G2108" s="2" t="s">
        <v>1457</v>
      </c>
      <c r="H2108" s="2">
        <v>40</v>
      </c>
      <c r="I2108" s="2">
        <v>130</v>
      </c>
      <c r="J2108" s="5" t="s">
        <v>1426</v>
      </c>
      <c r="K2108" s="2" t="s">
        <v>1431</v>
      </c>
    </row>
    <row r="2109" spans="1:11" x14ac:dyDescent="0.2">
      <c r="A2109" s="3" t="s">
        <v>1354</v>
      </c>
      <c r="B2109" s="3" t="s">
        <v>1361</v>
      </c>
      <c r="C2109" s="3" t="s">
        <v>1362</v>
      </c>
      <c r="D2109" s="3" t="s">
        <v>1427</v>
      </c>
      <c r="E2109" s="3" t="s">
        <v>1428</v>
      </c>
      <c r="F2109" s="3">
        <v>5.6</v>
      </c>
      <c r="G2109" s="3" t="s">
        <v>1429</v>
      </c>
      <c r="H2109" s="3">
        <v>4</v>
      </c>
      <c r="I2109" s="3">
        <v>11</v>
      </c>
      <c r="J2109" s="3" t="s">
        <v>1416</v>
      </c>
      <c r="K2109" s="3" t="s">
        <v>1420</v>
      </c>
    </row>
    <row r="2110" spans="1:11" x14ac:dyDescent="0.2">
      <c r="A2110" s="2" t="s">
        <v>1354</v>
      </c>
      <c r="B2110" s="2" t="s">
        <v>1361</v>
      </c>
      <c r="C2110" s="2" t="s">
        <v>1362</v>
      </c>
      <c r="D2110" s="2" t="s">
        <v>1418</v>
      </c>
      <c r="E2110" s="2" t="s">
        <v>1419</v>
      </c>
      <c r="F2110" s="2">
        <v>5.12</v>
      </c>
      <c r="G2110" s="2" t="s">
        <v>1415</v>
      </c>
      <c r="H2110" s="2">
        <v>3.5</v>
      </c>
      <c r="I2110" s="2">
        <v>5</v>
      </c>
      <c r="J2110" s="5" t="s">
        <v>1426</v>
      </c>
      <c r="K2110" s="2" t="s">
        <v>1431</v>
      </c>
    </row>
    <row r="2111" spans="1:11" x14ac:dyDescent="0.2">
      <c r="A2111" s="3" t="s">
        <v>1354</v>
      </c>
      <c r="B2111" s="3" t="s">
        <v>1361</v>
      </c>
      <c r="C2111" s="3" t="s">
        <v>1362</v>
      </c>
      <c r="D2111" s="3" t="s">
        <v>1421</v>
      </c>
      <c r="E2111" s="3" t="s">
        <v>1422</v>
      </c>
      <c r="F2111" s="3">
        <v>7.05</v>
      </c>
      <c r="G2111" s="3" t="s">
        <v>1415</v>
      </c>
      <c r="H2111" s="3">
        <v>0</v>
      </c>
      <c r="I2111" s="3">
        <v>5</v>
      </c>
      <c r="J2111" s="5" t="s">
        <v>1426</v>
      </c>
      <c r="K2111" s="3" t="s">
        <v>1420</v>
      </c>
    </row>
    <row r="2112" spans="1:11" x14ac:dyDescent="0.2">
      <c r="A2112" s="2" t="s">
        <v>1354</v>
      </c>
      <c r="B2112" s="2" t="s">
        <v>1361</v>
      </c>
      <c r="C2112" s="2" t="s">
        <v>1362</v>
      </c>
      <c r="D2112" s="2" t="s">
        <v>1440</v>
      </c>
      <c r="E2112" s="2" t="s">
        <v>1441</v>
      </c>
      <c r="F2112" s="2">
        <v>7.35</v>
      </c>
      <c r="G2112" s="2" t="s">
        <v>1442</v>
      </c>
      <c r="H2112" s="2">
        <v>4</v>
      </c>
      <c r="I2112" s="2">
        <v>5.6</v>
      </c>
      <c r="J2112" s="5" t="s">
        <v>1426</v>
      </c>
      <c r="K2112" s="2" t="s">
        <v>1434</v>
      </c>
    </row>
    <row r="2113" spans="1:11" x14ac:dyDescent="0.2">
      <c r="A2113" s="3" t="s">
        <v>1354</v>
      </c>
      <c r="B2113" s="3" t="s">
        <v>1361</v>
      </c>
      <c r="C2113" s="3" t="s">
        <v>1362</v>
      </c>
      <c r="D2113" s="3" t="s">
        <v>1453</v>
      </c>
      <c r="E2113" s="3" t="s">
        <v>1454</v>
      </c>
      <c r="F2113" s="3">
        <v>7.24</v>
      </c>
      <c r="G2113" s="3" t="s">
        <v>1415</v>
      </c>
      <c r="H2113" s="3">
        <v>3.9</v>
      </c>
      <c r="I2113" s="3">
        <v>5.5</v>
      </c>
      <c r="J2113" s="5" t="s">
        <v>1426</v>
      </c>
      <c r="K2113" s="3" t="s">
        <v>1431</v>
      </c>
    </row>
    <row r="2114" spans="1:11" x14ac:dyDescent="0.2">
      <c r="A2114" s="2" t="s">
        <v>1354</v>
      </c>
      <c r="B2114" s="2" t="s">
        <v>1364</v>
      </c>
      <c r="C2114" s="2" t="s">
        <v>1365</v>
      </c>
      <c r="D2114" s="2" t="s">
        <v>1455</v>
      </c>
      <c r="E2114" s="2" t="s">
        <v>1456</v>
      </c>
      <c r="F2114" s="2">
        <v>33.96</v>
      </c>
      <c r="G2114" s="2" t="s">
        <v>1457</v>
      </c>
      <c r="H2114" s="2">
        <v>40</v>
      </c>
      <c r="I2114" s="2">
        <v>130</v>
      </c>
      <c r="J2114" s="5" t="s">
        <v>1430</v>
      </c>
      <c r="K2114" s="2" t="s">
        <v>1431</v>
      </c>
    </row>
    <row r="2115" spans="1:11" x14ac:dyDescent="0.2">
      <c r="A2115" s="3" t="s">
        <v>1354</v>
      </c>
      <c r="B2115" s="3" t="s">
        <v>1364</v>
      </c>
      <c r="C2115" s="3" t="s">
        <v>1365</v>
      </c>
      <c r="D2115" s="3" t="s">
        <v>1446</v>
      </c>
      <c r="E2115" s="3" t="s">
        <v>1447</v>
      </c>
      <c r="F2115" s="3">
        <v>2.83</v>
      </c>
      <c r="G2115" s="3" t="s">
        <v>1415</v>
      </c>
      <c r="H2115" s="3">
        <v>2.1</v>
      </c>
      <c r="I2115" s="3">
        <v>2.6</v>
      </c>
      <c r="J2115" s="5" t="s">
        <v>1426</v>
      </c>
      <c r="K2115" s="3" t="s">
        <v>1431</v>
      </c>
    </row>
    <row r="2116" spans="1:11" x14ac:dyDescent="0.2">
      <c r="A2116" s="2" t="s">
        <v>1354</v>
      </c>
      <c r="B2116" s="2" t="s">
        <v>1364</v>
      </c>
      <c r="C2116" s="2" t="s">
        <v>1365</v>
      </c>
      <c r="D2116" s="2" t="s">
        <v>1413</v>
      </c>
      <c r="E2116" s="2" t="s">
        <v>1414</v>
      </c>
      <c r="F2116" s="2">
        <v>1.45</v>
      </c>
      <c r="G2116" s="2" t="s">
        <v>1415</v>
      </c>
      <c r="H2116" s="2">
        <v>1</v>
      </c>
      <c r="I2116" s="2">
        <v>5</v>
      </c>
      <c r="J2116" s="2" t="s">
        <v>1416</v>
      </c>
      <c r="K2116" s="2" t="s">
        <v>1417</v>
      </c>
    </row>
    <row r="2117" spans="1:11" x14ac:dyDescent="0.2">
      <c r="A2117" s="3" t="s">
        <v>1354</v>
      </c>
      <c r="B2117" s="3" t="s">
        <v>1364</v>
      </c>
      <c r="C2117" s="3" t="s">
        <v>1365</v>
      </c>
      <c r="D2117" s="3" t="s">
        <v>1421</v>
      </c>
      <c r="E2117" s="3" t="s">
        <v>1422</v>
      </c>
      <c r="F2117" s="3">
        <v>6.38</v>
      </c>
      <c r="G2117" s="3" t="s">
        <v>1415</v>
      </c>
      <c r="H2117" s="3">
        <v>0</v>
      </c>
      <c r="I2117" s="3">
        <v>5</v>
      </c>
      <c r="J2117" s="5" t="s">
        <v>1426</v>
      </c>
      <c r="K2117" s="3" t="s">
        <v>1417</v>
      </c>
    </row>
    <row r="2118" spans="1:11" x14ac:dyDescent="0.2">
      <c r="A2118" s="2" t="s">
        <v>1354</v>
      </c>
      <c r="B2118" s="2" t="s">
        <v>1364</v>
      </c>
      <c r="C2118" s="2" t="s">
        <v>1365</v>
      </c>
      <c r="D2118" s="2" t="s">
        <v>1427</v>
      </c>
      <c r="E2118" s="2" t="s">
        <v>1428</v>
      </c>
      <c r="F2118" s="2">
        <v>17.760000000000002</v>
      </c>
      <c r="G2118" s="2" t="s">
        <v>1429</v>
      </c>
      <c r="H2118" s="2">
        <v>4</v>
      </c>
      <c r="I2118" s="2">
        <v>11</v>
      </c>
      <c r="J2118" s="5" t="s">
        <v>1426</v>
      </c>
      <c r="K2118" s="2" t="s">
        <v>1431</v>
      </c>
    </row>
    <row r="2119" spans="1:11" x14ac:dyDescent="0.2">
      <c r="A2119" s="3" t="s">
        <v>1354</v>
      </c>
      <c r="B2119" s="3" t="s">
        <v>1364</v>
      </c>
      <c r="C2119" s="3" t="s">
        <v>1365</v>
      </c>
      <c r="D2119" s="3" t="s">
        <v>1443</v>
      </c>
      <c r="E2119" s="3" t="s">
        <v>1444</v>
      </c>
      <c r="F2119" s="3">
        <v>91.83</v>
      </c>
      <c r="G2119" s="3" t="s">
        <v>1445</v>
      </c>
      <c r="H2119" s="3">
        <v>53</v>
      </c>
      <c r="I2119" s="3">
        <v>97</v>
      </c>
      <c r="J2119" s="3" t="s">
        <v>1416</v>
      </c>
      <c r="K2119" s="3" t="s">
        <v>1417</v>
      </c>
    </row>
    <row r="2120" spans="1:11" x14ac:dyDescent="0.2">
      <c r="A2120" s="2" t="s">
        <v>1354</v>
      </c>
      <c r="B2120" s="2" t="s">
        <v>1364</v>
      </c>
      <c r="C2120" s="2" t="s">
        <v>1365</v>
      </c>
      <c r="D2120" s="2" t="s">
        <v>1450</v>
      </c>
      <c r="E2120" s="2" t="s">
        <v>1451</v>
      </c>
      <c r="F2120" s="2">
        <v>79.5</v>
      </c>
      <c r="G2120" s="2" t="s">
        <v>1452</v>
      </c>
      <c r="H2120" s="2">
        <v>60</v>
      </c>
      <c r="I2120" s="2">
        <v>120</v>
      </c>
      <c r="J2120" s="2" t="s">
        <v>1416</v>
      </c>
      <c r="K2120" s="2" t="s">
        <v>1420</v>
      </c>
    </row>
    <row r="2121" spans="1:11" x14ac:dyDescent="0.2">
      <c r="A2121" s="3" t="s">
        <v>1354</v>
      </c>
      <c r="B2121" s="3" t="s">
        <v>1367</v>
      </c>
      <c r="C2121" s="3" t="s">
        <v>1368</v>
      </c>
      <c r="D2121" s="3" t="s">
        <v>1446</v>
      </c>
      <c r="E2121" s="3" t="s">
        <v>1447</v>
      </c>
      <c r="F2121" s="3">
        <v>2.83</v>
      </c>
      <c r="G2121" s="3" t="s">
        <v>1415</v>
      </c>
      <c r="H2121" s="3">
        <v>2.1</v>
      </c>
      <c r="I2121" s="3">
        <v>2.6</v>
      </c>
      <c r="J2121" s="5" t="s">
        <v>1426</v>
      </c>
      <c r="K2121" s="3" t="s">
        <v>1420</v>
      </c>
    </row>
    <row r="2122" spans="1:11" x14ac:dyDescent="0.2">
      <c r="A2122" s="2" t="s">
        <v>1354</v>
      </c>
      <c r="B2122" s="2" t="s">
        <v>1367</v>
      </c>
      <c r="C2122" s="2" t="s">
        <v>1368</v>
      </c>
      <c r="D2122" s="2" t="s">
        <v>1421</v>
      </c>
      <c r="E2122" s="2" t="s">
        <v>1422</v>
      </c>
      <c r="F2122" s="2">
        <v>7.22</v>
      </c>
      <c r="G2122" s="2" t="s">
        <v>1415</v>
      </c>
      <c r="H2122" s="2">
        <v>0</v>
      </c>
      <c r="I2122" s="2">
        <v>5</v>
      </c>
      <c r="J2122" s="5" t="s">
        <v>1426</v>
      </c>
      <c r="K2122" s="2" t="s">
        <v>1420</v>
      </c>
    </row>
    <row r="2123" spans="1:11" x14ac:dyDescent="0.2">
      <c r="A2123" s="3" t="s">
        <v>1354</v>
      </c>
      <c r="B2123" s="3" t="s">
        <v>1367</v>
      </c>
      <c r="C2123" s="3" t="s">
        <v>1368</v>
      </c>
      <c r="D2123" s="3" t="s">
        <v>1453</v>
      </c>
      <c r="E2123" s="3" t="s">
        <v>1454</v>
      </c>
      <c r="F2123" s="3">
        <v>6.23</v>
      </c>
      <c r="G2123" s="3" t="s">
        <v>1415</v>
      </c>
      <c r="H2123" s="3">
        <v>3.9</v>
      </c>
      <c r="I2123" s="3">
        <v>5.5</v>
      </c>
      <c r="J2123" s="5" t="s">
        <v>1426</v>
      </c>
      <c r="K2123" s="3" t="s">
        <v>1431</v>
      </c>
    </row>
    <row r="2124" spans="1:11" x14ac:dyDescent="0.2">
      <c r="A2124" s="2" t="s">
        <v>1354</v>
      </c>
      <c r="B2124" s="2" t="s">
        <v>1367</v>
      </c>
      <c r="C2124" s="2" t="s">
        <v>1368</v>
      </c>
      <c r="D2124" s="2" t="s">
        <v>1423</v>
      </c>
      <c r="E2124" s="2" t="s">
        <v>1424</v>
      </c>
      <c r="F2124" s="2">
        <v>3.29</v>
      </c>
      <c r="G2124" s="2" t="s">
        <v>1425</v>
      </c>
      <c r="H2124" s="2">
        <v>4.5</v>
      </c>
      <c r="I2124" s="2">
        <v>5.5</v>
      </c>
      <c r="J2124" s="5" t="s">
        <v>1430</v>
      </c>
      <c r="K2124" s="2" t="s">
        <v>1420</v>
      </c>
    </row>
    <row r="2125" spans="1:11" x14ac:dyDescent="0.2">
      <c r="A2125" s="3" t="s">
        <v>1354</v>
      </c>
      <c r="B2125" s="3" t="s">
        <v>1367</v>
      </c>
      <c r="C2125" s="3" t="s">
        <v>1368</v>
      </c>
      <c r="D2125" s="3" t="s">
        <v>1450</v>
      </c>
      <c r="E2125" s="3" t="s">
        <v>1451</v>
      </c>
      <c r="F2125" s="3">
        <v>39.76</v>
      </c>
      <c r="G2125" s="3" t="s">
        <v>1452</v>
      </c>
      <c r="H2125" s="3">
        <v>60</v>
      </c>
      <c r="I2125" s="3">
        <v>120</v>
      </c>
      <c r="J2125" s="5" t="s">
        <v>1430</v>
      </c>
      <c r="K2125" s="3" t="s">
        <v>1431</v>
      </c>
    </row>
    <row r="2126" spans="1:11" x14ac:dyDescent="0.2">
      <c r="A2126" s="2" t="s">
        <v>1354</v>
      </c>
      <c r="B2126" s="2" t="s">
        <v>1367</v>
      </c>
      <c r="C2126" s="2" t="s">
        <v>1368</v>
      </c>
      <c r="D2126" s="2" t="s">
        <v>1443</v>
      </c>
      <c r="E2126" s="2" t="s">
        <v>1444</v>
      </c>
      <c r="F2126" s="2">
        <v>93.84</v>
      </c>
      <c r="G2126" s="2" t="s">
        <v>1445</v>
      </c>
      <c r="H2126" s="2">
        <v>53</v>
      </c>
      <c r="I2126" s="2">
        <v>97</v>
      </c>
      <c r="J2126" s="2" t="s">
        <v>1416</v>
      </c>
      <c r="K2126" s="2" t="s">
        <v>1420</v>
      </c>
    </row>
    <row r="2127" spans="1:11" x14ac:dyDescent="0.2">
      <c r="A2127" s="3" t="s">
        <v>1354</v>
      </c>
      <c r="B2127" s="3" t="s">
        <v>1367</v>
      </c>
      <c r="C2127" s="3" t="s">
        <v>1368</v>
      </c>
      <c r="D2127" s="3" t="s">
        <v>1435</v>
      </c>
      <c r="E2127" s="3" t="s">
        <v>1436</v>
      </c>
      <c r="F2127" s="3">
        <v>0.6</v>
      </c>
      <c r="G2127" s="3" t="s">
        <v>1415</v>
      </c>
      <c r="H2127" s="3">
        <v>0.8</v>
      </c>
      <c r="I2127" s="3">
        <v>1.5</v>
      </c>
      <c r="J2127" s="5" t="s">
        <v>1430</v>
      </c>
      <c r="K2127" s="3" t="s">
        <v>1417</v>
      </c>
    </row>
    <row r="2128" spans="1:11" x14ac:dyDescent="0.2">
      <c r="A2128" s="2" t="s">
        <v>1354</v>
      </c>
      <c r="B2128" s="2" t="s">
        <v>1367</v>
      </c>
      <c r="C2128" s="2" t="s">
        <v>1368</v>
      </c>
      <c r="D2128" s="2" t="s">
        <v>1427</v>
      </c>
      <c r="E2128" s="2" t="s">
        <v>1428</v>
      </c>
      <c r="F2128" s="2">
        <v>12.63</v>
      </c>
      <c r="G2128" s="2" t="s">
        <v>1429</v>
      </c>
      <c r="H2128" s="2">
        <v>4</v>
      </c>
      <c r="I2128" s="2">
        <v>11</v>
      </c>
      <c r="J2128" s="5" t="s">
        <v>1426</v>
      </c>
      <c r="K2128" s="2" t="s">
        <v>1420</v>
      </c>
    </row>
    <row r="2129" spans="1:11" x14ac:dyDescent="0.2">
      <c r="A2129" s="3" t="s">
        <v>1370</v>
      </c>
      <c r="B2129" s="3" t="s">
        <v>1371</v>
      </c>
      <c r="C2129" s="3" t="s">
        <v>313</v>
      </c>
      <c r="D2129" s="3" t="s">
        <v>1455</v>
      </c>
      <c r="E2129" s="3" t="s">
        <v>1456</v>
      </c>
      <c r="F2129" s="3">
        <v>75.39</v>
      </c>
      <c r="G2129" s="3" t="s">
        <v>1457</v>
      </c>
      <c r="H2129" s="3">
        <v>40</v>
      </c>
      <c r="I2129" s="3">
        <v>130</v>
      </c>
      <c r="J2129" s="3" t="s">
        <v>1416</v>
      </c>
      <c r="K2129" s="3" t="s">
        <v>1417</v>
      </c>
    </row>
    <row r="2130" spans="1:11" x14ac:dyDescent="0.2">
      <c r="A2130" s="2" t="s">
        <v>1370</v>
      </c>
      <c r="B2130" s="2" t="s">
        <v>1371</v>
      </c>
      <c r="C2130" s="2" t="s">
        <v>313</v>
      </c>
      <c r="D2130" s="2" t="s">
        <v>1453</v>
      </c>
      <c r="E2130" s="2" t="s">
        <v>1454</v>
      </c>
      <c r="F2130" s="2">
        <v>8.65</v>
      </c>
      <c r="G2130" s="2" t="s">
        <v>1415</v>
      </c>
      <c r="H2130" s="2">
        <v>3.9</v>
      </c>
      <c r="I2130" s="2">
        <v>5.5</v>
      </c>
      <c r="J2130" s="5" t="s">
        <v>1426</v>
      </c>
      <c r="K2130" s="2" t="s">
        <v>1431</v>
      </c>
    </row>
    <row r="2131" spans="1:11" x14ac:dyDescent="0.2">
      <c r="A2131" s="3" t="s">
        <v>1370</v>
      </c>
      <c r="B2131" s="3" t="s">
        <v>1371</v>
      </c>
      <c r="C2131" s="3" t="s">
        <v>313</v>
      </c>
      <c r="D2131" s="3" t="s">
        <v>1413</v>
      </c>
      <c r="E2131" s="3" t="s">
        <v>1414</v>
      </c>
      <c r="F2131" s="3">
        <v>0.88</v>
      </c>
      <c r="G2131" s="3" t="s">
        <v>1415</v>
      </c>
      <c r="H2131" s="3">
        <v>1</v>
      </c>
      <c r="I2131" s="3">
        <v>5</v>
      </c>
      <c r="J2131" s="5" t="s">
        <v>1430</v>
      </c>
      <c r="K2131" s="3" t="s">
        <v>1434</v>
      </c>
    </row>
    <row r="2132" spans="1:11" x14ac:dyDescent="0.2">
      <c r="A2132" s="2" t="s">
        <v>1370</v>
      </c>
      <c r="B2132" s="2" t="s">
        <v>1374</v>
      </c>
      <c r="C2132" s="2" t="s">
        <v>1375</v>
      </c>
      <c r="D2132" s="2" t="s">
        <v>1440</v>
      </c>
      <c r="E2132" s="2" t="s">
        <v>1441</v>
      </c>
      <c r="F2132" s="2">
        <v>10.65</v>
      </c>
      <c r="G2132" s="2" t="s">
        <v>1442</v>
      </c>
      <c r="H2132" s="2">
        <v>4</v>
      </c>
      <c r="I2132" s="2">
        <v>5.6</v>
      </c>
      <c r="J2132" s="5" t="s">
        <v>1426</v>
      </c>
      <c r="K2132" s="2" t="s">
        <v>1420</v>
      </c>
    </row>
    <row r="2133" spans="1:11" x14ac:dyDescent="0.2">
      <c r="A2133" s="3" t="s">
        <v>1370</v>
      </c>
      <c r="B2133" s="3" t="s">
        <v>1374</v>
      </c>
      <c r="C2133" s="3" t="s">
        <v>1375</v>
      </c>
      <c r="D2133" s="3" t="s">
        <v>1443</v>
      </c>
      <c r="E2133" s="3" t="s">
        <v>1444</v>
      </c>
      <c r="F2133" s="3">
        <v>65.8</v>
      </c>
      <c r="G2133" s="3" t="s">
        <v>1445</v>
      </c>
      <c r="H2133" s="3">
        <v>53</v>
      </c>
      <c r="I2133" s="3">
        <v>97</v>
      </c>
      <c r="J2133" s="3" t="s">
        <v>1416</v>
      </c>
      <c r="K2133" s="3" t="s">
        <v>1417</v>
      </c>
    </row>
    <row r="2134" spans="1:11" x14ac:dyDescent="0.2">
      <c r="A2134" s="2" t="s">
        <v>1370</v>
      </c>
      <c r="B2134" s="2" t="s">
        <v>1374</v>
      </c>
      <c r="C2134" s="2" t="s">
        <v>1375</v>
      </c>
      <c r="D2134" s="2" t="s">
        <v>1453</v>
      </c>
      <c r="E2134" s="2" t="s">
        <v>1454</v>
      </c>
      <c r="F2134" s="2">
        <v>4.32</v>
      </c>
      <c r="G2134" s="2" t="s">
        <v>1415</v>
      </c>
      <c r="H2134" s="2">
        <v>3.9</v>
      </c>
      <c r="I2134" s="2">
        <v>5.5</v>
      </c>
      <c r="J2134" s="2" t="s">
        <v>1416</v>
      </c>
      <c r="K2134" s="2" t="s">
        <v>1431</v>
      </c>
    </row>
    <row r="2135" spans="1:11" x14ac:dyDescent="0.2">
      <c r="A2135" s="3" t="s">
        <v>1370</v>
      </c>
      <c r="B2135" s="3" t="s">
        <v>1374</v>
      </c>
      <c r="C2135" s="3" t="s">
        <v>1375</v>
      </c>
      <c r="D2135" s="3" t="s">
        <v>1450</v>
      </c>
      <c r="E2135" s="3" t="s">
        <v>1451</v>
      </c>
      <c r="F2135" s="3">
        <v>39.78</v>
      </c>
      <c r="G2135" s="3" t="s">
        <v>1452</v>
      </c>
      <c r="H2135" s="3">
        <v>60</v>
      </c>
      <c r="I2135" s="3">
        <v>120</v>
      </c>
      <c r="J2135" s="5" t="s">
        <v>1430</v>
      </c>
      <c r="K2135" s="3" t="s">
        <v>1417</v>
      </c>
    </row>
    <row r="2136" spans="1:11" x14ac:dyDescent="0.2">
      <c r="A2136" s="2" t="s">
        <v>1370</v>
      </c>
      <c r="B2136" s="2" t="s">
        <v>1374</v>
      </c>
      <c r="C2136" s="2" t="s">
        <v>1375</v>
      </c>
      <c r="D2136" s="2" t="s">
        <v>1421</v>
      </c>
      <c r="E2136" s="2" t="s">
        <v>1422</v>
      </c>
      <c r="F2136" s="2">
        <v>6.21</v>
      </c>
      <c r="G2136" s="2" t="s">
        <v>1415</v>
      </c>
      <c r="H2136" s="2">
        <v>0</v>
      </c>
      <c r="I2136" s="2">
        <v>5</v>
      </c>
      <c r="J2136" s="5" t="s">
        <v>1426</v>
      </c>
      <c r="K2136" s="2" t="s">
        <v>1434</v>
      </c>
    </row>
    <row r="2137" spans="1:11" x14ac:dyDescent="0.2">
      <c r="A2137" s="3" t="s">
        <v>1370</v>
      </c>
      <c r="B2137" s="3" t="s">
        <v>1374</v>
      </c>
      <c r="C2137" s="3" t="s">
        <v>1375</v>
      </c>
      <c r="D2137" s="3" t="s">
        <v>1448</v>
      </c>
      <c r="E2137" s="3" t="s">
        <v>1449</v>
      </c>
      <c r="F2137" s="3">
        <v>133.56</v>
      </c>
      <c r="G2137" s="3" t="s">
        <v>1415</v>
      </c>
      <c r="H2137" s="3">
        <v>136</v>
      </c>
      <c r="I2137" s="3">
        <v>145</v>
      </c>
      <c r="J2137" s="5" t="s">
        <v>1430</v>
      </c>
      <c r="K2137" s="3" t="s">
        <v>1417</v>
      </c>
    </row>
    <row r="2138" spans="1:11" x14ac:dyDescent="0.2">
      <c r="A2138" s="2" t="s">
        <v>1370</v>
      </c>
      <c r="B2138" s="2" t="s">
        <v>1377</v>
      </c>
      <c r="C2138" s="2" t="s">
        <v>761</v>
      </c>
      <c r="D2138" s="2" t="s">
        <v>1418</v>
      </c>
      <c r="E2138" s="2" t="s">
        <v>1419</v>
      </c>
      <c r="F2138" s="2">
        <v>5.41</v>
      </c>
      <c r="G2138" s="2" t="s">
        <v>1415</v>
      </c>
      <c r="H2138" s="2">
        <v>3.5</v>
      </c>
      <c r="I2138" s="2">
        <v>5</v>
      </c>
      <c r="J2138" s="5" t="s">
        <v>1426</v>
      </c>
      <c r="K2138" s="2" t="s">
        <v>1420</v>
      </c>
    </row>
    <row r="2139" spans="1:11" x14ac:dyDescent="0.2">
      <c r="A2139" s="3" t="s">
        <v>1370</v>
      </c>
      <c r="B2139" s="3" t="s">
        <v>1377</v>
      </c>
      <c r="C2139" s="3" t="s">
        <v>761</v>
      </c>
      <c r="D2139" s="3" t="s">
        <v>1440</v>
      </c>
      <c r="E2139" s="3" t="s">
        <v>1441</v>
      </c>
      <c r="F2139" s="3">
        <v>9.61</v>
      </c>
      <c r="G2139" s="3" t="s">
        <v>1442</v>
      </c>
      <c r="H2139" s="3">
        <v>4</v>
      </c>
      <c r="I2139" s="3">
        <v>5.6</v>
      </c>
      <c r="J2139" s="5" t="s">
        <v>1426</v>
      </c>
      <c r="K2139" s="3" t="s">
        <v>1417</v>
      </c>
    </row>
    <row r="2140" spans="1:11" x14ac:dyDescent="0.2">
      <c r="A2140" s="2" t="s">
        <v>1370</v>
      </c>
      <c r="B2140" s="2" t="s">
        <v>1377</v>
      </c>
      <c r="C2140" s="2" t="s">
        <v>761</v>
      </c>
      <c r="D2140" s="2" t="s">
        <v>1443</v>
      </c>
      <c r="E2140" s="2" t="s">
        <v>1444</v>
      </c>
      <c r="F2140" s="2">
        <v>63.11</v>
      </c>
      <c r="G2140" s="2" t="s">
        <v>1445</v>
      </c>
      <c r="H2140" s="2">
        <v>53</v>
      </c>
      <c r="I2140" s="2">
        <v>97</v>
      </c>
      <c r="J2140" s="2" t="s">
        <v>1416</v>
      </c>
      <c r="K2140" s="2" t="s">
        <v>1420</v>
      </c>
    </row>
    <row r="2141" spans="1:11" x14ac:dyDescent="0.2">
      <c r="A2141" s="3" t="s">
        <v>1370</v>
      </c>
      <c r="B2141" s="3" t="s">
        <v>1377</v>
      </c>
      <c r="C2141" s="3" t="s">
        <v>761</v>
      </c>
      <c r="D2141" s="3" t="s">
        <v>1423</v>
      </c>
      <c r="E2141" s="3" t="s">
        <v>1424</v>
      </c>
      <c r="F2141" s="3">
        <v>3.07</v>
      </c>
      <c r="G2141" s="3" t="s">
        <v>1425</v>
      </c>
      <c r="H2141" s="3">
        <v>4.5</v>
      </c>
      <c r="I2141" s="3">
        <v>5.5</v>
      </c>
      <c r="J2141" s="5" t="s">
        <v>1430</v>
      </c>
      <c r="K2141" s="3" t="s">
        <v>1420</v>
      </c>
    </row>
    <row r="2142" spans="1:11" x14ac:dyDescent="0.2">
      <c r="A2142" s="2" t="s">
        <v>1370</v>
      </c>
      <c r="B2142" s="2" t="s">
        <v>1377</v>
      </c>
      <c r="C2142" s="2" t="s">
        <v>761</v>
      </c>
      <c r="D2142" s="2" t="s">
        <v>1450</v>
      </c>
      <c r="E2142" s="2" t="s">
        <v>1451</v>
      </c>
      <c r="F2142" s="2">
        <v>125.77</v>
      </c>
      <c r="G2142" s="2" t="s">
        <v>1452</v>
      </c>
      <c r="H2142" s="2">
        <v>60</v>
      </c>
      <c r="I2142" s="2">
        <v>120</v>
      </c>
      <c r="J2142" s="5" t="s">
        <v>1426</v>
      </c>
      <c r="K2142" s="2" t="s">
        <v>1431</v>
      </c>
    </row>
    <row r="2143" spans="1:11" x14ac:dyDescent="0.2">
      <c r="A2143" s="3" t="s">
        <v>1370</v>
      </c>
      <c r="B2143" s="3" t="s">
        <v>1377</v>
      </c>
      <c r="C2143" s="3" t="s">
        <v>761</v>
      </c>
      <c r="D2143" s="3" t="s">
        <v>1453</v>
      </c>
      <c r="E2143" s="3" t="s">
        <v>1454</v>
      </c>
      <c r="F2143" s="3">
        <v>5.17</v>
      </c>
      <c r="G2143" s="3" t="s">
        <v>1415</v>
      </c>
      <c r="H2143" s="3">
        <v>3.9</v>
      </c>
      <c r="I2143" s="3">
        <v>5.5</v>
      </c>
      <c r="J2143" s="3" t="s">
        <v>1416</v>
      </c>
      <c r="K2143" s="3" t="s">
        <v>1417</v>
      </c>
    </row>
    <row r="2144" spans="1:11" x14ac:dyDescent="0.2">
      <c r="A2144" s="2" t="s">
        <v>1378</v>
      </c>
      <c r="B2144" s="2" t="s">
        <v>1379</v>
      </c>
      <c r="C2144" s="2" t="s">
        <v>1380</v>
      </c>
      <c r="D2144" s="2" t="s">
        <v>1437</v>
      </c>
      <c r="E2144" s="2" t="s">
        <v>1438</v>
      </c>
      <c r="F2144" s="2">
        <v>16.86</v>
      </c>
      <c r="G2144" s="2" t="s">
        <v>1439</v>
      </c>
      <c r="H2144" s="2">
        <v>12</v>
      </c>
      <c r="I2144" s="2">
        <v>17.5</v>
      </c>
      <c r="J2144" s="2" t="s">
        <v>1416</v>
      </c>
      <c r="K2144" s="2" t="s">
        <v>1417</v>
      </c>
    </row>
    <row r="2145" spans="1:11" x14ac:dyDescent="0.2">
      <c r="A2145" s="3" t="s">
        <v>1378</v>
      </c>
      <c r="B2145" s="3" t="s">
        <v>1379</v>
      </c>
      <c r="C2145" s="3" t="s">
        <v>1380</v>
      </c>
      <c r="D2145" s="3" t="s">
        <v>1443</v>
      </c>
      <c r="E2145" s="3" t="s">
        <v>1444</v>
      </c>
      <c r="F2145" s="3">
        <v>77.36</v>
      </c>
      <c r="G2145" s="3" t="s">
        <v>1445</v>
      </c>
      <c r="H2145" s="3">
        <v>53</v>
      </c>
      <c r="I2145" s="3">
        <v>97</v>
      </c>
      <c r="J2145" s="3" t="s">
        <v>1416</v>
      </c>
      <c r="K2145" s="3" t="s">
        <v>1417</v>
      </c>
    </row>
    <row r="2146" spans="1:11" x14ac:dyDescent="0.2">
      <c r="A2146" s="2" t="s">
        <v>1378</v>
      </c>
      <c r="B2146" s="2" t="s">
        <v>1379</v>
      </c>
      <c r="C2146" s="2" t="s">
        <v>1380</v>
      </c>
      <c r="D2146" s="2" t="s">
        <v>1423</v>
      </c>
      <c r="E2146" s="2" t="s">
        <v>1424</v>
      </c>
      <c r="F2146" s="2">
        <v>5.38</v>
      </c>
      <c r="G2146" s="2" t="s">
        <v>1425</v>
      </c>
      <c r="H2146" s="2">
        <v>4.5</v>
      </c>
      <c r="I2146" s="2">
        <v>5.5</v>
      </c>
      <c r="J2146" s="2" t="s">
        <v>1416</v>
      </c>
      <c r="K2146" s="2" t="s">
        <v>1434</v>
      </c>
    </row>
    <row r="2147" spans="1:11" x14ac:dyDescent="0.2">
      <c r="A2147" s="3" t="s">
        <v>1378</v>
      </c>
      <c r="B2147" s="3" t="s">
        <v>1383</v>
      </c>
      <c r="C2147" s="3" t="s">
        <v>378</v>
      </c>
      <c r="D2147" s="3" t="s">
        <v>1432</v>
      </c>
      <c r="E2147" s="3" t="s">
        <v>1433</v>
      </c>
      <c r="F2147" s="3">
        <v>4.32</v>
      </c>
      <c r="G2147" s="3" t="s">
        <v>1415</v>
      </c>
      <c r="H2147" s="3">
        <v>0</v>
      </c>
      <c r="I2147" s="3">
        <v>3</v>
      </c>
      <c r="J2147" s="5" t="s">
        <v>1426</v>
      </c>
      <c r="K2147" s="3" t="s">
        <v>1431</v>
      </c>
    </row>
    <row r="2148" spans="1:11" x14ac:dyDescent="0.2">
      <c r="A2148" s="2" t="s">
        <v>1378</v>
      </c>
      <c r="B2148" s="2" t="s">
        <v>1383</v>
      </c>
      <c r="C2148" s="2" t="s">
        <v>378</v>
      </c>
      <c r="D2148" s="2" t="s">
        <v>1453</v>
      </c>
      <c r="E2148" s="2" t="s">
        <v>1454</v>
      </c>
      <c r="F2148" s="2">
        <v>5.87</v>
      </c>
      <c r="G2148" s="2" t="s">
        <v>1415</v>
      </c>
      <c r="H2148" s="2">
        <v>3.9</v>
      </c>
      <c r="I2148" s="2">
        <v>5.5</v>
      </c>
      <c r="J2148" s="5" t="s">
        <v>1426</v>
      </c>
      <c r="K2148" s="2" t="s">
        <v>1420</v>
      </c>
    </row>
    <row r="2149" spans="1:11" x14ac:dyDescent="0.2">
      <c r="A2149" s="3" t="s">
        <v>1378</v>
      </c>
      <c r="B2149" s="3" t="s">
        <v>1383</v>
      </c>
      <c r="C2149" s="3" t="s">
        <v>378</v>
      </c>
      <c r="D2149" s="3" t="s">
        <v>1423</v>
      </c>
      <c r="E2149" s="3" t="s">
        <v>1424</v>
      </c>
      <c r="F2149" s="3">
        <v>5.18</v>
      </c>
      <c r="G2149" s="3" t="s">
        <v>1425</v>
      </c>
      <c r="H2149" s="3">
        <v>4.5</v>
      </c>
      <c r="I2149" s="3">
        <v>5.5</v>
      </c>
      <c r="J2149" s="3" t="s">
        <v>1416</v>
      </c>
      <c r="K2149" s="3" t="s">
        <v>1431</v>
      </c>
    </row>
    <row r="2150" spans="1:11" x14ac:dyDescent="0.2">
      <c r="A2150" s="2" t="s">
        <v>1378</v>
      </c>
      <c r="B2150" s="2" t="s">
        <v>1383</v>
      </c>
      <c r="C2150" s="2" t="s">
        <v>378</v>
      </c>
      <c r="D2150" s="2" t="s">
        <v>1455</v>
      </c>
      <c r="E2150" s="2" t="s">
        <v>1456</v>
      </c>
      <c r="F2150" s="2">
        <v>132.63</v>
      </c>
      <c r="G2150" s="2" t="s">
        <v>1457</v>
      </c>
      <c r="H2150" s="2">
        <v>40</v>
      </c>
      <c r="I2150" s="2">
        <v>130</v>
      </c>
      <c r="J2150" s="5" t="s">
        <v>1426</v>
      </c>
      <c r="K2150" s="2" t="s">
        <v>1420</v>
      </c>
    </row>
    <row r="2151" spans="1:11" x14ac:dyDescent="0.2">
      <c r="A2151" s="3" t="s">
        <v>1378</v>
      </c>
      <c r="B2151" s="3" t="s">
        <v>1383</v>
      </c>
      <c r="C2151" s="3" t="s">
        <v>378</v>
      </c>
      <c r="D2151" s="3" t="s">
        <v>1448</v>
      </c>
      <c r="E2151" s="3" t="s">
        <v>1449</v>
      </c>
      <c r="F2151" s="3">
        <v>139.11000000000001</v>
      </c>
      <c r="G2151" s="3" t="s">
        <v>1415</v>
      </c>
      <c r="H2151" s="3">
        <v>136</v>
      </c>
      <c r="I2151" s="3">
        <v>145</v>
      </c>
      <c r="J2151" s="3" t="s">
        <v>1416</v>
      </c>
      <c r="K2151" s="3" t="s">
        <v>1417</v>
      </c>
    </row>
    <row r="2152" spans="1:11" x14ac:dyDescent="0.2">
      <c r="A2152" s="2" t="s">
        <v>1385</v>
      </c>
      <c r="B2152" s="2" t="s">
        <v>1386</v>
      </c>
      <c r="C2152" s="2" t="s">
        <v>1314</v>
      </c>
      <c r="D2152" s="2" t="s">
        <v>1448</v>
      </c>
      <c r="E2152" s="2" t="s">
        <v>1449</v>
      </c>
      <c r="F2152" s="2">
        <v>145.21</v>
      </c>
      <c r="G2152" s="2" t="s">
        <v>1415</v>
      </c>
      <c r="H2152" s="2">
        <v>136</v>
      </c>
      <c r="I2152" s="2">
        <v>145</v>
      </c>
      <c r="J2152" s="5" t="s">
        <v>1426</v>
      </c>
      <c r="K2152" s="2" t="s">
        <v>1417</v>
      </c>
    </row>
    <row r="2153" spans="1:11" x14ac:dyDescent="0.2">
      <c r="A2153" s="3" t="s">
        <v>1385</v>
      </c>
      <c r="B2153" s="3" t="s">
        <v>1386</v>
      </c>
      <c r="C2153" s="3" t="s">
        <v>1314</v>
      </c>
      <c r="D2153" s="3" t="s">
        <v>1432</v>
      </c>
      <c r="E2153" s="3" t="s">
        <v>1433</v>
      </c>
      <c r="F2153" s="3">
        <v>3.77</v>
      </c>
      <c r="G2153" s="3" t="s">
        <v>1415</v>
      </c>
      <c r="H2153" s="3">
        <v>0</v>
      </c>
      <c r="I2153" s="3">
        <v>3</v>
      </c>
      <c r="J2153" s="5" t="s">
        <v>1426</v>
      </c>
      <c r="K2153" s="3" t="s">
        <v>1417</v>
      </c>
    </row>
    <row r="2154" spans="1:11" x14ac:dyDescent="0.2">
      <c r="A2154" s="2" t="s">
        <v>1385</v>
      </c>
      <c r="B2154" s="2" t="s">
        <v>1386</v>
      </c>
      <c r="C2154" s="2" t="s">
        <v>1314</v>
      </c>
      <c r="D2154" s="2" t="s">
        <v>1450</v>
      </c>
      <c r="E2154" s="2" t="s">
        <v>1451</v>
      </c>
      <c r="F2154" s="2">
        <v>56.44</v>
      </c>
      <c r="G2154" s="2" t="s">
        <v>1452</v>
      </c>
      <c r="H2154" s="2">
        <v>60</v>
      </c>
      <c r="I2154" s="2">
        <v>120</v>
      </c>
      <c r="J2154" s="5" t="s">
        <v>1430</v>
      </c>
      <c r="K2154" s="2" t="s">
        <v>1417</v>
      </c>
    </row>
    <row r="2155" spans="1:11" x14ac:dyDescent="0.2">
      <c r="A2155" s="3" t="s">
        <v>1385</v>
      </c>
      <c r="B2155" s="3" t="s">
        <v>1386</v>
      </c>
      <c r="C2155" s="3" t="s">
        <v>1314</v>
      </c>
      <c r="D2155" s="3" t="s">
        <v>1413</v>
      </c>
      <c r="E2155" s="3" t="s">
        <v>1414</v>
      </c>
      <c r="F2155" s="3">
        <v>0.83</v>
      </c>
      <c r="G2155" s="3" t="s">
        <v>1415</v>
      </c>
      <c r="H2155" s="3">
        <v>1</v>
      </c>
      <c r="I2155" s="3">
        <v>5</v>
      </c>
      <c r="J2155" s="5" t="s">
        <v>1430</v>
      </c>
      <c r="K2155" s="3" t="s">
        <v>1420</v>
      </c>
    </row>
    <row r="2156" spans="1:11" x14ac:dyDescent="0.2">
      <c r="A2156" s="2" t="s">
        <v>1385</v>
      </c>
      <c r="B2156" s="2" t="s">
        <v>1386</v>
      </c>
      <c r="C2156" s="2" t="s">
        <v>1314</v>
      </c>
      <c r="D2156" s="2" t="s">
        <v>1440</v>
      </c>
      <c r="E2156" s="2" t="s">
        <v>1441</v>
      </c>
      <c r="F2156" s="2">
        <v>10.75</v>
      </c>
      <c r="G2156" s="2" t="s">
        <v>1442</v>
      </c>
      <c r="H2156" s="2">
        <v>4</v>
      </c>
      <c r="I2156" s="2">
        <v>5.6</v>
      </c>
      <c r="J2156" s="5" t="s">
        <v>1426</v>
      </c>
      <c r="K2156" s="2" t="s">
        <v>1420</v>
      </c>
    </row>
    <row r="2157" spans="1:11" x14ac:dyDescent="0.2">
      <c r="A2157" s="3" t="s">
        <v>1385</v>
      </c>
      <c r="B2157" s="3" t="s">
        <v>1388</v>
      </c>
      <c r="C2157" s="3" t="s">
        <v>1389</v>
      </c>
      <c r="D2157" s="3" t="s">
        <v>1437</v>
      </c>
      <c r="E2157" s="3" t="s">
        <v>1438</v>
      </c>
      <c r="F2157" s="3">
        <v>8.14</v>
      </c>
      <c r="G2157" s="3" t="s">
        <v>1439</v>
      </c>
      <c r="H2157" s="3">
        <v>12</v>
      </c>
      <c r="I2157" s="3">
        <v>17.5</v>
      </c>
      <c r="J2157" s="5" t="s">
        <v>1430</v>
      </c>
      <c r="K2157" s="3" t="s">
        <v>1434</v>
      </c>
    </row>
    <row r="2158" spans="1:11" x14ac:dyDescent="0.2">
      <c r="A2158" s="2" t="s">
        <v>1385</v>
      </c>
      <c r="B2158" s="2" t="s">
        <v>1388</v>
      </c>
      <c r="C2158" s="2" t="s">
        <v>1389</v>
      </c>
      <c r="D2158" s="2" t="s">
        <v>1448</v>
      </c>
      <c r="E2158" s="2" t="s">
        <v>1449</v>
      </c>
      <c r="F2158" s="2">
        <v>138.15</v>
      </c>
      <c r="G2158" s="2" t="s">
        <v>1415</v>
      </c>
      <c r="H2158" s="2">
        <v>136</v>
      </c>
      <c r="I2158" s="2">
        <v>145</v>
      </c>
      <c r="J2158" s="2" t="s">
        <v>1416</v>
      </c>
      <c r="K2158" s="2" t="s">
        <v>1431</v>
      </c>
    </row>
    <row r="2159" spans="1:11" x14ac:dyDescent="0.2">
      <c r="A2159" s="3" t="s">
        <v>1385</v>
      </c>
      <c r="B2159" s="3" t="s">
        <v>1388</v>
      </c>
      <c r="C2159" s="3" t="s">
        <v>1389</v>
      </c>
      <c r="D2159" s="3" t="s">
        <v>1446</v>
      </c>
      <c r="E2159" s="3" t="s">
        <v>1447</v>
      </c>
      <c r="F2159" s="3">
        <v>2.52</v>
      </c>
      <c r="G2159" s="3" t="s">
        <v>1415</v>
      </c>
      <c r="H2159" s="3">
        <v>2.1</v>
      </c>
      <c r="I2159" s="3">
        <v>2.6</v>
      </c>
      <c r="J2159" s="3" t="s">
        <v>1416</v>
      </c>
      <c r="K2159" s="3" t="s">
        <v>1431</v>
      </c>
    </row>
    <row r="2160" spans="1:11" x14ac:dyDescent="0.2">
      <c r="A2160" s="2" t="s">
        <v>1385</v>
      </c>
      <c r="B2160" s="2" t="s">
        <v>1388</v>
      </c>
      <c r="C2160" s="2" t="s">
        <v>1389</v>
      </c>
      <c r="D2160" s="2" t="s">
        <v>1427</v>
      </c>
      <c r="E2160" s="2" t="s">
        <v>1428</v>
      </c>
      <c r="F2160" s="2">
        <v>15.69</v>
      </c>
      <c r="G2160" s="2" t="s">
        <v>1429</v>
      </c>
      <c r="H2160" s="2">
        <v>4</v>
      </c>
      <c r="I2160" s="2">
        <v>11</v>
      </c>
      <c r="J2160" s="5" t="s">
        <v>1426</v>
      </c>
      <c r="K2160" s="2" t="s">
        <v>1431</v>
      </c>
    </row>
    <row r="2161" spans="1:11" x14ac:dyDescent="0.2">
      <c r="A2161" s="3" t="s">
        <v>1385</v>
      </c>
      <c r="B2161" s="3" t="s">
        <v>1388</v>
      </c>
      <c r="C2161" s="3" t="s">
        <v>1389</v>
      </c>
      <c r="D2161" s="3" t="s">
        <v>1455</v>
      </c>
      <c r="E2161" s="3" t="s">
        <v>1456</v>
      </c>
      <c r="F2161" s="3">
        <v>342.71</v>
      </c>
      <c r="G2161" s="3" t="s">
        <v>1457</v>
      </c>
      <c r="H2161" s="3">
        <v>40</v>
      </c>
      <c r="I2161" s="3">
        <v>130</v>
      </c>
      <c r="J2161" s="5" t="s">
        <v>1426</v>
      </c>
      <c r="K2161" s="3" t="s">
        <v>1431</v>
      </c>
    </row>
    <row r="2162" spans="1:11" x14ac:dyDescent="0.2">
      <c r="A2162" s="2" t="s">
        <v>1385</v>
      </c>
      <c r="B2162" s="2" t="s">
        <v>1391</v>
      </c>
      <c r="C2162" s="2" t="s">
        <v>1392</v>
      </c>
      <c r="D2162" s="2" t="s">
        <v>1418</v>
      </c>
      <c r="E2162" s="2" t="s">
        <v>1419</v>
      </c>
      <c r="F2162" s="2">
        <v>4.5199999999999996</v>
      </c>
      <c r="G2162" s="2" t="s">
        <v>1415</v>
      </c>
      <c r="H2162" s="2">
        <v>3.5</v>
      </c>
      <c r="I2162" s="2">
        <v>5</v>
      </c>
      <c r="J2162" s="2" t="s">
        <v>1416</v>
      </c>
      <c r="K2162" s="2" t="s">
        <v>1420</v>
      </c>
    </row>
    <row r="2163" spans="1:11" x14ac:dyDescent="0.2">
      <c r="A2163" s="3" t="s">
        <v>1385</v>
      </c>
      <c r="B2163" s="3" t="s">
        <v>1391</v>
      </c>
      <c r="C2163" s="3" t="s">
        <v>1392</v>
      </c>
      <c r="D2163" s="3" t="s">
        <v>1453</v>
      </c>
      <c r="E2163" s="3" t="s">
        <v>1454</v>
      </c>
      <c r="F2163" s="3">
        <v>8.67</v>
      </c>
      <c r="G2163" s="3" t="s">
        <v>1415</v>
      </c>
      <c r="H2163" s="3">
        <v>3.9</v>
      </c>
      <c r="I2163" s="3">
        <v>5.5</v>
      </c>
      <c r="J2163" s="5" t="s">
        <v>1426</v>
      </c>
      <c r="K2163" s="3" t="s">
        <v>1431</v>
      </c>
    </row>
    <row r="2164" spans="1:11" x14ac:dyDescent="0.2">
      <c r="A2164" s="2" t="s">
        <v>1385</v>
      </c>
      <c r="B2164" s="2" t="s">
        <v>1391</v>
      </c>
      <c r="C2164" s="2" t="s">
        <v>1392</v>
      </c>
      <c r="D2164" s="2" t="s">
        <v>1455</v>
      </c>
      <c r="E2164" s="2" t="s">
        <v>1456</v>
      </c>
      <c r="F2164" s="2">
        <v>266.70999999999998</v>
      </c>
      <c r="G2164" s="2" t="s">
        <v>1457</v>
      </c>
      <c r="H2164" s="2">
        <v>40</v>
      </c>
      <c r="I2164" s="2">
        <v>130</v>
      </c>
      <c r="J2164" s="5" t="s">
        <v>1426</v>
      </c>
      <c r="K2164" s="2" t="s">
        <v>1420</v>
      </c>
    </row>
    <row r="2165" spans="1:11" x14ac:dyDescent="0.2">
      <c r="A2165" s="3" t="s">
        <v>1385</v>
      </c>
      <c r="B2165" s="3" t="s">
        <v>1391</v>
      </c>
      <c r="C2165" s="3" t="s">
        <v>1392</v>
      </c>
      <c r="D2165" s="3" t="s">
        <v>1446</v>
      </c>
      <c r="E2165" s="3" t="s">
        <v>1447</v>
      </c>
      <c r="F2165" s="3">
        <v>2.39</v>
      </c>
      <c r="G2165" s="3" t="s">
        <v>1415</v>
      </c>
      <c r="H2165" s="3">
        <v>2.1</v>
      </c>
      <c r="I2165" s="3">
        <v>2.6</v>
      </c>
      <c r="J2165" s="3" t="s">
        <v>1416</v>
      </c>
      <c r="K2165" s="3" t="s">
        <v>1420</v>
      </c>
    </row>
    <row r="2166" spans="1:11" x14ac:dyDescent="0.2">
      <c r="A2166" s="2" t="s">
        <v>1385</v>
      </c>
      <c r="B2166" s="2" t="s">
        <v>1391</v>
      </c>
      <c r="C2166" s="2" t="s">
        <v>1392</v>
      </c>
      <c r="D2166" s="2" t="s">
        <v>1427</v>
      </c>
      <c r="E2166" s="2" t="s">
        <v>1428</v>
      </c>
      <c r="F2166" s="2">
        <v>13.84</v>
      </c>
      <c r="G2166" s="2" t="s">
        <v>1429</v>
      </c>
      <c r="H2166" s="2">
        <v>4</v>
      </c>
      <c r="I2166" s="2">
        <v>11</v>
      </c>
      <c r="J2166" s="5" t="s">
        <v>1426</v>
      </c>
      <c r="K2166" s="2" t="s">
        <v>1420</v>
      </c>
    </row>
    <row r="2167" spans="1:11" x14ac:dyDescent="0.2">
      <c r="A2167" s="3" t="s">
        <v>1385</v>
      </c>
      <c r="B2167" s="3" t="s">
        <v>1391</v>
      </c>
      <c r="C2167" s="3" t="s">
        <v>1392</v>
      </c>
      <c r="D2167" s="3" t="s">
        <v>1437</v>
      </c>
      <c r="E2167" s="3" t="s">
        <v>1438</v>
      </c>
      <c r="F2167" s="3">
        <v>13.13</v>
      </c>
      <c r="G2167" s="3" t="s">
        <v>1439</v>
      </c>
      <c r="H2167" s="3">
        <v>12</v>
      </c>
      <c r="I2167" s="3">
        <v>17.5</v>
      </c>
      <c r="J2167" s="3" t="s">
        <v>1416</v>
      </c>
      <c r="K2167" s="3" t="s">
        <v>1417</v>
      </c>
    </row>
    <row r="2168" spans="1:11" x14ac:dyDescent="0.2">
      <c r="A2168" s="2" t="s">
        <v>1385</v>
      </c>
      <c r="B2168" s="2" t="s">
        <v>1391</v>
      </c>
      <c r="C2168" s="2" t="s">
        <v>1392</v>
      </c>
      <c r="D2168" s="2" t="s">
        <v>1443</v>
      </c>
      <c r="E2168" s="2" t="s">
        <v>1444</v>
      </c>
      <c r="F2168" s="2">
        <v>75.92</v>
      </c>
      <c r="G2168" s="2" t="s">
        <v>1445</v>
      </c>
      <c r="H2168" s="2">
        <v>53</v>
      </c>
      <c r="I2168" s="2">
        <v>97</v>
      </c>
      <c r="J2168" s="2" t="s">
        <v>1416</v>
      </c>
      <c r="K2168" s="2" t="s">
        <v>1417</v>
      </c>
    </row>
    <row r="2169" spans="1:11" x14ac:dyDescent="0.2">
      <c r="A2169" s="3" t="s">
        <v>1385</v>
      </c>
      <c r="B2169" s="3" t="s">
        <v>1391</v>
      </c>
      <c r="C2169" s="3" t="s">
        <v>1392</v>
      </c>
      <c r="D2169" s="3" t="s">
        <v>1435</v>
      </c>
      <c r="E2169" s="3" t="s">
        <v>1436</v>
      </c>
      <c r="F2169" s="3">
        <v>0.78</v>
      </c>
      <c r="G2169" s="3" t="s">
        <v>1415</v>
      </c>
      <c r="H2169" s="3">
        <v>0.8</v>
      </c>
      <c r="I2169" s="3">
        <v>1.5</v>
      </c>
      <c r="J2169" s="5" t="s">
        <v>1430</v>
      </c>
      <c r="K2169" s="3" t="s">
        <v>1420</v>
      </c>
    </row>
    <row r="2170" spans="1:11" x14ac:dyDescent="0.2">
      <c r="A2170" s="2" t="s">
        <v>1385</v>
      </c>
      <c r="B2170" s="2" t="s">
        <v>1394</v>
      </c>
      <c r="C2170" s="2" t="s">
        <v>1395</v>
      </c>
      <c r="D2170" s="2" t="s">
        <v>1418</v>
      </c>
      <c r="E2170" s="2" t="s">
        <v>1419</v>
      </c>
      <c r="F2170" s="2">
        <v>4.8499999999999996</v>
      </c>
      <c r="G2170" s="2" t="s">
        <v>1415</v>
      </c>
      <c r="H2170" s="2">
        <v>3.5</v>
      </c>
      <c r="I2170" s="2">
        <v>5</v>
      </c>
      <c r="J2170" s="2" t="s">
        <v>1416</v>
      </c>
      <c r="K2170" s="2" t="s">
        <v>1434</v>
      </c>
    </row>
    <row r="2171" spans="1:11" x14ac:dyDescent="0.2">
      <c r="A2171" s="3" t="s">
        <v>1385</v>
      </c>
      <c r="B2171" s="3" t="s">
        <v>1394</v>
      </c>
      <c r="C2171" s="3" t="s">
        <v>1395</v>
      </c>
      <c r="D2171" s="3" t="s">
        <v>1435</v>
      </c>
      <c r="E2171" s="3" t="s">
        <v>1436</v>
      </c>
      <c r="F2171" s="3">
        <v>1.1399999999999999</v>
      </c>
      <c r="G2171" s="3" t="s">
        <v>1415</v>
      </c>
      <c r="H2171" s="3">
        <v>0.8</v>
      </c>
      <c r="I2171" s="3">
        <v>1.5</v>
      </c>
      <c r="J2171" s="3" t="s">
        <v>1416</v>
      </c>
      <c r="K2171" s="3" t="s">
        <v>1434</v>
      </c>
    </row>
    <row r="2172" spans="1:11" x14ac:dyDescent="0.2">
      <c r="A2172" s="2" t="s">
        <v>1385</v>
      </c>
      <c r="B2172" s="2" t="s">
        <v>1394</v>
      </c>
      <c r="C2172" s="2" t="s">
        <v>1395</v>
      </c>
      <c r="D2172" s="2" t="s">
        <v>1450</v>
      </c>
      <c r="E2172" s="2" t="s">
        <v>1451</v>
      </c>
      <c r="F2172" s="2">
        <v>94.92</v>
      </c>
      <c r="G2172" s="2" t="s">
        <v>1452</v>
      </c>
      <c r="H2172" s="2">
        <v>60</v>
      </c>
      <c r="I2172" s="2">
        <v>120</v>
      </c>
      <c r="J2172" s="2" t="s">
        <v>1416</v>
      </c>
      <c r="K2172" s="2" t="s">
        <v>1420</v>
      </c>
    </row>
    <row r="2173" spans="1:11" x14ac:dyDescent="0.2">
      <c r="A2173" s="3" t="s">
        <v>1385</v>
      </c>
      <c r="B2173" s="3" t="s">
        <v>1394</v>
      </c>
      <c r="C2173" s="3" t="s">
        <v>1395</v>
      </c>
      <c r="D2173" s="3" t="s">
        <v>1453</v>
      </c>
      <c r="E2173" s="3" t="s">
        <v>1454</v>
      </c>
      <c r="F2173" s="3">
        <v>5.21</v>
      </c>
      <c r="G2173" s="3" t="s">
        <v>1415</v>
      </c>
      <c r="H2173" s="3">
        <v>3.9</v>
      </c>
      <c r="I2173" s="3">
        <v>5.5</v>
      </c>
      <c r="J2173" s="3" t="s">
        <v>1416</v>
      </c>
      <c r="K2173" s="3" t="s">
        <v>1417</v>
      </c>
    </row>
    <row r="2174" spans="1:11" x14ac:dyDescent="0.2">
      <c r="A2174" s="2" t="s">
        <v>1385</v>
      </c>
      <c r="B2174" s="2" t="s">
        <v>1394</v>
      </c>
      <c r="C2174" s="2" t="s">
        <v>1395</v>
      </c>
      <c r="D2174" s="2" t="s">
        <v>1421</v>
      </c>
      <c r="E2174" s="2" t="s">
        <v>1422</v>
      </c>
      <c r="F2174" s="2">
        <v>4.71</v>
      </c>
      <c r="G2174" s="2" t="s">
        <v>1415</v>
      </c>
      <c r="H2174" s="2">
        <v>0</v>
      </c>
      <c r="I2174" s="2">
        <v>5</v>
      </c>
      <c r="J2174" s="2" t="s">
        <v>1416</v>
      </c>
      <c r="K2174" s="2" t="s">
        <v>1431</v>
      </c>
    </row>
    <row r="2175" spans="1:11" x14ac:dyDescent="0.2">
      <c r="A2175" s="3" t="s">
        <v>1385</v>
      </c>
      <c r="B2175" s="3" t="s">
        <v>1394</v>
      </c>
      <c r="C2175" s="3" t="s">
        <v>1395</v>
      </c>
      <c r="D2175" s="3" t="s">
        <v>1448</v>
      </c>
      <c r="E2175" s="3" t="s">
        <v>1449</v>
      </c>
      <c r="F2175" s="3">
        <v>141.13</v>
      </c>
      <c r="G2175" s="3" t="s">
        <v>1415</v>
      </c>
      <c r="H2175" s="3">
        <v>136</v>
      </c>
      <c r="I2175" s="3">
        <v>145</v>
      </c>
      <c r="J2175" s="3" t="s">
        <v>1416</v>
      </c>
      <c r="K2175" s="3" t="s">
        <v>1434</v>
      </c>
    </row>
    <row r="2176" spans="1:11" x14ac:dyDescent="0.2">
      <c r="A2176" s="2" t="s">
        <v>1385</v>
      </c>
      <c r="B2176" s="2" t="s">
        <v>1394</v>
      </c>
      <c r="C2176" s="2" t="s">
        <v>1395</v>
      </c>
      <c r="D2176" s="2" t="s">
        <v>1440</v>
      </c>
      <c r="E2176" s="2" t="s">
        <v>1441</v>
      </c>
      <c r="F2176" s="2">
        <v>11.19</v>
      </c>
      <c r="G2176" s="2" t="s">
        <v>1442</v>
      </c>
      <c r="H2176" s="2">
        <v>4</v>
      </c>
      <c r="I2176" s="2">
        <v>5.6</v>
      </c>
      <c r="J2176" s="5" t="s">
        <v>1426</v>
      </c>
      <c r="K2176" s="2" t="s">
        <v>1431</v>
      </c>
    </row>
    <row r="2177" spans="1:11" x14ac:dyDescent="0.2">
      <c r="A2177" s="3" t="s">
        <v>1385</v>
      </c>
      <c r="B2177" s="3" t="s">
        <v>1394</v>
      </c>
      <c r="C2177" s="3" t="s">
        <v>1395</v>
      </c>
      <c r="D2177" s="3" t="s">
        <v>1437</v>
      </c>
      <c r="E2177" s="3" t="s">
        <v>1438</v>
      </c>
      <c r="F2177" s="3">
        <v>6.31</v>
      </c>
      <c r="G2177" s="3" t="s">
        <v>1439</v>
      </c>
      <c r="H2177" s="3">
        <v>12</v>
      </c>
      <c r="I2177" s="3">
        <v>17.5</v>
      </c>
      <c r="J2177" s="5" t="s">
        <v>1430</v>
      </c>
      <c r="K2177" s="3" t="s">
        <v>1434</v>
      </c>
    </row>
    <row r="2178" spans="1:11" x14ac:dyDescent="0.2">
      <c r="A2178" s="2" t="s">
        <v>1385</v>
      </c>
      <c r="B2178" s="2" t="s">
        <v>1397</v>
      </c>
      <c r="C2178" s="2" t="s">
        <v>1398</v>
      </c>
      <c r="D2178" s="2" t="s">
        <v>1453</v>
      </c>
      <c r="E2178" s="2" t="s">
        <v>1454</v>
      </c>
      <c r="F2178" s="2">
        <v>4.34</v>
      </c>
      <c r="G2178" s="2" t="s">
        <v>1415</v>
      </c>
      <c r="H2178" s="2">
        <v>3.9</v>
      </c>
      <c r="I2178" s="2">
        <v>5.5</v>
      </c>
      <c r="J2178" s="2" t="s">
        <v>1416</v>
      </c>
      <c r="K2178" s="2" t="s">
        <v>1417</v>
      </c>
    </row>
    <row r="2179" spans="1:11" x14ac:dyDescent="0.2">
      <c r="A2179" s="3" t="s">
        <v>1385</v>
      </c>
      <c r="B2179" s="3" t="s">
        <v>1397</v>
      </c>
      <c r="C2179" s="3" t="s">
        <v>1398</v>
      </c>
      <c r="D2179" s="3" t="s">
        <v>1421</v>
      </c>
      <c r="E2179" s="3" t="s">
        <v>1422</v>
      </c>
      <c r="F2179" s="3">
        <v>7.3</v>
      </c>
      <c r="G2179" s="3" t="s">
        <v>1415</v>
      </c>
      <c r="H2179" s="3">
        <v>0</v>
      </c>
      <c r="I2179" s="3">
        <v>5</v>
      </c>
      <c r="J2179" s="5" t="s">
        <v>1426</v>
      </c>
      <c r="K2179" s="3" t="s">
        <v>1417</v>
      </c>
    </row>
    <row r="2180" spans="1:11" x14ac:dyDescent="0.2">
      <c r="A2180" s="2" t="s">
        <v>1385</v>
      </c>
      <c r="B2180" s="2" t="s">
        <v>1397</v>
      </c>
      <c r="C2180" s="2" t="s">
        <v>1398</v>
      </c>
      <c r="D2180" s="2" t="s">
        <v>1440</v>
      </c>
      <c r="E2180" s="2" t="s">
        <v>1441</v>
      </c>
      <c r="F2180" s="2">
        <v>11.14</v>
      </c>
      <c r="G2180" s="2" t="s">
        <v>1442</v>
      </c>
      <c r="H2180" s="2">
        <v>4</v>
      </c>
      <c r="I2180" s="2">
        <v>5.6</v>
      </c>
      <c r="J2180" s="5" t="s">
        <v>1426</v>
      </c>
      <c r="K2180" s="2" t="s">
        <v>1417</v>
      </c>
    </row>
    <row r="2181" spans="1:11" x14ac:dyDescent="0.2">
      <c r="A2181" s="3" t="s">
        <v>1385</v>
      </c>
      <c r="B2181" s="3" t="s">
        <v>1397</v>
      </c>
      <c r="C2181" s="3" t="s">
        <v>1398</v>
      </c>
      <c r="D2181" s="3" t="s">
        <v>1437</v>
      </c>
      <c r="E2181" s="3" t="s">
        <v>1438</v>
      </c>
      <c r="F2181" s="3">
        <v>6.14</v>
      </c>
      <c r="G2181" s="3" t="s">
        <v>1439</v>
      </c>
      <c r="H2181" s="3">
        <v>12</v>
      </c>
      <c r="I2181" s="3">
        <v>17.5</v>
      </c>
      <c r="J2181" s="5" t="s">
        <v>1430</v>
      </c>
      <c r="K2181" s="3" t="s">
        <v>1420</v>
      </c>
    </row>
    <row r="2182" spans="1:11" x14ac:dyDescent="0.2">
      <c r="A2182" s="2" t="s">
        <v>1385</v>
      </c>
      <c r="B2182" s="2" t="s">
        <v>1397</v>
      </c>
      <c r="C2182" s="2" t="s">
        <v>1398</v>
      </c>
      <c r="D2182" s="2" t="s">
        <v>1455</v>
      </c>
      <c r="E2182" s="2" t="s">
        <v>1456</v>
      </c>
      <c r="F2182" s="2">
        <v>139.81</v>
      </c>
      <c r="G2182" s="2" t="s">
        <v>1457</v>
      </c>
      <c r="H2182" s="2">
        <v>40</v>
      </c>
      <c r="I2182" s="2">
        <v>130</v>
      </c>
      <c r="J2182" s="5" t="s">
        <v>1426</v>
      </c>
      <c r="K2182" s="2" t="s">
        <v>1420</v>
      </c>
    </row>
    <row r="2183" spans="1:11" x14ac:dyDescent="0.2">
      <c r="A2183" s="3" t="s">
        <v>1385</v>
      </c>
      <c r="B2183" s="3" t="s">
        <v>1400</v>
      </c>
      <c r="C2183" s="3" t="s">
        <v>252</v>
      </c>
      <c r="D2183" s="3" t="s">
        <v>1413</v>
      </c>
      <c r="E2183" s="3" t="s">
        <v>1414</v>
      </c>
      <c r="F2183" s="3">
        <v>2.08</v>
      </c>
      <c r="G2183" s="3" t="s">
        <v>1415</v>
      </c>
      <c r="H2183" s="3">
        <v>1</v>
      </c>
      <c r="I2183" s="3">
        <v>5</v>
      </c>
      <c r="J2183" s="3" t="s">
        <v>1416</v>
      </c>
      <c r="K2183" s="3" t="s">
        <v>1434</v>
      </c>
    </row>
    <row r="2184" spans="1:11" x14ac:dyDescent="0.2">
      <c r="A2184" s="2" t="s">
        <v>1385</v>
      </c>
      <c r="B2184" s="2" t="s">
        <v>1400</v>
      </c>
      <c r="C2184" s="2" t="s">
        <v>252</v>
      </c>
      <c r="D2184" s="2" t="s">
        <v>1418</v>
      </c>
      <c r="E2184" s="2" t="s">
        <v>1419</v>
      </c>
      <c r="F2184" s="2">
        <v>4.76</v>
      </c>
      <c r="G2184" s="2" t="s">
        <v>1415</v>
      </c>
      <c r="H2184" s="2">
        <v>3.5</v>
      </c>
      <c r="I2184" s="2">
        <v>5</v>
      </c>
      <c r="J2184" s="2" t="s">
        <v>1416</v>
      </c>
      <c r="K2184" s="2" t="s">
        <v>1434</v>
      </c>
    </row>
    <row r="2185" spans="1:11" x14ac:dyDescent="0.2">
      <c r="A2185" s="3" t="s">
        <v>1385</v>
      </c>
      <c r="B2185" s="3" t="s">
        <v>1400</v>
      </c>
      <c r="C2185" s="3" t="s">
        <v>252</v>
      </c>
      <c r="D2185" s="3" t="s">
        <v>1423</v>
      </c>
      <c r="E2185" s="3" t="s">
        <v>1424</v>
      </c>
      <c r="F2185" s="3">
        <v>4.5</v>
      </c>
      <c r="G2185" s="3" t="s">
        <v>1425</v>
      </c>
      <c r="H2185" s="3">
        <v>4.5</v>
      </c>
      <c r="I2185" s="3">
        <v>5.5</v>
      </c>
      <c r="J2185" s="3" t="s">
        <v>1416</v>
      </c>
      <c r="K2185" s="3" t="s">
        <v>1420</v>
      </c>
    </row>
    <row r="2186" spans="1:11" x14ac:dyDescent="0.2">
      <c r="A2186" s="2" t="s">
        <v>1385</v>
      </c>
      <c r="B2186" s="2" t="s">
        <v>1400</v>
      </c>
      <c r="C2186" s="2" t="s">
        <v>252</v>
      </c>
      <c r="D2186" s="2" t="s">
        <v>1450</v>
      </c>
      <c r="E2186" s="2" t="s">
        <v>1451</v>
      </c>
      <c r="F2186" s="2">
        <v>18.57</v>
      </c>
      <c r="G2186" s="2" t="s">
        <v>1452</v>
      </c>
      <c r="H2186" s="2">
        <v>60</v>
      </c>
      <c r="I2186" s="2">
        <v>120</v>
      </c>
      <c r="J2186" s="5" t="s">
        <v>1430</v>
      </c>
      <c r="K2186" s="2" t="s">
        <v>1417</v>
      </c>
    </row>
    <row r="2187" spans="1:11" x14ac:dyDescent="0.2">
      <c r="A2187" s="3" t="s">
        <v>1402</v>
      </c>
      <c r="B2187" s="3" t="s">
        <v>1403</v>
      </c>
      <c r="C2187" s="3" t="s">
        <v>1040</v>
      </c>
      <c r="D2187" s="3" t="s">
        <v>1450</v>
      </c>
      <c r="E2187" s="3" t="s">
        <v>1451</v>
      </c>
      <c r="F2187" s="3">
        <v>86.33</v>
      </c>
      <c r="G2187" s="3" t="s">
        <v>1452</v>
      </c>
      <c r="H2187" s="3">
        <v>60</v>
      </c>
      <c r="I2187" s="3">
        <v>120</v>
      </c>
      <c r="J2187" s="3" t="s">
        <v>1416</v>
      </c>
      <c r="K2187" s="3" t="s">
        <v>1420</v>
      </c>
    </row>
    <row r="2188" spans="1:11" x14ac:dyDescent="0.2">
      <c r="A2188" s="2" t="s">
        <v>1402</v>
      </c>
      <c r="B2188" s="2" t="s">
        <v>1403</v>
      </c>
      <c r="C2188" s="2" t="s">
        <v>1040</v>
      </c>
      <c r="D2188" s="2" t="s">
        <v>1427</v>
      </c>
      <c r="E2188" s="2" t="s">
        <v>1428</v>
      </c>
      <c r="F2188" s="2">
        <v>17.21</v>
      </c>
      <c r="G2188" s="2" t="s">
        <v>1429</v>
      </c>
      <c r="H2188" s="2">
        <v>4</v>
      </c>
      <c r="I2188" s="2">
        <v>11</v>
      </c>
      <c r="J2188" s="5" t="s">
        <v>1426</v>
      </c>
      <c r="K2188" s="2" t="s">
        <v>1417</v>
      </c>
    </row>
    <row r="2189" spans="1:11" x14ac:dyDescent="0.2">
      <c r="A2189" s="3" t="s">
        <v>1402</v>
      </c>
      <c r="B2189" s="3" t="s">
        <v>1403</v>
      </c>
      <c r="C2189" s="3" t="s">
        <v>1040</v>
      </c>
      <c r="D2189" s="3" t="s">
        <v>1455</v>
      </c>
      <c r="E2189" s="3" t="s">
        <v>1456</v>
      </c>
      <c r="F2189" s="3">
        <v>348.28</v>
      </c>
      <c r="G2189" s="3" t="s">
        <v>1457</v>
      </c>
      <c r="H2189" s="3">
        <v>40</v>
      </c>
      <c r="I2189" s="3">
        <v>130</v>
      </c>
      <c r="J2189" s="5" t="s">
        <v>1426</v>
      </c>
      <c r="K2189" s="3" t="s">
        <v>1417</v>
      </c>
    </row>
    <row r="2190" spans="1:11" x14ac:dyDescent="0.2">
      <c r="A2190" s="2" t="s">
        <v>1402</v>
      </c>
      <c r="B2190" s="2" t="s">
        <v>1403</v>
      </c>
      <c r="C2190" s="2" t="s">
        <v>1040</v>
      </c>
      <c r="D2190" s="2" t="s">
        <v>1453</v>
      </c>
      <c r="E2190" s="2" t="s">
        <v>1454</v>
      </c>
      <c r="F2190" s="2">
        <v>4.1900000000000004</v>
      </c>
      <c r="G2190" s="2" t="s">
        <v>1415</v>
      </c>
      <c r="H2190" s="2">
        <v>3.9</v>
      </c>
      <c r="I2190" s="2">
        <v>5.5</v>
      </c>
      <c r="J2190" s="2" t="s">
        <v>1416</v>
      </c>
      <c r="K2190" s="2" t="s">
        <v>1417</v>
      </c>
    </row>
    <row r="2191" spans="1:11" x14ac:dyDescent="0.2">
      <c r="A2191" s="3" t="s">
        <v>1402</v>
      </c>
      <c r="B2191" s="3" t="s">
        <v>1403</v>
      </c>
      <c r="C2191" s="3" t="s">
        <v>1040</v>
      </c>
      <c r="D2191" s="3" t="s">
        <v>1418</v>
      </c>
      <c r="E2191" s="3" t="s">
        <v>1419</v>
      </c>
      <c r="F2191" s="3">
        <v>4.95</v>
      </c>
      <c r="G2191" s="3" t="s">
        <v>1415</v>
      </c>
      <c r="H2191" s="3">
        <v>3.5</v>
      </c>
      <c r="I2191" s="3">
        <v>5</v>
      </c>
      <c r="J2191" s="3" t="s">
        <v>1416</v>
      </c>
      <c r="K2191" s="3" t="s">
        <v>1434</v>
      </c>
    </row>
    <row r="2192" spans="1:11" x14ac:dyDescent="0.2">
      <c r="A2192" s="2" t="s">
        <v>1402</v>
      </c>
      <c r="B2192" s="2" t="s">
        <v>1403</v>
      </c>
      <c r="C2192" s="2" t="s">
        <v>1040</v>
      </c>
      <c r="D2192" s="2" t="s">
        <v>1423</v>
      </c>
      <c r="E2192" s="2" t="s">
        <v>1424</v>
      </c>
      <c r="F2192" s="2">
        <v>4.42</v>
      </c>
      <c r="G2192" s="2" t="s">
        <v>1425</v>
      </c>
      <c r="H2192" s="2">
        <v>4.5</v>
      </c>
      <c r="I2192" s="2">
        <v>5.5</v>
      </c>
      <c r="J2192" s="5" t="s">
        <v>1430</v>
      </c>
      <c r="K2192" s="2" t="s">
        <v>1434</v>
      </c>
    </row>
  </sheetData>
  <autoFilter ref="A1:K1" xr:uid="{00000000-0009-0000-0000-000002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workbookViewId="0"/>
  </sheetViews>
  <sheetFormatPr baseColWidth="10" defaultColWidth="8.83203125" defaultRowHeight="15" x14ac:dyDescent="0.2"/>
  <cols>
    <col min="1" max="1" width="22" customWidth="1"/>
    <col min="2" max="2" width="38" customWidth="1"/>
    <col min="3" max="3" width="10" customWidth="1"/>
    <col min="4" max="4" width="20" customWidth="1"/>
  </cols>
  <sheetData>
    <row r="1" spans="1:4" x14ac:dyDescent="0.2">
      <c r="A1" s="1" t="s">
        <v>1458</v>
      </c>
      <c r="B1" s="1" t="s">
        <v>1459</v>
      </c>
      <c r="C1" s="1" t="s">
        <v>1460</v>
      </c>
      <c r="D1" s="1" t="s">
        <v>1461</v>
      </c>
    </row>
    <row r="2" spans="1:4" x14ac:dyDescent="0.2">
      <c r="A2" s="2" t="s">
        <v>504</v>
      </c>
      <c r="B2" s="2" t="s">
        <v>505</v>
      </c>
      <c r="C2" s="2" t="s">
        <v>69</v>
      </c>
      <c r="D2" s="2" t="s">
        <v>1462</v>
      </c>
    </row>
    <row r="3" spans="1:4" x14ac:dyDescent="0.2">
      <c r="A3" s="3" t="s">
        <v>315</v>
      </c>
      <c r="B3" s="3" t="s">
        <v>316</v>
      </c>
      <c r="C3" s="3" t="s">
        <v>69</v>
      </c>
      <c r="D3" s="3" t="s">
        <v>1463</v>
      </c>
    </row>
    <row r="4" spans="1:4" x14ac:dyDescent="0.2">
      <c r="A4" s="2" t="s">
        <v>195</v>
      </c>
      <c r="B4" s="2" t="s">
        <v>196</v>
      </c>
      <c r="C4" s="2" t="s">
        <v>69</v>
      </c>
      <c r="D4" s="2" t="s">
        <v>1464</v>
      </c>
    </row>
    <row r="5" spans="1:4" x14ac:dyDescent="0.2">
      <c r="A5" s="3" t="s">
        <v>142</v>
      </c>
      <c r="B5" s="3" t="s">
        <v>143</v>
      </c>
      <c r="C5" s="3" t="s">
        <v>48</v>
      </c>
      <c r="D5" s="3" t="s">
        <v>1462</v>
      </c>
    </row>
    <row r="6" spans="1:4" x14ac:dyDescent="0.2">
      <c r="A6" s="2" t="s">
        <v>305</v>
      </c>
      <c r="B6" s="2" t="s">
        <v>306</v>
      </c>
      <c r="C6" s="2" t="s">
        <v>48</v>
      </c>
      <c r="D6" s="2" t="s">
        <v>1465</v>
      </c>
    </row>
    <row r="7" spans="1:4" x14ac:dyDescent="0.2">
      <c r="A7" s="3" t="s">
        <v>497</v>
      </c>
      <c r="B7" s="3" t="s">
        <v>498</v>
      </c>
      <c r="C7" s="3" t="s">
        <v>69</v>
      </c>
      <c r="D7" s="3" t="s">
        <v>1463</v>
      </c>
    </row>
    <row r="8" spans="1:4" x14ac:dyDescent="0.2">
      <c r="A8" s="2" t="s">
        <v>211</v>
      </c>
      <c r="B8" s="2" t="s">
        <v>212</v>
      </c>
      <c r="C8" s="2" t="s">
        <v>48</v>
      </c>
      <c r="D8" s="2" t="s">
        <v>1466</v>
      </c>
    </row>
    <row r="9" spans="1:4" x14ac:dyDescent="0.2">
      <c r="A9" s="3" t="s">
        <v>46</v>
      </c>
      <c r="B9" s="3" t="s">
        <v>47</v>
      </c>
      <c r="C9" s="3" t="s">
        <v>48</v>
      </c>
      <c r="D9" s="3" t="s">
        <v>1467</v>
      </c>
    </row>
    <row r="10" spans="1:4" x14ac:dyDescent="0.2">
      <c r="A10" s="2" t="s">
        <v>254</v>
      </c>
      <c r="B10" s="2" t="s">
        <v>255</v>
      </c>
      <c r="C10" s="2" t="s">
        <v>69</v>
      </c>
      <c r="D10" s="2" t="s">
        <v>1464</v>
      </c>
    </row>
    <row r="11" spans="1:4" x14ac:dyDescent="0.2">
      <c r="A11" s="3" t="s">
        <v>183</v>
      </c>
      <c r="B11" s="3" t="s">
        <v>184</v>
      </c>
      <c r="C11" s="3" t="s">
        <v>48</v>
      </c>
      <c r="D11" s="3" t="s">
        <v>1468</v>
      </c>
    </row>
    <row r="12" spans="1:4" x14ac:dyDescent="0.2">
      <c r="A12" s="2" t="s">
        <v>67</v>
      </c>
      <c r="B12" s="2" t="s">
        <v>68</v>
      </c>
      <c r="C12" s="2" t="s">
        <v>69</v>
      </c>
      <c r="D12" s="2" t="s">
        <v>1463</v>
      </c>
    </row>
    <row r="13" spans="1:4" x14ac:dyDescent="0.2">
      <c r="A13" s="3" t="s">
        <v>328</v>
      </c>
      <c r="B13" s="3" t="s">
        <v>329</v>
      </c>
      <c r="C13" s="3" t="s">
        <v>69</v>
      </c>
      <c r="D13" s="3" t="s">
        <v>1469</v>
      </c>
    </row>
    <row r="14" spans="1:4" x14ac:dyDescent="0.2">
      <c r="A14" s="2" t="s">
        <v>150</v>
      </c>
      <c r="B14" s="2" t="s">
        <v>151</v>
      </c>
      <c r="C14" s="2" t="s">
        <v>69</v>
      </c>
      <c r="D14" s="2" t="s">
        <v>1470</v>
      </c>
    </row>
    <row r="15" spans="1:4" x14ac:dyDescent="0.2">
      <c r="A15" s="3" t="s">
        <v>126</v>
      </c>
      <c r="B15" s="3" t="s">
        <v>127</v>
      </c>
      <c r="C15" s="3" t="s">
        <v>69</v>
      </c>
      <c r="D15" s="3" t="s">
        <v>1466</v>
      </c>
    </row>
    <row r="16" spans="1:4" x14ac:dyDescent="0.2">
      <c r="A16" s="2" t="s">
        <v>82</v>
      </c>
      <c r="B16" s="2" t="s">
        <v>83</v>
      </c>
      <c r="C16" s="2" t="s">
        <v>69</v>
      </c>
      <c r="D16" s="2" t="s">
        <v>1471</v>
      </c>
    </row>
    <row r="17" spans="1:4" x14ac:dyDescent="0.2">
      <c r="A17" s="3" t="s">
        <v>157</v>
      </c>
      <c r="B17" s="3" t="s">
        <v>158</v>
      </c>
      <c r="C17" s="3" t="s">
        <v>69</v>
      </c>
      <c r="D17" s="3" t="s">
        <v>1472</v>
      </c>
    </row>
    <row r="18" spans="1:4" x14ac:dyDescent="0.2">
      <c r="A18" s="2" t="s">
        <v>283</v>
      </c>
      <c r="B18" s="2" t="s">
        <v>284</v>
      </c>
      <c r="C18" s="2" t="s">
        <v>69</v>
      </c>
      <c r="D18" s="2" t="s">
        <v>1472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workbookViewId="0"/>
  </sheetViews>
  <sheetFormatPr baseColWidth="10" defaultColWidth="8.83203125" defaultRowHeight="15" x14ac:dyDescent="0.2"/>
  <cols>
    <col min="1" max="1" width="14" customWidth="1"/>
    <col min="2" max="2" width="34" customWidth="1"/>
    <col min="3" max="3" width="16" customWidth="1"/>
    <col min="4" max="5" width="12" customWidth="1"/>
    <col min="6" max="6" width="18" customWidth="1"/>
  </cols>
  <sheetData>
    <row r="1" spans="1:6" x14ac:dyDescent="0.2">
      <c r="A1" s="1" t="s">
        <v>1405</v>
      </c>
      <c r="B1" s="1" t="s">
        <v>1406</v>
      </c>
      <c r="C1" s="1" t="s">
        <v>1408</v>
      </c>
      <c r="D1" s="1" t="s">
        <v>1473</v>
      </c>
      <c r="E1" s="1" t="s">
        <v>1474</v>
      </c>
      <c r="F1" s="1" t="s">
        <v>1461</v>
      </c>
    </row>
    <row r="2" spans="1:6" x14ac:dyDescent="0.2">
      <c r="A2" s="2" t="s">
        <v>1443</v>
      </c>
      <c r="B2" s="2" t="s">
        <v>1444</v>
      </c>
      <c r="C2" s="2" t="s">
        <v>1445</v>
      </c>
      <c r="D2" s="2">
        <v>53</v>
      </c>
      <c r="E2" s="2">
        <v>97</v>
      </c>
      <c r="F2" s="2" t="s">
        <v>1475</v>
      </c>
    </row>
    <row r="3" spans="1:6" x14ac:dyDescent="0.2">
      <c r="A3" s="3" t="s">
        <v>1453</v>
      </c>
      <c r="B3" s="3" t="s">
        <v>1454</v>
      </c>
      <c r="C3" s="3" t="s">
        <v>1415</v>
      </c>
      <c r="D3" s="3">
        <v>3.9</v>
      </c>
      <c r="E3" s="3">
        <v>5.5</v>
      </c>
      <c r="F3" s="3" t="s">
        <v>1475</v>
      </c>
    </row>
    <row r="4" spans="1:6" x14ac:dyDescent="0.2">
      <c r="A4" s="2" t="s">
        <v>1440</v>
      </c>
      <c r="B4" s="2" t="s">
        <v>1441</v>
      </c>
      <c r="C4" s="2" t="s">
        <v>1442</v>
      </c>
      <c r="D4" s="2">
        <v>4</v>
      </c>
      <c r="E4" s="2">
        <v>5.6</v>
      </c>
      <c r="F4" s="2" t="s">
        <v>1475</v>
      </c>
    </row>
    <row r="5" spans="1:6" x14ac:dyDescent="0.2">
      <c r="A5" s="3" t="s">
        <v>1421</v>
      </c>
      <c r="B5" s="3" t="s">
        <v>1422</v>
      </c>
      <c r="C5" s="3" t="s">
        <v>1415</v>
      </c>
      <c r="D5" s="3">
        <v>0</v>
      </c>
      <c r="E5" s="3">
        <v>5</v>
      </c>
      <c r="F5" s="3" t="s">
        <v>1475</v>
      </c>
    </row>
    <row r="6" spans="1:6" x14ac:dyDescent="0.2">
      <c r="A6" s="2" t="s">
        <v>1413</v>
      </c>
      <c r="B6" s="2" t="s">
        <v>1414</v>
      </c>
      <c r="C6" s="2" t="s">
        <v>1415</v>
      </c>
      <c r="D6" s="2">
        <v>1</v>
      </c>
      <c r="E6" s="2">
        <v>5</v>
      </c>
      <c r="F6" s="2" t="s">
        <v>1475</v>
      </c>
    </row>
    <row r="7" spans="1:6" x14ac:dyDescent="0.2">
      <c r="A7" s="3" t="s">
        <v>1432</v>
      </c>
      <c r="B7" s="3" t="s">
        <v>1433</v>
      </c>
      <c r="C7" s="3" t="s">
        <v>1415</v>
      </c>
      <c r="D7" s="3">
        <v>0</v>
      </c>
      <c r="E7" s="3">
        <v>3</v>
      </c>
      <c r="F7" s="3" t="s">
        <v>1475</v>
      </c>
    </row>
    <row r="8" spans="1:6" x14ac:dyDescent="0.2">
      <c r="A8" s="2" t="s">
        <v>1418</v>
      </c>
      <c r="B8" s="2" t="s">
        <v>1419</v>
      </c>
      <c r="C8" s="2" t="s">
        <v>1415</v>
      </c>
      <c r="D8" s="2">
        <v>3.5</v>
      </c>
      <c r="E8" s="2">
        <v>5</v>
      </c>
      <c r="F8" s="2" t="s">
        <v>1475</v>
      </c>
    </row>
    <row r="9" spans="1:6" x14ac:dyDescent="0.2">
      <c r="A9" s="3" t="s">
        <v>1448</v>
      </c>
      <c r="B9" s="3" t="s">
        <v>1449</v>
      </c>
      <c r="C9" s="3" t="s">
        <v>1415</v>
      </c>
      <c r="D9" s="3">
        <v>136</v>
      </c>
      <c r="E9" s="3">
        <v>145</v>
      </c>
      <c r="F9" s="3" t="s">
        <v>1475</v>
      </c>
    </row>
    <row r="10" spans="1:6" x14ac:dyDescent="0.2">
      <c r="A10" s="2" t="s">
        <v>1427</v>
      </c>
      <c r="B10" s="2" t="s">
        <v>1428</v>
      </c>
      <c r="C10" s="2" t="s">
        <v>1429</v>
      </c>
      <c r="D10" s="2">
        <v>4</v>
      </c>
      <c r="E10" s="2">
        <v>11</v>
      </c>
      <c r="F10" s="2" t="s">
        <v>1475</v>
      </c>
    </row>
    <row r="11" spans="1:6" x14ac:dyDescent="0.2">
      <c r="A11" s="3" t="s">
        <v>1423</v>
      </c>
      <c r="B11" s="3" t="s">
        <v>1424</v>
      </c>
      <c r="C11" s="3" t="s">
        <v>1425</v>
      </c>
      <c r="D11" s="3">
        <v>4.5</v>
      </c>
      <c r="E11" s="3">
        <v>5.5</v>
      </c>
      <c r="F11" s="3" t="s">
        <v>1475</v>
      </c>
    </row>
    <row r="12" spans="1:6" x14ac:dyDescent="0.2">
      <c r="A12" s="2" t="s">
        <v>1437</v>
      </c>
      <c r="B12" s="2" t="s">
        <v>1438</v>
      </c>
      <c r="C12" s="2" t="s">
        <v>1439</v>
      </c>
      <c r="D12" s="2">
        <v>12</v>
      </c>
      <c r="E12" s="2">
        <v>17.5</v>
      </c>
      <c r="F12" s="2" t="s">
        <v>1475</v>
      </c>
    </row>
    <row r="13" spans="1:6" x14ac:dyDescent="0.2">
      <c r="A13" s="3" t="s">
        <v>1435</v>
      </c>
      <c r="B13" s="3" t="s">
        <v>1436</v>
      </c>
      <c r="C13" s="3" t="s">
        <v>1415</v>
      </c>
      <c r="D13" s="3">
        <v>0.8</v>
      </c>
      <c r="E13" s="3">
        <v>1.5</v>
      </c>
      <c r="F13" s="3" t="s">
        <v>1475</v>
      </c>
    </row>
    <row r="14" spans="1:6" x14ac:dyDescent="0.2">
      <c r="A14" s="2" t="s">
        <v>1450</v>
      </c>
      <c r="B14" s="2" t="s">
        <v>1451</v>
      </c>
      <c r="C14" s="2" t="s">
        <v>1452</v>
      </c>
      <c r="D14" s="2">
        <v>60</v>
      </c>
      <c r="E14" s="2">
        <v>120</v>
      </c>
      <c r="F14" s="2" t="s">
        <v>1475</v>
      </c>
    </row>
    <row r="15" spans="1:6" x14ac:dyDescent="0.2">
      <c r="A15" s="3" t="s">
        <v>1446</v>
      </c>
      <c r="B15" s="3" t="s">
        <v>1447</v>
      </c>
      <c r="C15" s="3" t="s">
        <v>1415</v>
      </c>
      <c r="D15" s="3">
        <v>2.1</v>
      </c>
      <c r="E15" s="3">
        <v>2.6</v>
      </c>
      <c r="F15" s="3" t="s">
        <v>1475</v>
      </c>
    </row>
    <row r="16" spans="1:6" x14ac:dyDescent="0.2">
      <c r="A16" s="2" t="s">
        <v>1455</v>
      </c>
      <c r="B16" s="2" t="s">
        <v>1456</v>
      </c>
      <c r="C16" s="2" t="s">
        <v>1457</v>
      </c>
      <c r="D16" s="2">
        <v>40</v>
      </c>
      <c r="E16" s="2">
        <v>130</v>
      </c>
      <c r="F16" s="2" t="s">
        <v>1475</v>
      </c>
    </row>
    <row r="17" spans="1:6" x14ac:dyDescent="0.2">
      <c r="A17" s="3" t="s">
        <v>50</v>
      </c>
      <c r="B17" s="3" t="s">
        <v>1476</v>
      </c>
      <c r="C17" s="3" t="s">
        <v>1477</v>
      </c>
      <c r="D17" s="3">
        <v>80</v>
      </c>
      <c r="E17" s="3">
        <v>190</v>
      </c>
      <c r="F17" s="3" t="s">
        <v>1478</v>
      </c>
    </row>
    <row r="18" spans="1:6" x14ac:dyDescent="0.2">
      <c r="A18" s="2" t="s">
        <v>51</v>
      </c>
      <c r="B18" s="2" t="s">
        <v>1479</v>
      </c>
      <c r="C18" s="2" t="s">
        <v>1477</v>
      </c>
      <c r="D18" s="2">
        <v>50</v>
      </c>
      <c r="E18" s="2">
        <v>120</v>
      </c>
      <c r="F18" s="2" t="s">
        <v>1478</v>
      </c>
    </row>
    <row r="19" spans="1:6" x14ac:dyDescent="0.2">
      <c r="A19" s="3" t="s">
        <v>52</v>
      </c>
      <c r="B19" s="3" t="s">
        <v>1480</v>
      </c>
      <c r="C19" s="3" t="s">
        <v>1481</v>
      </c>
      <c r="D19" s="3">
        <v>60</v>
      </c>
      <c r="E19" s="3">
        <v>100</v>
      </c>
      <c r="F19" s="3" t="s">
        <v>1478</v>
      </c>
    </row>
    <row r="20" spans="1:6" x14ac:dyDescent="0.2">
      <c r="A20" s="2" t="s">
        <v>1482</v>
      </c>
      <c r="B20" s="2" t="s">
        <v>1483</v>
      </c>
      <c r="C20" s="2" t="s">
        <v>1484</v>
      </c>
      <c r="D20" s="2">
        <v>12</v>
      </c>
      <c r="E20" s="2">
        <v>20</v>
      </c>
      <c r="F20" s="2" t="s">
        <v>1478</v>
      </c>
    </row>
    <row r="21" spans="1:6" x14ac:dyDescent="0.2">
      <c r="A21" s="3" t="s">
        <v>1485</v>
      </c>
      <c r="B21" s="3" t="s">
        <v>1486</v>
      </c>
      <c r="C21" s="3" t="s">
        <v>1487</v>
      </c>
      <c r="D21" s="3">
        <v>36.1</v>
      </c>
      <c r="E21" s="3">
        <v>37.200000000000003</v>
      </c>
      <c r="F21" s="3" t="s">
        <v>1478</v>
      </c>
    </row>
    <row r="22" spans="1:6" x14ac:dyDescent="0.2">
      <c r="A22" s="2" t="s">
        <v>53</v>
      </c>
      <c r="B22" s="2" t="s">
        <v>1488</v>
      </c>
      <c r="C22" s="2" t="s">
        <v>1489</v>
      </c>
      <c r="D22" s="2">
        <v>18.5</v>
      </c>
      <c r="E22" s="2">
        <v>24.9</v>
      </c>
      <c r="F22" s="2" t="s">
        <v>1478</v>
      </c>
    </row>
    <row r="23" spans="1:6" x14ac:dyDescent="0.2">
      <c r="A23" s="3" t="s">
        <v>54</v>
      </c>
      <c r="B23" s="3" t="s">
        <v>1490</v>
      </c>
      <c r="C23" s="3" t="s">
        <v>1442</v>
      </c>
      <c r="D23" s="3">
        <v>95</v>
      </c>
      <c r="E23" s="3">
        <v>100</v>
      </c>
      <c r="F23" s="3" t="s">
        <v>1478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5"/>
  <sheetViews>
    <sheetView workbookViewId="0"/>
  </sheetViews>
  <sheetFormatPr baseColWidth="10" defaultColWidth="8.83203125" defaultRowHeight="15" x14ac:dyDescent="0.2"/>
  <cols>
    <col min="1" max="1" width="16" customWidth="1"/>
    <col min="2" max="2" width="24" customWidth="1"/>
    <col min="3" max="3" width="12" customWidth="1"/>
    <col min="4" max="4" width="50" customWidth="1"/>
    <col min="5" max="5" width="42" customWidth="1"/>
    <col min="6" max="6" width="10" customWidth="1"/>
  </cols>
  <sheetData>
    <row r="1" spans="1:6" x14ac:dyDescent="0.2">
      <c r="A1" s="1" t="s">
        <v>1491</v>
      </c>
      <c r="B1" s="1" t="s">
        <v>1492</v>
      </c>
      <c r="C1" s="1" t="s">
        <v>1493</v>
      </c>
      <c r="D1" s="1" t="s">
        <v>1459</v>
      </c>
      <c r="E1" s="1" t="s">
        <v>1494</v>
      </c>
      <c r="F1" s="1" t="s">
        <v>1495</v>
      </c>
    </row>
    <row r="2" spans="1:6" x14ac:dyDescent="0.2">
      <c r="A2" s="2" t="s">
        <v>1496</v>
      </c>
      <c r="B2" s="2" t="s">
        <v>0</v>
      </c>
      <c r="C2" s="2" t="s">
        <v>1497</v>
      </c>
      <c r="D2" s="2" t="s">
        <v>1498</v>
      </c>
      <c r="E2" s="2" t="s">
        <v>1499</v>
      </c>
      <c r="F2" s="2" t="s">
        <v>69</v>
      </c>
    </row>
    <row r="3" spans="1:6" x14ac:dyDescent="0.2">
      <c r="A3" s="3" t="s">
        <v>1496</v>
      </c>
      <c r="B3" s="3" t="s">
        <v>1</v>
      </c>
      <c r="C3" s="3" t="s">
        <v>1497</v>
      </c>
      <c r="D3" s="3" t="s">
        <v>1500</v>
      </c>
      <c r="E3" s="3" t="s">
        <v>1501</v>
      </c>
      <c r="F3" s="3" t="s">
        <v>69</v>
      </c>
    </row>
    <row r="4" spans="1:6" x14ac:dyDescent="0.2">
      <c r="A4" s="2" t="s">
        <v>1496</v>
      </c>
      <c r="B4" s="2" t="s">
        <v>2</v>
      </c>
      <c r="C4" s="2" t="s">
        <v>1502</v>
      </c>
      <c r="D4" s="2" t="s">
        <v>1503</v>
      </c>
      <c r="E4" s="2" t="s">
        <v>1504</v>
      </c>
      <c r="F4" s="2" t="s">
        <v>69</v>
      </c>
    </row>
    <row r="5" spans="1:6" x14ac:dyDescent="0.2">
      <c r="A5" s="3" t="s">
        <v>1496</v>
      </c>
      <c r="B5" s="3" t="s">
        <v>3</v>
      </c>
      <c r="C5" s="3" t="s">
        <v>1497</v>
      </c>
      <c r="D5" s="3" t="s">
        <v>1505</v>
      </c>
      <c r="E5" s="3" t="s">
        <v>1506</v>
      </c>
      <c r="F5" s="3" t="s">
        <v>69</v>
      </c>
    </row>
    <row r="6" spans="1:6" x14ac:dyDescent="0.2">
      <c r="A6" s="2" t="s">
        <v>1496</v>
      </c>
      <c r="B6" s="2" t="s">
        <v>4</v>
      </c>
      <c r="C6" s="2" t="s">
        <v>1497</v>
      </c>
      <c r="D6" s="2" t="s">
        <v>1507</v>
      </c>
      <c r="E6" s="2" t="s">
        <v>1508</v>
      </c>
      <c r="F6" s="2" t="s">
        <v>69</v>
      </c>
    </row>
    <row r="7" spans="1:6" x14ac:dyDescent="0.2">
      <c r="A7" s="3" t="s">
        <v>1496</v>
      </c>
      <c r="B7" s="3" t="s">
        <v>5</v>
      </c>
      <c r="C7" s="3" t="s">
        <v>1497</v>
      </c>
      <c r="D7" s="3" t="s">
        <v>1509</v>
      </c>
      <c r="E7" s="3" t="s">
        <v>1508</v>
      </c>
      <c r="F7" s="3" t="s">
        <v>69</v>
      </c>
    </row>
    <row r="8" spans="1:6" x14ac:dyDescent="0.2">
      <c r="A8" s="2" t="s">
        <v>1496</v>
      </c>
      <c r="B8" s="2" t="s">
        <v>6</v>
      </c>
      <c r="C8" s="2" t="s">
        <v>1497</v>
      </c>
      <c r="D8" s="2" t="s">
        <v>1510</v>
      </c>
      <c r="E8" s="2" t="s">
        <v>1508</v>
      </c>
      <c r="F8" s="2" t="s">
        <v>69</v>
      </c>
    </row>
    <row r="9" spans="1:6" x14ac:dyDescent="0.2">
      <c r="A9" s="3" t="s">
        <v>1496</v>
      </c>
      <c r="B9" s="3" t="s">
        <v>7</v>
      </c>
      <c r="C9" s="3" t="s">
        <v>1502</v>
      </c>
      <c r="D9" s="3" t="s">
        <v>1511</v>
      </c>
      <c r="E9" s="3" t="s">
        <v>1512</v>
      </c>
      <c r="F9" s="3" t="s">
        <v>69</v>
      </c>
    </row>
    <row r="10" spans="1:6" x14ac:dyDescent="0.2">
      <c r="A10" s="2" t="s">
        <v>1496</v>
      </c>
      <c r="B10" s="2" t="s">
        <v>8</v>
      </c>
      <c r="C10" s="2" t="s">
        <v>1513</v>
      </c>
      <c r="D10" s="2" t="s">
        <v>1514</v>
      </c>
      <c r="E10" s="2" t="s">
        <v>1515</v>
      </c>
      <c r="F10" s="2" t="s">
        <v>69</v>
      </c>
    </row>
    <row r="11" spans="1:6" x14ac:dyDescent="0.2">
      <c r="A11" s="3" t="s">
        <v>1496</v>
      </c>
      <c r="B11" s="3" t="s">
        <v>9</v>
      </c>
      <c r="C11" s="3" t="s">
        <v>1497</v>
      </c>
      <c r="D11" s="3" t="s">
        <v>1516</v>
      </c>
      <c r="E11" s="3" t="s">
        <v>1517</v>
      </c>
      <c r="F11" s="3" t="s">
        <v>69</v>
      </c>
    </row>
    <row r="12" spans="1:6" x14ac:dyDescent="0.2">
      <c r="A12" s="2" t="s">
        <v>1496</v>
      </c>
      <c r="B12" s="2" t="s">
        <v>10</v>
      </c>
      <c r="C12" s="2" t="s">
        <v>1497</v>
      </c>
      <c r="D12" s="2" t="s">
        <v>1518</v>
      </c>
      <c r="E12" s="2" t="s">
        <v>1508</v>
      </c>
      <c r="F12" s="2" t="s">
        <v>48</v>
      </c>
    </row>
    <row r="13" spans="1:6" x14ac:dyDescent="0.2">
      <c r="A13" s="3" t="s">
        <v>1496</v>
      </c>
      <c r="B13" s="3" t="s">
        <v>11</v>
      </c>
      <c r="C13" s="3" t="s">
        <v>1497</v>
      </c>
      <c r="D13" s="3" t="s">
        <v>1519</v>
      </c>
      <c r="E13" s="3" t="s">
        <v>1520</v>
      </c>
      <c r="F13" s="3" t="s">
        <v>48</v>
      </c>
    </row>
    <row r="14" spans="1:6" x14ac:dyDescent="0.2">
      <c r="A14" s="2" t="s">
        <v>1496</v>
      </c>
      <c r="B14" s="2" t="s">
        <v>12</v>
      </c>
      <c r="C14" s="2" t="s">
        <v>1497</v>
      </c>
      <c r="D14" s="2" t="s">
        <v>1521</v>
      </c>
      <c r="E14" s="2" t="s">
        <v>1522</v>
      </c>
      <c r="F14" s="2" t="s">
        <v>48</v>
      </c>
    </row>
    <row r="15" spans="1:6" x14ac:dyDescent="0.2">
      <c r="A15" s="3" t="s">
        <v>1496</v>
      </c>
      <c r="B15" s="3" t="s">
        <v>13</v>
      </c>
      <c r="C15" s="3" t="s">
        <v>1497</v>
      </c>
      <c r="D15" s="3" t="s">
        <v>1523</v>
      </c>
      <c r="E15" s="3" t="s">
        <v>1524</v>
      </c>
      <c r="F15" s="3" t="s">
        <v>48</v>
      </c>
    </row>
    <row r="16" spans="1:6" x14ac:dyDescent="0.2">
      <c r="A16" s="2" t="s">
        <v>1496</v>
      </c>
      <c r="B16" s="2" t="s">
        <v>14</v>
      </c>
      <c r="C16" s="2" t="s">
        <v>1497</v>
      </c>
      <c r="D16" s="2" t="s">
        <v>1525</v>
      </c>
      <c r="E16" s="2" t="s">
        <v>1526</v>
      </c>
      <c r="F16" s="2" t="s">
        <v>69</v>
      </c>
    </row>
    <row r="17" spans="1:6" x14ac:dyDescent="0.2">
      <c r="A17" s="3" t="s">
        <v>1496</v>
      </c>
      <c r="B17" s="3" t="s">
        <v>15</v>
      </c>
      <c r="C17" s="3" t="s">
        <v>1497</v>
      </c>
      <c r="D17" s="3" t="s">
        <v>1527</v>
      </c>
      <c r="E17" s="3" t="s">
        <v>1508</v>
      </c>
      <c r="F17" s="3" t="s">
        <v>69</v>
      </c>
    </row>
    <row r="18" spans="1:6" x14ac:dyDescent="0.2">
      <c r="A18" s="2" t="s">
        <v>1496</v>
      </c>
      <c r="B18" s="2" t="s">
        <v>16</v>
      </c>
      <c r="C18" s="2" t="s">
        <v>1497</v>
      </c>
      <c r="D18" s="2" t="s">
        <v>1528</v>
      </c>
      <c r="E18" s="2" t="s">
        <v>1529</v>
      </c>
      <c r="F18" s="2" t="s">
        <v>69</v>
      </c>
    </row>
    <row r="19" spans="1:6" x14ac:dyDescent="0.2">
      <c r="A19" s="3" t="s">
        <v>1496</v>
      </c>
      <c r="B19" s="3" t="s">
        <v>17</v>
      </c>
      <c r="C19" s="3" t="s">
        <v>1497</v>
      </c>
      <c r="D19" s="3" t="s">
        <v>1530</v>
      </c>
      <c r="E19" s="3" t="s">
        <v>1508</v>
      </c>
      <c r="F19" s="3" t="s">
        <v>48</v>
      </c>
    </row>
    <row r="20" spans="1:6" x14ac:dyDescent="0.2">
      <c r="A20" s="2" t="s">
        <v>1496</v>
      </c>
      <c r="B20" s="2" t="s">
        <v>18</v>
      </c>
      <c r="C20" s="2" t="s">
        <v>1513</v>
      </c>
      <c r="D20" s="2" t="s">
        <v>1531</v>
      </c>
      <c r="E20" s="2" t="s">
        <v>1532</v>
      </c>
      <c r="F20" s="2" t="s">
        <v>48</v>
      </c>
    </row>
    <row r="21" spans="1:6" x14ac:dyDescent="0.2">
      <c r="A21" s="3" t="s">
        <v>1496</v>
      </c>
      <c r="B21" s="3" t="s">
        <v>19</v>
      </c>
      <c r="C21" s="3" t="s">
        <v>1533</v>
      </c>
      <c r="D21" s="3" t="s">
        <v>1534</v>
      </c>
      <c r="E21" s="3" t="s">
        <v>1535</v>
      </c>
      <c r="F21" s="3" t="s">
        <v>48</v>
      </c>
    </row>
    <row r="22" spans="1:6" x14ac:dyDescent="0.2">
      <c r="A22" s="2" t="s">
        <v>1496</v>
      </c>
      <c r="B22" s="2" t="s">
        <v>20</v>
      </c>
      <c r="C22" s="2" t="s">
        <v>1533</v>
      </c>
      <c r="D22" s="2" t="s">
        <v>1536</v>
      </c>
      <c r="E22" s="2" t="s">
        <v>1537</v>
      </c>
      <c r="F22" s="2" t="s">
        <v>48</v>
      </c>
    </row>
    <row r="23" spans="1:6" x14ac:dyDescent="0.2">
      <c r="A23" s="3" t="s">
        <v>1496</v>
      </c>
      <c r="B23" s="3" t="s">
        <v>21</v>
      </c>
      <c r="C23" s="3" t="s">
        <v>1533</v>
      </c>
      <c r="D23" s="3" t="s">
        <v>1480</v>
      </c>
      <c r="E23" s="3" t="s">
        <v>1538</v>
      </c>
      <c r="F23" s="3" t="s">
        <v>48</v>
      </c>
    </row>
    <row r="24" spans="1:6" x14ac:dyDescent="0.2">
      <c r="A24" s="2" t="s">
        <v>1496</v>
      </c>
      <c r="B24" s="2" t="s">
        <v>22</v>
      </c>
      <c r="C24" s="2" t="s">
        <v>1533</v>
      </c>
      <c r="D24" s="2" t="s">
        <v>1483</v>
      </c>
      <c r="E24" s="2" t="s">
        <v>1539</v>
      </c>
      <c r="F24" s="2" t="s">
        <v>48</v>
      </c>
    </row>
    <row r="25" spans="1:6" x14ac:dyDescent="0.2">
      <c r="A25" s="3" t="s">
        <v>1496</v>
      </c>
      <c r="B25" s="3" t="s">
        <v>23</v>
      </c>
      <c r="C25" s="3" t="s">
        <v>1533</v>
      </c>
      <c r="D25" s="3" t="s">
        <v>1486</v>
      </c>
      <c r="E25" s="3" t="s">
        <v>1540</v>
      </c>
      <c r="F25" s="3" t="s">
        <v>48</v>
      </c>
    </row>
    <row r="26" spans="1:6" x14ac:dyDescent="0.2">
      <c r="A26" s="2" t="s">
        <v>1496</v>
      </c>
      <c r="B26" s="2" t="s">
        <v>24</v>
      </c>
      <c r="C26" s="2" t="s">
        <v>1533</v>
      </c>
      <c r="D26" s="2" t="s">
        <v>1541</v>
      </c>
      <c r="E26" s="2" t="s">
        <v>1542</v>
      </c>
      <c r="F26" s="2" t="s">
        <v>48</v>
      </c>
    </row>
    <row r="27" spans="1:6" x14ac:dyDescent="0.2">
      <c r="A27" s="3" t="s">
        <v>1496</v>
      </c>
      <c r="B27" s="3" t="s">
        <v>25</v>
      </c>
      <c r="C27" s="3" t="s">
        <v>1533</v>
      </c>
      <c r="D27" s="3" t="s">
        <v>1543</v>
      </c>
      <c r="E27" s="3" t="s">
        <v>1544</v>
      </c>
      <c r="F27" s="3" t="s">
        <v>48</v>
      </c>
    </row>
    <row r="28" spans="1:6" x14ac:dyDescent="0.2">
      <c r="A28" s="2" t="s">
        <v>1496</v>
      </c>
      <c r="B28" s="2" t="s">
        <v>26</v>
      </c>
      <c r="C28" s="2" t="s">
        <v>1497</v>
      </c>
      <c r="D28" s="2" t="s">
        <v>1545</v>
      </c>
      <c r="E28" s="2" t="s">
        <v>50</v>
      </c>
      <c r="F28" s="2" t="s">
        <v>69</v>
      </c>
    </row>
    <row r="29" spans="1:6" x14ac:dyDescent="0.2">
      <c r="A29" s="3" t="s">
        <v>1496</v>
      </c>
      <c r="B29" s="3" t="s">
        <v>27</v>
      </c>
      <c r="C29" s="3" t="s">
        <v>1497</v>
      </c>
      <c r="D29" s="3" t="s">
        <v>1546</v>
      </c>
      <c r="E29" s="3" t="s">
        <v>51</v>
      </c>
      <c r="F29" s="3" t="s">
        <v>69</v>
      </c>
    </row>
    <row r="30" spans="1:6" x14ac:dyDescent="0.2">
      <c r="A30" s="2" t="s">
        <v>1496</v>
      </c>
      <c r="B30" s="2" t="s">
        <v>28</v>
      </c>
      <c r="C30" s="2" t="s">
        <v>1497</v>
      </c>
      <c r="D30" s="2" t="s">
        <v>1547</v>
      </c>
      <c r="E30" s="2" t="s">
        <v>52</v>
      </c>
      <c r="F30" s="2" t="s">
        <v>69</v>
      </c>
    </row>
    <row r="31" spans="1:6" x14ac:dyDescent="0.2">
      <c r="A31" s="3" t="s">
        <v>1496</v>
      </c>
      <c r="B31" s="3" t="s">
        <v>29</v>
      </c>
      <c r="C31" s="3" t="s">
        <v>1497</v>
      </c>
      <c r="D31" s="3" t="s">
        <v>1548</v>
      </c>
      <c r="E31" s="3" t="s">
        <v>53</v>
      </c>
      <c r="F31" s="3" t="s">
        <v>69</v>
      </c>
    </row>
    <row r="32" spans="1:6" x14ac:dyDescent="0.2">
      <c r="A32" s="2" t="s">
        <v>1496</v>
      </c>
      <c r="B32" s="2" t="s">
        <v>30</v>
      </c>
      <c r="C32" s="2" t="s">
        <v>1497</v>
      </c>
      <c r="D32" s="2" t="s">
        <v>1549</v>
      </c>
      <c r="E32" s="2" t="s">
        <v>54</v>
      </c>
      <c r="F32" s="2" t="s">
        <v>69</v>
      </c>
    </row>
    <row r="33" spans="1:6" x14ac:dyDescent="0.2">
      <c r="A33" s="3" t="s">
        <v>1496</v>
      </c>
      <c r="B33" s="3" t="s">
        <v>31</v>
      </c>
      <c r="C33" s="3" t="s">
        <v>1497</v>
      </c>
      <c r="D33" s="3" t="s">
        <v>1550</v>
      </c>
      <c r="E33" s="3" t="s">
        <v>1551</v>
      </c>
      <c r="F33" s="3" t="s">
        <v>69</v>
      </c>
    </row>
    <row r="34" spans="1:6" x14ac:dyDescent="0.2">
      <c r="A34" s="2" t="s">
        <v>1496</v>
      </c>
      <c r="B34" s="2" t="s">
        <v>32</v>
      </c>
      <c r="C34" s="2" t="s">
        <v>1497</v>
      </c>
      <c r="D34" s="2" t="s">
        <v>1552</v>
      </c>
      <c r="E34" s="2" t="s">
        <v>1508</v>
      </c>
      <c r="F34" s="2" t="s">
        <v>48</v>
      </c>
    </row>
    <row r="35" spans="1:6" x14ac:dyDescent="0.2">
      <c r="A35" s="3" t="s">
        <v>1553</v>
      </c>
      <c r="B35" s="3" t="s">
        <v>0</v>
      </c>
      <c r="C35" s="3" t="s">
        <v>1497</v>
      </c>
      <c r="D35" s="3" t="s">
        <v>1554</v>
      </c>
      <c r="E35" s="3" t="s">
        <v>1499</v>
      </c>
      <c r="F35" s="3" t="s">
        <v>69</v>
      </c>
    </row>
    <row r="36" spans="1:6" x14ac:dyDescent="0.2">
      <c r="A36" s="2" t="s">
        <v>1553</v>
      </c>
      <c r="B36" s="2" t="s">
        <v>1</v>
      </c>
      <c r="C36" s="2" t="s">
        <v>1497</v>
      </c>
      <c r="D36" s="2" t="s">
        <v>1554</v>
      </c>
      <c r="E36" s="2" t="s">
        <v>1501</v>
      </c>
      <c r="F36" s="2" t="s">
        <v>69</v>
      </c>
    </row>
    <row r="37" spans="1:6" x14ac:dyDescent="0.2">
      <c r="A37" s="3" t="s">
        <v>1553</v>
      </c>
      <c r="B37" s="3" t="s">
        <v>2</v>
      </c>
      <c r="C37" s="3" t="s">
        <v>1502</v>
      </c>
      <c r="D37" s="3" t="s">
        <v>1555</v>
      </c>
      <c r="E37" s="3" t="s">
        <v>1512</v>
      </c>
      <c r="F37" s="3" t="s">
        <v>69</v>
      </c>
    </row>
    <row r="38" spans="1:6" x14ac:dyDescent="0.2">
      <c r="A38" s="2" t="s">
        <v>1553</v>
      </c>
      <c r="B38" s="2" t="s">
        <v>1405</v>
      </c>
      <c r="C38" s="2" t="s">
        <v>1497</v>
      </c>
      <c r="D38" s="2" t="s">
        <v>1556</v>
      </c>
      <c r="E38" s="2" t="s">
        <v>1557</v>
      </c>
      <c r="F38" s="2" t="s">
        <v>69</v>
      </c>
    </row>
    <row r="39" spans="1:6" x14ac:dyDescent="0.2">
      <c r="A39" s="3" t="s">
        <v>1553</v>
      </c>
      <c r="B39" s="3" t="s">
        <v>1406</v>
      </c>
      <c r="C39" s="3" t="s">
        <v>1497</v>
      </c>
      <c r="D39" s="3" t="s">
        <v>1558</v>
      </c>
      <c r="E39" s="3" t="s">
        <v>1508</v>
      </c>
      <c r="F39" s="3" t="s">
        <v>69</v>
      </c>
    </row>
    <row r="40" spans="1:6" x14ac:dyDescent="0.2">
      <c r="A40" s="2" t="s">
        <v>1553</v>
      </c>
      <c r="B40" s="2" t="s">
        <v>1407</v>
      </c>
      <c r="C40" s="2" t="s">
        <v>1533</v>
      </c>
      <c r="D40" s="2" t="s">
        <v>1559</v>
      </c>
      <c r="E40" s="2" t="s">
        <v>1560</v>
      </c>
      <c r="F40" s="2" t="s">
        <v>69</v>
      </c>
    </row>
    <row r="41" spans="1:6" x14ac:dyDescent="0.2">
      <c r="A41" s="3" t="s">
        <v>1553</v>
      </c>
      <c r="B41" s="3" t="s">
        <v>1408</v>
      </c>
      <c r="C41" s="3" t="s">
        <v>1497</v>
      </c>
      <c r="D41" s="3" t="s">
        <v>1561</v>
      </c>
      <c r="E41" s="3" t="s">
        <v>1562</v>
      </c>
      <c r="F41" s="3" t="s">
        <v>69</v>
      </c>
    </row>
    <row r="42" spans="1:6" x14ac:dyDescent="0.2">
      <c r="A42" s="2" t="s">
        <v>1553</v>
      </c>
      <c r="B42" s="2" t="s">
        <v>1409</v>
      </c>
      <c r="C42" s="2" t="s">
        <v>1533</v>
      </c>
      <c r="D42" s="2" t="s">
        <v>1563</v>
      </c>
      <c r="E42" s="2" t="s">
        <v>1564</v>
      </c>
      <c r="F42" s="2" t="s">
        <v>69</v>
      </c>
    </row>
    <row r="43" spans="1:6" x14ac:dyDescent="0.2">
      <c r="A43" s="3" t="s">
        <v>1553</v>
      </c>
      <c r="B43" s="3" t="s">
        <v>1410</v>
      </c>
      <c r="C43" s="3" t="s">
        <v>1533</v>
      </c>
      <c r="D43" s="3" t="s">
        <v>1565</v>
      </c>
      <c r="E43" s="3" t="s">
        <v>1564</v>
      </c>
      <c r="F43" s="3" t="s">
        <v>69</v>
      </c>
    </row>
    <row r="44" spans="1:6" x14ac:dyDescent="0.2">
      <c r="A44" s="2" t="s">
        <v>1553</v>
      </c>
      <c r="B44" s="2" t="s">
        <v>1411</v>
      </c>
      <c r="C44" s="2" t="s">
        <v>1497</v>
      </c>
      <c r="D44" s="2" t="s">
        <v>1566</v>
      </c>
      <c r="E44" s="2" t="s">
        <v>1567</v>
      </c>
      <c r="F44" s="2" t="s">
        <v>69</v>
      </c>
    </row>
    <row r="45" spans="1:6" x14ac:dyDescent="0.2">
      <c r="A45" s="3" t="s">
        <v>1553</v>
      </c>
      <c r="B45" s="3" t="s">
        <v>1412</v>
      </c>
      <c r="C45" s="3" t="s">
        <v>1497</v>
      </c>
      <c r="D45" s="3" t="s">
        <v>1568</v>
      </c>
      <c r="E45" s="3" t="s">
        <v>1569</v>
      </c>
      <c r="F45" s="3"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Clean_Dataset</vt:lpstr>
      <vt:lpstr>Pivot Tables</vt:lpstr>
      <vt:lpstr>Dashboard</vt:lpstr>
      <vt:lpstr>01_Encounters</vt:lpstr>
      <vt:lpstr>02_Lab_Results</vt:lpstr>
      <vt:lpstr>03_ICD11_Reference</vt:lpstr>
      <vt:lpstr>04_LOINC_Reference</vt:lpstr>
      <vt:lpstr>05_Data_Dictionary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Patricia Mugabe</cp:lastModifiedBy>
  <dcterms:created xsi:type="dcterms:W3CDTF">2026-04-18T17:55:23Z</dcterms:created>
  <dcterms:modified xsi:type="dcterms:W3CDTF">2026-04-25T07:56:07Z</dcterms:modified>
</cp:coreProperties>
</file>